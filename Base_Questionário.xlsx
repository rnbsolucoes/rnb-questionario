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\Desktop\"/>
    </mc:Choice>
  </mc:AlternateContent>
  <xr:revisionPtr revIDLastSave="0" documentId="13_ncr:1_{98D24B8C-DD1F-473C-BD4A-C50D2E47B1C6}" xr6:coauthVersionLast="47" xr6:coauthVersionMax="47" xr10:uidLastSave="{00000000-0000-0000-0000-000000000000}"/>
  <bookViews>
    <workbookView xWindow="-120" yWindow="-120" windowWidth="29040" windowHeight="15720" tabRatio="806" xr2:uid="{4B6EAD17-D928-A349-9422-ABF94FEEEE5D}"/>
  </bookViews>
  <sheets>
    <sheet name="M0 - G5 - Financeiro" sheetId="9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\0">#REF!</definedName>
    <definedName name="\a">#N/A</definedName>
    <definedName name="\b">#N/A</definedName>
    <definedName name="\c">#REF!</definedName>
    <definedName name="\d">#N/A</definedName>
    <definedName name="\e">#REF!</definedName>
    <definedName name="\f">#N/A</definedName>
    <definedName name="\g">#REF!</definedName>
    <definedName name="\h">#REF!</definedName>
    <definedName name="\i">#N/A</definedName>
    <definedName name="\j">#REF!</definedName>
    <definedName name="\k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y">#REF!</definedName>
    <definedName name="\z">#REF!</definedName>
    <definedName name="__________stl07">'[1]faturamento STL2007'!$B$2:$AC$138</definedName>
    <definedName name="_________stl07">'[1]faturamento STL2007'!$B$2:$AC$138</definedName>
    <definedName name="________stl07">'[1]faturamento STL2007'!$B$2:$AC$138</definedName>
    <definedName name="_______stl07">'[1]faturamento STL2007'!$B$2:$AC$138</definedName>
    <definedName name="______stl07">'[1]faturamento STL2007'!$B$2:$AC$138</definedName>
    <definedName name="_____stl07">'[1]faturamento STL2007'!$B$2:$AC$138</definedName>
    <definedName name="____stl07">'[1]faturamento STL2007'!$B$2:$AC$138</definedName>
    <definedName name="___stl07">'[1]faturamento STL2007'!$B$2:$AC$138</definedName>
    <definedName name="__1_4_1_0001_07_06_Giasa">#REF!</definedName>
    <definedName name="__123Graph_A" hidden="1">[3]TESTE!$AG$74:$AP$74</definedName>
    <definedName name="__123Graph_ACOMPARA" hidden="1">[4]Mercado!#REF!</definedName>
    <definedName name="__123Graph_ACONSMED" hidden="1">[4]Mercado!#REF!</definedName>
    <definedName name="__123Graph_AINDMES" hidden="1">[3]TESTE!$AG$74:$AP$74</definedName>
    <definedName name="__123Graph_AMERC" hidden="1">[3]TESTE!$AR$4:$AR$26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[4]Mercado!#REF!</definedName>
    <definedName name="__123Graph_APREVRRES" hidden="1">#REF!</definedName>
    <definedName name="__123Graph_APREVRTOT" hidden="1">#REF!</definedName>
    <definedName name="__123Graph_ARESFIN" hidden="1">[3]TESTE!$V$131:$V$151</definedName>
    <definedName name="__123Graph_AUSS" hidden="1">[3]TESTE!$H$132:$H$195</definedName>
    <definedName name="__123Graph_B" hidden="1">[3]TESTE!$AG$75:$AP$75</definedName>
    <definedName name="__123Graph_BCOMPARA" hidden="1">#REF!</definedName>
    <definedName name="__123Graph_BINDMES" hidden="1">[3]TESTE!$AG$75:$AP$75</definedName>
    <definedName name="__123Graph_BMERC" hidden="1">[3]TESTE!$AY$4:$AY$26</definedName>
    <definedName name="__123Graph_BPREVREALI" hidden="1">#REF!</definedName>
    <definedName name="__123Graph_BRESFIN" hidden="1">[3]TESTE!$W$131:$W$151</definedName>
    <definedName name="__123Graph_C" hidden="1">[3]TESTE!$AG$77:$AP$77</definedName>
    <definedName name="__123Graph_CINDMES" hidden="1">[3]TESTE!$AG$77:$AP$77</definedName>
    <definedName name="__123Graph_CMERC" hidden="1">[3]TESTE!$BG$4:$BG$26</definedName>
    <definedName name="__123Graph_CPREVREALI" hidden="1">#REF!</definedName>
    <definedName name="__123Graph_CRESFIN" hidden="1">[3]TESTE!$X$131:$X$152</definedName>
    <definedName name="__123Graph_D" hidden="1">[3]TESTE!$AG$79:$AP$79</definedName>
    <definedName name="__123Graph_DCOMPARA" hidden="1">#REF!</definedName>
    <definedName name="__123Graph_DINDMES" hidden="1">[3]TESTE!$AG$79:$AP$79</definedName>
    <definedName name="__123Graph_DPREVREALI" hidden="1">[4]Mercado!#REF!</definedName>
    <definedName name="__123Graph_EPREVREALI" hidden="1">#REF!</definedName>
    <definedName name="__123Graph_F" hidden="1">#REF!</definedName>
    <definedName name="__123Graph_FCOMPARA" hidden="1">#REF!</definedName>
    <definedName name="__123Graph_X" hidden="1">[3]TESTE!$AG$73:$AP$73</definedName>
    <definedName name="__123Graph_XCONSMED" hidden="1">[4]Mercado!#REF!</definedName>
    <definedName name="__123Graph_XELASTIC" hidden="1">[4]Mercado!#REF!</definedName>
    <definedName name="__123Graph_XINDMES" hidden="1">[3]TESTE!$AG$73:$AP$73</definedName>
    <definedName name="__123Graph_XMERC" hidden="1">[3]TESTE!$AQ$4:$AQ$26</definedName>
    <definedName name="__123Graph_XPREVRCOM" hidden="1">[4]Mercado!#REF!</definedName>
    <definedName name="__123Graph_XPREVREALI" hidden="1">[4]Mercado!#REF!</definedName>
    <definedName name="__123Graph_XPREVRIND" hidden="1">[4]Mercado!#REF!</definedName>
    <definedName name="__123Graph_XPREVROUT" hidden="1">[4]Mercado!#REF!</definedName>
    <definedName name="__123Graph_XPREVRRES" hidden="1">[4]Mercado!#REF!</definedName>
    <definedName name="__123Graph_XPREVRTOT" hidden="1">[4]Mercado!#REF!</definedName>
    <definedName name="__123Graph_XRESFIN" hidden="1">[3]TESTE!$Q$131:$Q$152</definedName>
    <definedName name="__123Graph_XUSS" hidden="1">[3]TESTE!$B$132:$B$195</definedName>
    <definedName name="__R">#N/A</definedName>
    <definedName name="__stl07">'[1]faturamento STL2007'!$B$2:$AC$138</definedName>
    <definedName name="_0">#REF!</definedName>
    <definedName name="_001___83">#REF!</definedName>
    <definedName name="_054__90">#REF!</definedName>
    <definedName name="_1">#REF!</definedName>
    <definedName name="_1_?_0FLU">#REF!</definedName>
    <definedName name="_1__123Graph_ACDIUS" hidden="1">[3]TESTE!$E$132:$E$151</definedName>
    <definedName name="_1_0__123Grap" hidden="1">[5]ICATU!#REF!</definedName>
    <definedName name="_10">#REF!</definedName>
    <definedName name="_10__123Graph_AGRÁFICO_2" hidden="1">[6]ANALI2001!$A$12:$N$12</definedName>
    <definedName name="_10__123Graph_AGRÁFICO_5" hidden="1">[6]ANALI2001!#REF!</definedName>
    <definedName name="_10A">#REF!</definedName>
    <definedName name="_10B">#REF!</definedName>
    <definedName name="_10C">#REF!</definedName>
    <definedName name="_10D">#REF!</definedName>
    <definedName name="_10E">#REF!</definedName>
    <definedName name="_10F">#REF!</definedName>
    <definedName name="_10G">#REF!</definedName>
    <definedName name="_10H">#REF!</definedName>
    <definedName name="_11">#REF!</definedName>
    <definedName name="_11__123Graph_AGRÁFICO_3" hidden="1">[6]ANALI2001!$A$21:$N$21</definedName>
    <definedName name="_11__123Graph_BCDIUS" hidden="1">[3]TESTE!$H$132:$H$151</definedName>
    <definedName name="_11A">#REF!</definedName>
    <definedName name="_11B">#REF!</definedName>
    <definedName name="_11C">#REF!</definedName>
    <definedName name="_11D">#REF!</definedName>
    <definedName name="_11E">#REF!</definedName>
    <definedName name="_11F">#REF!</definedName>
    <definedName name="_11G">#REF!</definedName>
    <definedName name="_11H">#REF!</definedName>
    <definedName name="_12">#REF!</definedName>
    <definedName name="_12__123Graph_AGRÁFICO_4" hidden="1">[6]ANALI2001!$A$30:$N$30</definedName>
    <definedName name="_12__123Graph_BGRÁFICO" hidden="1">[6]ANALI2001!$B$5:$N$5</definedName>
    <definedName name="_12A">#REF!</definedName>
    <definedName name="_12B">#REF!</definedName>
    <definedName name="_12C">#REF!</definedName>
    <definedName name="_12D">#REF!</definedName>
    <definedName name="_12E">#REF!</definedName>
    <definedName name="_12F">#REF!</definedName>
    <definedName name="_12G">#REF!</definedName>
    <definedName name="_12H">#REF!</definedName>
    <definedName name="_13__123Graph_AGRÁFICO_5" hidden="1">[6]ANALI2001!#REF!</definedName>
    <definedName name="_13__123Graph_BGRÁFICO_1" hidden="1">[6]ANALI2001!$B$5:$N$5</definedName>
    <definedName name="_14__123Graph_BCDIUS" hidden="1">[3]TESTE!$H$132:$H$151</definedName>
    <definedName name="_14__123Graph_BGRÁFICO_2" hidden="1">[6]ANALI2001!$A$13:$N$13</definedName>
    <definedName name="_15__123Graph_BGRÁFICO" hidden="1">[6]ANALI2001!$B$5:$N$5</definedName>
    <definedName name="_15__123Graph_BGRÁFICO_3" hidden="1">[6]ANALI2001!$A$22:$N$22</definedName>
    <definedName name="_16__123Graph_BGRÁFICO_1" hidden="1">[6]ANALI2001!$B$5:$N$5</definedName>
    <definedName name="_16__123Graph_BGRÁFICO_4" hidden="1">[6]ANALI2001!$A$31:$N$31</definedName>
    <definedName name="_17__123Graph_BGRÁFICO_2" hidden="1">[6]ANALI2001!$A$13:$N$13</definedName>
    <definedName name="_17__123Graph_BGRÁFICO_5" hidden="1">[6]ANALI2001!#REF!</definedName>
    <definedName name="_18__123Graph_BGRÁFICO_3" hidden="1">[6]ANALI2001!$A$22:$N$22</definedName>
    <definedName name="_18__123Graph_CGRÁFICO" hidden="1">[6]ANALI2001!$B$6:$N$6</definedName>
    <definedName name="_19__123Graph_BGRÁFICO_4" hidden="1">[6]ANALI2001!$A$31:$N$31</definedName>
    <definedName name="_19__123Graph_CGRÁFICO_1" hidden="1">[6]ANALI2001!$B$6:$N$6</definedName>
    <definedName name="_1988">#N/A</definedName>
    <definedName name="_1A">#REF!</definedName>
    <definedName name="_1Excel_BuiltIn__FilterDatabase_1_1">"$#REF!.$A$2:$N$22"</definedName>
    <definedName name="_2">#REF!</definedName>
    <definedName name="_2_?_0FLU">#REF!</definedName>
    <definedName name="_2__123Graph_ACDIUS" hidden="1">[3]TESTE!$E$132:$E$151</definedName>
    <definedName name="_2__123Graph_BCDIUS" hidden="1">[3]TESTE!$H$132:$H$151</definedName>
    <definedName name="_20__123Graph_BGRÁFICO_5" hidden="1">[6]ANALI2001!#REF!</definedName>
    <definedName name="_20__123Graph_CGRÁFICO_2" hidden="1">[6]ANALI2001!$A$14:$N$14</definedName>
    <definedName name="_21__123Graph_CGRÁFICO" hidden="1">[6]ANALI2001!$B$6:$N$6</definedName>
    <definedName name="_21__123Graph_CGRÁFICO_3" hidden="1">[6]ANALI2001!$A$23:$N$23</definedName>
    <definedName name="_22__123Graph_CGRÁFICO_1" hidden="1">[6]ANALI2001!$B$6:$N$6</definedName>
    <definedName name="_22__123Graph_CGRÁFICO_4" hidden="1">[6]ANALI2001!$A$32:$N$32</definedName>
    <definedName name="_23__123Graph_CGRÁFICO_2" hidden="1">[6]ANALI2001!$A$14:$N$14</definedName>
    <definedName name="_23__123Graph_CGRÁFICO_5" hidden="1">[6]ANALI2001!#REF!</definedName>
    <definedName name="_24__123Graph_CGRÁFICO_3" hidden="1">[6]ANALI2001!$A$23:$N$23</definedName>
    <definedName name="_24__123Graph_XCDIUS" hidden="1">[3]TESTE!$C$132:$C$151</definedName>
    <definedName name="_25__123Graph_CGRÁFICO_4" hidden="1">[6]ANALI2001!$A$32:$N$32</definedName>
    <definedName name="_25__123Graph_XGRÁFICO" hidden="1">[6]ANALI2001!$B$3:$N$3</definedName>
    <definedName name="_26__123Graph_CGRÁFICO_5" hidden="1">[6]ANALI2001!#REF!</definedName>
    <definedName name="_26__123Graph_XGRÁFICO_1" hidden="1">[6]ANALI2001!$B$3:$N$3</definedName>
    <definedName name="_27__123Graph_XCDIUS" hidden="1">[3]TESTE!$C$132:$C$151</definedName>
    <definedName name="_27__123Graph_XGRÁFICO_2" hidden="1">[6]ANALI2001!$A$3:$N$3</definedName>
    <definedName name="_28__123Graph_XGRÁFICO" hidden="1">[6]ANALI2001!$B$3:$N$3</definedName>
    <definedName name="_28__123Graph_XGRÁFICO_3" hidden="1">[6]ANALI2001!$A$3:$N$3</definedName>
    <definedName name="_29__123Graph_XGRÁFICO_1" hidden="1">[6]ANALI2001!$B$3:$N$3</definedName>
    <definedName name="_29__123Graph_XGRÁFICO_4" hidden="1">[6]ANALI2001!$A$3:$N$3</definedName>
    <definedName name="_2A">#REF!</definedName>
    <definedName name="_2B">#REF!</definedName>
    <definedName name="_2C">#REF!</definedName>
    <definedName name="_2D">#REF!</definedName>
    <definedName name="_2E">#REF!</definedName>
    <definedName name="_2F">#REF!</definedName>
    <definedName name="_2G">#REF!</definedName>
    <definedName name="_2H">#REF!</definedName>
    <definedName name="_3">#REF!</definedName>
    <definedName name="_3_?_0FLU">#REF!</definedName>
    <definedName name="_3__123Graph_BCDIUS" hidden="1">[3]TESTE!$H$132:$H$151</definedName>
    <definedName name="_3__123Graph_XCDIUS" hidden="1">[3]TESTE!$C$132:$C$151</definedName>
    <definedName name="_30__123Graph_XGRÁFICO_2" hidden="1">[6]ANALI2001!$A$3:$N$3</definedName>
    <definedName name="_31__123Graph_XGRÁFICO_3" hidden="1">[6]ANALI2001!$A$3:$N$3</definedName>
    <definedName name="_32__123Graph_XGRÁFICO_4" hidden="1">[6]ANALI2001!$A$3:$N$3</definedName>
    <definedName name="_3A">#REF!</definedName>
    <definedName name="_3B">#REF!</definedName>
    <definedName name="_3C">#REF!</definedName>
    <definedName name="_3D">#REF!</definedName>
    <definedName name="_3E">#REF!</definedName>
    <definedName name="_3F">#REF!</definedName>
    <definedName name="_3G">#REF!</definedName>
    <definedName name="_3H">#REF!</definedName>
    <definedName name="_4">#REF!</definedName>
    <definedName name="_4_?_0FLU">#REF!</definedName>
    <definedName name="_4__123Graph_ACDIUS" hidden="1">[3]TESTE!$E$132:$E$151</definedName>
    <definedName name="_4__123Graph_XCDIUS" hidden="1">[3]TESTE!$C$132:$C$151</definedName>
    <definedName name="_4A">#REF!</definedName>
    <definedName name="_4B">#REF!</definedName>
    <definedName name="_4C">#REF!</definedName>
    <definedName name="_4D">#REF!</definedName>
    <definedName name="_4E">#REF!</definedName>
    <definedName name="_4F">#REF!</definedName>
    <definedName name="_4G">#REF!</definedName>
    <definedName name="_4H">#REF!</definedName>
    <definedName name="_5">#REF!</definedName>
    <definedName name="_5__123Graph_AGRÁFICO" hidden="1">[6]ANALI2001!$B$4:$N$4</definedName>
    <definedName name="_5A">#REF!</definedName>
    <definedName name="_5B">#REF!</definedName>
    <definedName name="_5C">#REF!</definedName>
    <definedName name="_5D">#REF!</definedName>
    <definedName name="_5E">#REF!</definedName>
    <definedName name="_5F">#REF!</definedName>
    <definedName name="_5G">#REF!</definedName>
    <definedName name="_5H">#REF!</definedName>
    <definedName name="_6">#REF!</definedName>
    <definedName name="_6_?__FLU">#REF!</definedName>
    <definedName name="_6__123Graph_AGRÁFICO_1" hidden="1">[6]ANALI2001!$B$4:$N$4</definedName>
    <definedName name="_61">#REF!</definedName>
    <definedName name="_6A">#REF!</definedName>
    <definedName name="_6B">#REF!</definedName>
    <definedName name="_6C">#REF!</definedName>
    <definedName name="_6D">#REF!</definedName>
    <definedName name="_6E">#REF!</definedName>
    <definedName name="_6F">#REF!</definedName>
    <definedName name="_6G">#REF!</definedName>
    <definedName name="_6H">#REF!</definedName>
    <definedName name="_7">#REF!</definedName>
    <definedName name="_7__123Graph_ACDIUS" hidden="1">[3]TESTE!$E$132:$E$151</definedName>
    <definedName name="_7__123Graph_AGRÁFICO_2" hidden="1">[6]ANALI2001!$A$12:$N$12</definedName>
    <definedName name="_7A">#REF!</definedName>
    <definedName name="_7B">#REF!</definedName>
    <definedName name="_7C">#REF!</definedName>
    <definedName name="_7D">#REF!</definedName>
    <definedName name="_7E">#REF!</definedName>
    <definedName name="_7F">#REF!</definedName>
    <definedName name="_7G">#REF!</definedName>
    <definedName name="_7H">#REF!</definedName>
    <definedName name="_8">#REF!</definedName>
    <definedName name="_8__123Graph_AGRÁFICO" hidden="1">[6]ANALI2001!$B$4:$N$4</definedName>
    <definedName name="_8__123Graph_AGRÁFICO_3" hidden="1">[6]ANALI2001!$A$21:$N$21</definedName>
    <definedName name="_8200">#REF!</definedName>
    <definedName name="_8A">#REF!</definedName>
    <definedName name="_8B">#REF!</definedName>
    <definedName name="_8C">#REF!</definedName>
    <definedName name="_8D">#REF!</definedName>
    <definedName name="_8E">#REF!</definedName>
    <definedName name="_8F">#REF!</definedName>
    <definedName name="_8G">#REF!</definedName>
    <definedName name="_8H">#REF!</definedName>
    <definedName name="_9">#REF!</definedName>
    <definedName name="_9__123Graph_AGRÁFICO_1" hidden="1">[6]ANALI2001!$B$4:$N$4</definedName>
    <definedName name="_9__123Graph_AGRÁFICO_4" hidden="1">[6]ANALI2001!$A$30:$N$30</definedName>
    <definedName name="_9A">#REF!</definedName>
    <definedName name="_9B">#REF!</definedName>
    <definedName name="_9C">#REF!</definedName>
    <definedName name="_9D">#REF!</definedName>
    <definedName name="_9E">#REF!</definedName>
    <definedName name="_9F">#REF!</definedName>
    <definedName name="_9G">#REF!</definedName>
    <definedName name="_9H">#REF!</definedName>
    <definedName name="_CBD02" hidden="1">{"PLAN MED.PROVISORIA",#N/A,FALSE,"IRENDA"}</definedName>
    <definedName name="_DAT1">'[7]E4.1'!#REF!</definedName>
    <definedName name="_DAT2">'[7]E4.1'!#REF!</definedName>
    <definedName name="_DAT3">'[7]E4.1'!#REF!</definedName>
    <definedName name="_DAT4">'[7]E4.1'!#REF!</definedName>
    <definedName name="_DAT5">'[7]E4.1'!#REF!</definedName>
    <definedName name="_DAT6">'[7]E4.1'!#REF!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hidden="1">{"Despesas Diferidas Indedutíveis de 1998",#N/A,FALSE,"Impressão"}</definedName>
    <definedName name="_Fill" hidden="1">#REF!</definedName>
    <definedName name="_xlnm._FilterDatabase" localSheetId="0" hidden="1">'M0 - G5 - Financeiro'!$A$3:$F$127</definedName>
    <definedName name="_xlnm._FilterDatabase" hidden="1">#REF!</definedName>
    <definedName name="_IMP2">#REF!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ey1" hidden="1">#REF!</definedName>
    <definedName name="_Key2" hidden="1">#REF!</definedName>
    <definedName name="_LI8200">#REF!</definedName>
    <definedName name="_LP0108">#REF!</definedName>
    <definedName name="_m">#REF!</definedName>
    <definedName name="_mar0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_MD5">#N/A</definedName>
    <definedName name="_MEN1">#REF!</definedName>
    <definedName name="_MEN2">#REF!</definedName>
    <definedName name="_MEN3">#REF!</definedName>
    <definedName name="_MEN4">#REF!</definedName>
    <definedName name="_N2" hidden="1">{#N/A,#N/A,FALSE,"1321";#N/A,#N/A,FALSE,"1324";#N/A,#N/A,FALSE,"1333";#N/A,#N/A,FALSE,"1371"}</definedName>
    <definedName name="_Order1" hidden="1">255</definedName>
    <definedName name="_Order2" hidden="1">255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R">#N/A</definedName>
    <definedName name="_RE1">#REF!</definedName>
    <definedName name="_RE10">#REF!</definedName>
    <definedName name="_RE11">#REF!</definedName>
    <definedName name="_RE12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8">#REF!</definedName>
    <definedName name="_RE9">#REF!</definedName>
    <definedName name="_Sort" hidden="1">#REF!</definedName>
    <definedName name="_SPR1">#N/A</definedName>
    <definedName name="_stl07">'[1]faturamento STL2007'!$B$2:$AC$138</definedName>
    <definedName name="_T2" hidden="1">{#N/A,#N/A,FALSE,"1321";#N/A,#N/A,FALSE,"1324";#N/A,#N/A,FALSE,"1333";#N/A,#N/A,FALSE,"1371"}</definedName>
    <definedName name="_TAB1">'[8]Neces. Finan'!#REF!</definedName>
    <definedName name="_TAB14">[9]O2CC!#REF!</definedName>
    <definedName name="_TAB3">[10]Execução!#REF!</definedName>
    <definedName name="_TAB4">[9]FLUXO1!#REF!</definedName>
    <definedName name="_TAB6">'[9]Plan1 (2)'!#REF!</definedName>
    <definedName name="_TN02">#REF!</definedName>
    <definedName name="_TN03">#REF!</definedName>
    <definedName name="_TN04">#REF!</definedName>
    <definedName name="_TN05">#REF!</definedName>
    <definedName name="_TN06">#REF!</definedName>
    <definedName name="_TN07">#REF!</definedName>
    <definedName name="_TRC92">#REF!</definedName>
    <definedName name="_TRC93">#REF!</definedName>
    <definedName name="_TRC94">#REF!</definedName>
    <definedName name="_TRC95">#REF!</definedName>
    <definedName name="_TRC96">#REF!</definedName>
    <definedName name="_TSU91">#REF!</definedName>
    <definedName name="_TSU92">#REF!</definedName>
    <definedName name="_TSU93">#REF!</definedName>
    <definedName name="_TSU94">#REF!</definedName>
    <definedName name="_TSU95">#REF!</definedName>
    <definedName name="_TSU96">#REF!</definedName>
    <definedName name="_TTF92">#REF!</definedName>
    <definedName name="_TTF93">#REF!</definedName>
    <definedName name="_TTF94">#REF!</definedName>
    <definedName name="_TTF95">#REF!</definedName>
    <definedName name="_TTF96">#REF!</definedName>
    <definedName name="_V12">{#N/A,#N/A,FALSE,"1321";#N/A,#N/A,FALSE,"1324";#N/A,#N/A,FALSE,"1333";#N/A,#N/A,FALSE,"1371"}</definedName>
    <definedName name="_VO105">#REF!</definedName>
    <definedName name="_VO106">#REF!</definedName>
    <definedName name="_VO107">#REF!</definedName>
    <definedName name="_VO110">#REF!</definedName>
    <definedName name="_VO119">#REF!</definedName>
    <definedName name="_VO135">#REF!</definedName>
    <definedName name="_VO57">#REF!</definedName>
    <definedName name="_VO65">#REF!</definedName>
    <definedName name="_VO83">#REF!</definedName>
    <definedName name="_VO84">#REF!</definedName>
    <definedName name="_VO85">#REF!</definedName>
    <definedName name="a">#REF!</definedName>
    <definedName name="A\">'[11]Depositos judiciais'!#REF!</definedName>
    <definedName name="A_1">#REF!</definedName>
    <definedName name="A_2">#REF!</definedName>
    <definedName name="AA">#REF!</definedName>
    <definedName name="AA_1">#REF!</definedName>
    <definedName name="aaa">#REF!</definedName>
    <definedName name="aaaa">#REF!</definedName>
    <definedName name="aaaaa" hidden="1">{"E001 - GERAÇÃO DE CAIXA GERAL",#N/A,FALSE,"Ajuste";"E002 - DLP GERAL",#N/A,FALSE,"Ajuste"}</definedName>
    <definedName name="abc" hidden="1">{#N/A,#N/A,FALSE,"1321";#N/A,#N/A,FALSE,"1324";#N/A,#N/A,FALSE,"1333";#N/A,#N/A,FALSE,"1371"}</definedName>
    <definedName name="ABN_3">#REF!</definedName>
    <definedName name="abob">#REF!</definedName>
    <definedName name="ABRIL">#REF!</definedName>
    <definedName name="AccessDatabase" hidden="1">"C:\Doc\clientes\Unitech\Sig.xls"</definedName>
    <definedName name="ACL_adiant">#REF!</definedName>
    <definedName name="adada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BENI">'[12]MOD 7 SIN'!#REF!</definedName>
    <definedName name="adda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DDD" hidden="1">#REF!</definedName>
    <definedName name="ADDDSA">#REF!</definedName>
    <definedName name="addQ">#REF!</definedName>
    <definedName name="adfasdfad">#REF!</definedName>
    <definedName name="adsda">#REF!</definedName>
    <definedName name="agcred">'[13]CALC-RESUMO'!$AS$3:$AV$34</definedName>
    <definedName name="agcred1">'[14]CALC-RESUMO'!$AS$3:$AV$34</definedName>
    <definedName name="Agroarte" hidden="1">{#N/A,#N/A,FALSE,"1321";#N/A,#N/A,FALSE,"1324";#N/A,#N/A,FALSE,"1333";#N/A,#N/A,FALSE,"1371"}</definedName>
    <definedName name="aij">#REF!</definedName>
    <definedName name="Ajuste">[15]Input!#REF!</definedName>
    <definedName name="AJUSTES">#N/A</definedName>
    <definedName name="altre">[2]CECO!#REF!</definedName>
    <definedName name="aluguel" hidden="1">{#N/A,#N/A,FALSE,"PACCIL";#N/A,#N/A,FALSE,"PAITACAN";#N/A,#N/A,FALSE,"PARECO";#N/A,#N/A,FALSE,"PA62";#N/A,#N/A,FALSE,"PAFINAL";#N/A,#N/A,FALSE,"PARECONF";#N/A,#N/A,FALSE,"PARECOND"}</definedName>
    <definedName name="Ambito">'[16]Anexo 17 - Consultas'!#REF!</definedName>
    <definedName name="amostra">#REF!</definedName>
    <definedName name="ana" hidden="1">{#N/A,#N/A,FALSE,"1321";#N/A,#N/A,FALSE,"1324";#N/A,#N/A,FALSE,"1333";#N/A,#N/A,FALSE,"1371"}</definedName>
    <definedName name="ANEXO01">#REF!</definedName>
    <definedName name="ANEXO02">#REF!</definedName>
    <definedName name="ANEXO03">#REF!</definedName>
    <definedName name="ANEXO04">#REF!</definedName>
    <definedName name="anscount" hidden="1">1</definedName>
    <definedName name="Aplic.">'[17]pl atual'!$A$1:$A$65536</definedName>
    <definedName name="aplicação" hidden="1">{#N/A,#N/A,FALSE,"1321";#N/A,#N/A,FALSE,"1324";#N/A,#N/A,FALSE,"1333";#N/A,#N/A,FALSE,"1371"}</definedName>
    <definedName name="aplicações" hidden="1">{#N/A,#N/A,FALSE,"1321";#N/A,#N/A,FALSE,"1324";#N/A,#N/A,FALSE,"1333";#N/A,#N/A,FALSE,"1371"}</definedName>
    <definedName name="Apuração">#REF!</definedName>
    <definedName name="ARA_Threshold">#REF!</definedName>
    <definedName name="ARDIVERSI">'[12]MOD 7 SIN'!#REF!</definedName>
    <definedName name="_xlnm.Extract">#REF!</definedName>
    <definedName name="_xlnm.Print_Area">#REF!</definedName>
    <definedName name="AREA_DEZEM">[18]NOV.00!$B$9:$O$389</definedName>
    <definedName name="Área_impressão_IM">#REF!</definedName>
    <definedName name="area_lucrosperdas">#REF!</definedName>
    <definedName name="AREA_NOVEM">#REF!</definedName>
    <definedName name="AREA_STAMPA_MI">[19]MENS_I_P!#REF!</definedName>
    <definedName name="Arecolher">#REF!</definedName>
    <definedName name="ARP_Threshold">#REF!</definedName>
    <definedName name="Arquivo">[20]INFO!$A$2</definedName>
    <definedName name="Arquivo1">[21]INFO!$A$2</definedName>
    <definedName name="Arquivo2">[22]INFO!$A$2</definedName>
    <definedName name="ARQUIVO3">[23]INFO!$A$2</definedName>
    <definedName name="Articulo_Nombre">#REF!</definedName>
    <definedName name="Articulo_Nombre_1">"$#REF!.$B$4:$C$18"</definedName>
    <definedName name="Articulo_Nombre_15">#REF!</definedName>
    <definedName name="Articulo_Nombre_6">"$#REF!.$B$9:$D$50"</definedName>
    <definedName name="Articulo_Nombre_8">"$#REF!.$B$11:$C$22"</definedName>
    <definedName name="Articulos">#REF!</definedName>
    <definedName name="Articulos_1">"$#REF!.$B$4:$B$19"</definedName>
    <definedName name="Articulos_15">#REF!</definedName>
    <definedName name="Articulos_6">"$#REF!.$K$9:$K$57"</definedName>
    <definedName name="as" hidden="1">{"SOC E MEN balanços",#N/A,FALSE,"BALFEV97"}</definedName>
    <definedName name="As_notas_explicativas_anexas_são_parte_integrante_destes_balanços.">#REF!</definedName>
    <definedName name="AS2DocOpenMode" hidden="1">"AS2DocumentEdit"</definedName>
    <definedName name="AS2NamedRange" hidden="1">12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SADSA">#REF!</definedName>
    <definedName name="ascx">#REF!</definedName>
    <definedName name="asd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sedfasd">#REF!</definedName>
    <definedName name="asf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SSISTENZA">'[12]MOD 7 SIN'!#REF!</definedName>
    <definedName name="ATCONSO">#REF!</definedName>
    <definedName name="atento">'[13]CALC-RESUMO'!$R$6:$T$37</definedName>
    <definedName name="ATIFLB">'[24]A4.2-FLEXIBRAS'!$C$5:$K$94</definedName>
    <definedName name="ATIMFL">'[25]A4.4-MARFLEX'!$C$5:$L$94</definedName>
    <definedName name="ativo">#REF!</definedName>
    <definedName name="ATIVO_CONS">#REF!</definedName>
    <definedName name="ATSEAOIL">'[26]A4.6-SEAOIL'!$C$5:$K$94</definedName>
    <definedName name="ATSGM">'[27]A4.3-SIGMA'!$C$5:$J$94</definedName>
    <definedName name="b">#REF!</definedName>
    <definedName name="Bal_dez_Bahia_2">#REF!</definedName>
    <definedName name="BAL_US_">#REF!</definedName>
    <definedName name="Balancete">#REF!</definedName>
    <definedName name="BALANCO">#REF!</definedName>
    <definedName name="BALANÇO_COMANDER">#REF!</definedName>
    <definedName name="BALANÇO_DE_PAGAMENTOS">'[28]bp - milhões'!$A$3:$O$61</definedName>
    <definedName name="BALCMI">#REF!</definedName>
    <definedName name="BALMEN">[29]BAL1001!#REF!</definedName>
    <definedName name="BALPUBL">#REF!</definedName>
    <definedName name="BALSOC">[30]BAL1101!#REF!</definedName>
    <definedName name="Banco">#REF!</definedName>
    <definedName name="_xlnm.Database">#REF!</definedName>
    <definedName name="banco_marflex">#REF!</definedName>
    <definedName name="BANCO1" hidden="1">#REF!</definedName>
    <definedName name="BancoSegment">[31]BancoSegment!$A$1:$AE$65536</definedName>
    <definedName name="barabara">[32]BAL1001!#REF!</definedName>
    <definedName name="Barbosa" hidden="1">[33]Lead!A1</definedName>
    <definedName name="bb" hidden="1">{#N/A,#N/A,FALSE,"PACCIL";#N/A,#N/A,FALSE,"PAITACAN";#N/A,#N/A,FALSE,"PARECO";#N/A,#N/A,FALSE,"PA62";#N/A,#N/A,FALSE,"PAFINAL";#N/A,#N/A,FALSE,"PARECONF";#N/A,#N/A,FALSE,"PARECOND"}</definedName>
    <definedName name="BBBB" hidden="1">{"'Comp. Gram. 2 x 1,5 Multi'!$F$5:$G$13","'Comp. Gram. 2 x 1,5 Multi'!$B$5:$C$13"}</definedName>
    <definedName name="BdEmp01">#REF!</definedName>
    <definedName name="bdg">[34]prebdg97!#REF!</definedName>
    <definedName name="bdgeme">[34]prebdg97!$Q$2:'[34]prebdg97'!$AB$63</definedName>
    <definedName name="bdginc">[34]prebdg97!$B$2:$M$31</definedName>
    <definedName name="BFIN_MES">'[35]RESULTADO MÊS A MÊS'!$A$1:$AJ$1008</definedName>
    <definedName name="BG_Del" hidden="1">15</definedName>
    <definedName name="BG_Ins" hidden="1">4</definedName>
    <definedName name="BG_Mod" hidden="1">6</definedName>
    <definedName name="bloco1">'[8]Neces. Finan'!#REF!</definedName>
    <definedName name="BOTH">#REF!</definedName>
    <definedName name="BOTÕES_COMANDO">#REF!</definedName>
    <definedName name="BOTÕES_IMPRESSÃO">#REF!</definedName>
    <definedName name="budpre">#REF!</definedName>
    <definedName name="C.">#REF!</definedName>
    <definedName name="C.M.">#REF!</definedName>
    <definedName name="C.SOCIAL.2TRIM">#REF!</definedName>
    <definedName name="C.SOCIAL.3TRIM">#REF!</definedName>
    <definedName name="C.SOCIAL.4TRIM">#REF!</definedName>
    <definedName name="C_">#REF!</definedName>
    <definedName name="CAB">#REF!</definedName>
    <definedName name="Cad_Fornec">[36]Cad_Fornecedor!$C$10:$C$59</definedName>
    <definedName name="CAIUA">'[37]CÁLCULO GRÁFICO'!$A$8:$P$138</definedName>
    <definedName name="Cambio">#REF!</definedName>
    <definedName name="CASH_FLOW_FASB.95">#REF!</definedName>
    <definedName name="cc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CD">#REF!</definedName>
    <definedName name="cdi">[38]CDI!$A$2226:$E$2952</definedName>
    <definedName name="CELPA">'[37]CÁLCULO GRÁFICO'!$A$8:$P$128</definedName>
    <definedName name="celpe">'[13]CALC-RESUMO'!$J$6:$Q$37</definedName>
    <definedName name="celpe1">'[13]CALC-RESUMO'!$N$6:$O$37</definedName>
    <definedName name="celpe2">'[13]CALC-RESUMO'!$P$6:$Q$37</definedName>
    <definedName name="CELTINS">'[37]CÁLCULO GRÁFICO'!$A$8:$P$217</definedName>
    <definedName name="CEMAT">'[37]CÁLCULO GRÁFICO'!$A$8:$P$255</definedName>
    <definedName name="CFLO">'[37]CÁLCULO GRÁFICO'!$A$8:$P$123</definedName>
    <definedName name="CHEQUELIST">#N/A</definedName>
    <definedName name="CIMENSALREAL">#REF!</definedName>
    <definedName name="cliente">#REF!</definedName>
    <definedName name="Cliente_1999">#REF!</definedName>
    <definedName name="cliente2">#REF!</definedName>
    <definedName name="Clientes_2000">#REF!</definedName>
    <definedName name="Clientes1">#REF!</definedName>
    <definedName name="CMV">#REF!</definedName>
    <definedName name="CNEE">'[37]CÁLCULO GRÁFICO'!$A$8:$P$134</definedName>
    <definedName name="codmun">'[39]pl atual'!$A$1:$A$65536</definedName>
    <definedName name="codmuni">'[40]pl atual'!$A$1:$A$65536</definedName>
    <definedName name="codmunic">'[40]pl atual'!$A$1:$A$65536</definedName>
    <definedName name="comercial">'[13]CALC-RESUMO'!$AI$3:$AM$34</definedName>
    <definedName name="CONCMENSALREAL">#REF!</definedName>
    <definedName name="Consumo">#REF!</definedName>
    <definedName name="Consumo_1999">#REF!</definedName>
    <definedName name="Consumo_2000">#REF!</definedName>
    <definedName name="CONT02092000.4" hidden="1">{#N/A,#N/A,FALSE,"1321";#N/A,#N/A,FALSE,"1324";#N/A,#N/A,FALSE,"1333";#N/A,#N/A,FALSE,"1371"}</definedName>
    <definedName name="CONTADETALHE">'[41]OUT02.REPORT'!$E$2:$E$1148</definedName>
    <definedName name="CONTAS">#REF!</definedName>
    <definedName name="Contrato">#REF!</definedName>
    <definedName name="CONVERSÃO_DE_OLEO_P_GÁS___N.PROJETOS">#REF!</definedName>
    <definedName name="COR_CAMB_030">[42]Correção!#REF!</definedName>
    <definedName name="COR_CAMB_037">[42]Correção!#REF!</definedName>
    <definedName name="COR_CAMB_052">[42]Correção!#REF!</definedName>
    <definedName name="COR_CAMB_058">[42]Correção!#REF!</definedName>
    <definedName name="COR_CAMB_060">[42]Correção!#REF!</definedName>
    <definedName name="COR_CAMB_063">[42]Correção!#REF!</definedName>
    <definedName name="COR_CAMB_075">[42]Correção!#REF!</definedName>
    <definedName name="COR_CAMB_076">[42]Correção!#REF!</definedName>
    <definedName name="COR_CAMB_078">[42]Correção!#REF!</definedName>
    <definedName name="COR_CAMB_079">[42]Correção!#REF!</definedName>
    <definedName name="COR_MON_007">[42]Correção!#REF!</definedName>
    <definedName name="COR_MON_030">[42]Correção!#REF!</definedName>
    <definedName name="COR_MON_037">[42]Correção!#REF!</definedName>
    <definedName name="COR_MON_052">[42]Correção!#REF!</definedName>
    <definedName name="COR_MON_058">[42]Correção!#REF!</definedName>
    <definedName name="COR_MON_060">[42]Correção!#REF!</definedName>
    <definedName name="COR_MON_063">[42]Correção!#REF!</definedName>
    <definedName name="COR_MON_064">#REF!</definedName>
    <definedName name="COR_MON_075">[42]Correção!#REF!</definedName>
    <definedName name="COR_MON_078">[42]Correção!#REF!</definedName>
    <definedName name="COR_MONET_007">[42]Correção!#REF!</definedName>
    <definedName name="Cosern">"Forma livre 69"</definedName>
    <definedName name="CP">'[43]pl atual'!$A$1:$A$65536</definedName>
    <definedName name="CPABR05">#REF!</definedName>
    <definedName name="CPABR06">#REF!</definedName>
    <definedName name="CPABR07">#REF!</definedName>
    <definedName name="CPAGO05">#REF!</definedName>
    <definedName name="CPAGO06">#REF!</definedName>
    <definedName name="CPAGO07">#REF!</definedName>
    <definedName name="CPDEZ05">#REF!</definedName>
    <definedName name="CPDEZ06">#REF!</definedName>
    <definedName name="CPDEZ07">#REF!</definedName>
    <definedName name="CPFEV05">#REF!</definedName>
    <definedName name="CPFEV06">#REF!</definedName>
    <definedName name="CPFEV07">#REF!</definedName>
    <definedName name="CPJAN05">#REF!</definedName>
    <definedName name="CPJAN06">#REF!</definedName>
    <definedName name="CPJAN07">#REF!</definedName>
    <definedName name="CPJAN08">[44]CPJAN08!$A:$IV</definedName>
    <definedName name="CPJANSIM">#REF!</definedName>
    <definedName name="CPJANTESTE">#REF!</definedName>
    <definedName name="CPJUL05">#REF!</definedName>
    <definedName name="CPJUL06">#REF!</definedName>
    <definedName name="CPJUL07">#REF!</definedName>
    <definedName name="CPJUN05">#REF!</definedName>
    <definedName name="CPJUN06">#REF!</definedName>
    <definedName name="CPJUN07">#REF!</definedName>
    <definedName name="CPMAI05">#REF!</definedName>
    <definedName name="CPMAI06">#REF!</definedName>
    <definedName name="CPMAI07">#REF!</definedName>
    <definedName name="CPMAR05">#REF!</definedName>
    <definedName name="CPMAR06">#REF!</definedName>
    <definedName name="CPMAR07">#REF!</definedName>
    <definedName name="CPNOV05">#REF!</definedName>
    <definedName name="CPNOV06">#REF!</definedName>
    <definedName name="CPNOV07">#REF!</definedName>
    <definedName name="CPOUT05">#REF!</definedName>
    <definedName name="CPOUT06">#REF!</definedName>
    <definedName name="CPOUT07">#REF!</definedName>
    <definedName name="CPRAZO">#REF!</definedName>
    <definedName name="CPRAZO0108">#REF!</definedName>
    <definedName name="CPSET05">#REF!</definedName>
    <definedName name="CPSET06">#REF!</definedName>
    <definedName name="CPSET07">#REF!</definedName>
    <definedName name="CPV">#REF!</definedName>
    <definedName name="CPV_MES">#REF!</definedName>
    <definedName name="CR_">#REF!</definedName>
    <definedName name="CRED_FISC">#REF!</definedName>
    <definedName name="credcred">[32]BAL1001!#REF!</definedName>
    <definedName name="Criteria_MI">#REF!</definedName>
    <definedName name="CRITERIO">'[13]CALC-RESUMO'!$AA$46:$AA$67</definedName>
    <definedName name="CRITÉRIO">#REF!</definedName>
    <definedName name="CRITERIO0">'[13]CALC-RESUMO'!#REF!</definedName>
    <definedName name="_xlnm.Criteria">#REF!</definedName>
    <definedName name="CRUZEIROS">#REF!</definedName>
    <definedName name="CSP">#REF!</definedName>
    <definedName name="currency">[45]titles!$C$19</definedName>
    <definedName name="curto">#REF!</definedName>
    <definedName name="curto2">#REF!</definedName>
    <definedName name="curto3">#REF!</definedName>
    <definedName name="Curto4">#REF!</definedName>
    <definedName name="Custo.com.Produtos">#REF!</definedName>
    <definedName name="Custo.com.Produtos2">#REF!</definedName>
    <definedName name="Custo.com.Serviços">#REF!</definedName>
    <definedName name="Custo.com.Serviços2">#REF!</definedName>
    <definedName name="custonominal">[9]DIVIDA!#REF!</definedName>
    <definedName name="custoreal">[9]DIVIDA!#REF!</definedName>
    <definedName name="Custos.de.Execução">#REF!</definedName>
    <definedName name="Custos.do.Serviço.Prestado">#REF!</definedName>
    <definedName name="Custos.e.Despesas.Variáveis">#REF!</definedName>
    <definedName name="Custos.e.Despesas.Variáveis2">#REF!</definedName>
    <definedName name="Custos.Variáveis">#REF!</definedName>
    <definedName name="cvc" hidden="1">#REF!</definedName>
    <definedName name="cxvbgdfgdgdf" hidden="1">[4]Mercado!#REF!</definedName>
    <definedName name="d">#REF!</definedName>
    <definedName name="D.R.E.">#REF!</definedName>
    <definedName name="d46.">#REF!</definedName>
    <definedName name="DADOS">#REF!</definedName>
    <definedName name="DADOS1">#REF!</definedName>
    <definedName name="dasdasd" hidden="1">{"SOC E MEN balanços",#N/A,FALSE,"BALFEV97"}</definedName>
    <definedName name="data">[46]CDI!$C$1,[46]CDI!$D$3,[46]CDI!$D$1:$D$65536</definedName>
    <definedName name="DATA9">'[47]1124129104'!#REF!</definedName>
    <definedName name="Database_MI">#REF!</definedName>
    <definedName name="DBN_ESTUDOS_E_PROJETOS">#REF!</definedName>
    <definedName name="DBN_MAQ._EQUIP._NACIONAIS">#REF!</definedName>
    <definedName name="DBN_MAQ._EQUIPAMENTOS_IMPORTADOS">#REF!</definedName>
    <definedName name="DBN_OBRAS_CIVIS_INSTALAÇÕES">#REF!</definedName>
    <definedName name="dd">#REF!</definedName>
    <definedName name="ddd" hidden="1">{#N/A,#N/A,FALSE,"PACCIL";#N/A,#N/A,FALSE,"PAITACAN";#N/A,#N/A,FALSE,"PARECO";#N/A,#N/A,FALSE,"PA62";#N/A,#N/A,FALSE,"PAFINAL";#N/A,#N/A,FALSE,"PARECONF";#N/A,#N/A,FALSE,"PARECOND"}</definedName>
    <definedName name="Deduções">#REF!</definedName>
    <definedName name="Deduções.sobre.o.Lucro">#REF!</definedName>
    <definedName name="Deduções2">#REF!</definedName>
    <definedName name="DEDUﾇOES_VENDAS_TECELAGEM">#REF!</definedName>
    <definedName name="DEFINE_I_II_ESTUDOS_E_PROJETOS">#REF!</definedName>
    <definedName name="DEFINE_III___MAQ._EQUIPAMENTOS_NACIONAIS">#REF!</definedName>
    <definedName name="DEMONSTRAÇÃO_DO_RESULTADO_CONSOLIDADO___LEGISLAÇÃO_SOCIETÁRIA">#REF!</definedName>
    <definedName name="Dep">[46]Mapa!$A$1</definedName>
    <definedName name="DEPR8200">#REF!</definedName>
    <definedName name="Depreciação">#REF!</definedName>
    <definedName name="DESP_FINANCEIRA">[48]ELIM_FINANCEIRA!$F$1:$W$82</definedName>
    <definedName name="Despesas.Administrativas">#REF!</definedName>
    <definedName name="Despesas.Adminstrativas">#REF!</definedName>
    <definedName name="Despesas.com.Inadimplência">#REF!</definedName>
    <definedName name="Despesas.com.Marketing">#REF!</definedName>
    <definedName name="Despesas.com.Pessoal">#REF!</definedName>
    <definedName name="Despesas.Financeiras">#REF!</definedName>
    <definedName name="Despesas.Tributarias">#REF!</definedName>
    <definedName name="Despesas.Variáveis">#REF!</definedName>
    <definedName name="DFLABR99">[49]DFLSUBS!$AW$1:$BK$23</definedName>
    <definedName name="DFLFEV99">[49]DFLSUBS!$Q$1:$AE$23</definedName>
    <definedName name="DFLJAN99">[49]DFLSUBS!$A$1:$O$22</definedName>
    <definedName name="DFLJUN99">[49]DFLSUBS!$CC$1:$CQ$22</definedName>
    <definedName name="DFLJUNAC">[49]DFLSUBS!$CC$44:$CQ$62</definedName>
    <definedName name="DFLMAI99">[49]DFLSUBS!$BM$1:$CA$22</definedName>
    <definedName name="DFLMAR99">[49]DFLSUBS!$AG$1:$AU$23</definedName>
    <definedName name="DFLMARAC">[49]DFLSUBS!$AG$44:$AU$62</definedName>
    <definedName name="DIFF">#N/A</definedName>
    <definedName name="DLPMEN">[29]BAL1001!#REF!</definedName>
    <definedName name="dlpsoc">[29]BAL1001!#REF!</definedName>
    <definedName name="DMPL">[50]BP!#REF!</definedName>
    <definedName name="DOAR">[50]BP!#REF!</definedName>
    <definedName name="DolarFinal">#REF!</definedName>
    <definedName name="DR">[50]BP!#REF!</definedName>
    <definedName name="dre">#REF!</definedName>
    <definedName name="DSA">[51]Unidades!$A$2:$A$31</definedName>
    <definedName name="dss" hidden="1">#REF!</definedName>
    <definedName name="dssd" hidden="1">#REF!</definedName>
    <definedName name="e">#REF!</definedName>
    <definedName name="E1.1.1.1.1">#REF!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D">#REF!</definedName>
    <definedName name="ede">#REF!</definedName>
    <definedName name="ee">#REF!</definedName>
    <definedName name="EEB">#REF!</definedName>
    <definedName name="EEEE" hidden="1">#REF!</definedName>
    <definedName name="EEEEE">'[49]Resumo Fatur.'!$AE$17:$AR$18</definedName>
    <definedName name="EEVP">'[37]CÁLCULO GRÁFICO'!$A$8:$P$134</definedName>
    <definedName name="egterqfg23gt432" hidden="1">{"ATI",#N/A,TRUE,"BALabr97";"PAS",#N/A,TRUE,"BALabr97";"REC",#N/A,TRUE,"BALabr97"}</definedName>
    <definedName name="EIIURE">[52]INFO!$A$2</definedName>
    <definedName name="EME">[34]premi96!$R$4:'[34]premi96'!$AC$67</definedName>
    <definedName name="emergencial">'[13]CALC-RESUMO'!$AN$3:$AR$34</definedName>
    <definedName name="EMp" hidden="1">#REF!</definedName>
    <definedName name="Emp_Marca_Qual">[53]BZ_Geral!$C$7:$C$65536</definedName>
    <definedName name="ENCABR05">#REF!</definedName>
    <definedName name="ENCABR06">#REF!</definedName>
    <definedName name="ENCABR07">#REF!</definedName>
    <definedName name="ENCAGO05">#REF!</definedName>
    <definedName name="ENCAGO06">#REF!</definedName>
    <definedName name="ENCAGO07">#REF!</definedName>
    <definedName name="ENCARGOS">#REF!</definedName>
    <definedName name="ENCARGOS0108">#REF!</definedName>
    <definedName name="ENCCFEV05">#REF!</definedName>
    <definedName name="ENCCMAR05">#REF!</definedName>
    <definedName name="ENCDEZ05">#REF!</definedName>
    <definedName name="ENCDEZ06">#REF!</definedName>
    <definedName name="ENCDEZ07">#REF!</definedName>
    <definedName name="ENCFEV05">#REF!</definedName>
    <definedName name="ENCFEV06">#REF!</definedName>
    <definedName name="ENCFEV07">#REF!</definedName>
    <definedName name="ENCJAN05">#REF!</definedName>
    <definedName name="ENCJAN06">#REF!</definedName>
    <definedName name="ENCJAN07">#REF!</definedName>
    <definedName name="ENCJAN08">[44]ENCJAN08!$A:$IV</definedName>
    <definedName name="ENCJANSIM">#REF!</definedName>
    <definedName name="ENCJANTESTE">#REF!</definedName>
    <definedName name="ENCJUL05">#REF!</definedName>
    <definedName name="ENCJUL06">#REF!</definedName>
    <definedName name="ENCJUL07">#REF!</definedName>
    <definedName name="ENCJUN05">#REF!</definedName>
    <definedName name="ENCJUN06">#REF!</definedName>
    <definedName name="ENCJUN07">#REF!</definedName>
    <definedName name="ENCMAI05">#REF!</definedName>
    <definedName name="ENCMAI06">#REF!</definedName>
    <definedName name="ENCMAI07">#REF!</definedName>
    <definedName name="ENCMAR05">#REF!</definedName>
    <definedName name="ENCMAR06">#REF!</definedName>
    <definedName name="ENCMAR07">#REF!</definedName>
    <definedName name="ENCNOV05">#REF!</definedName>
    <definedName name="ENCNOV06">#REF!</definedName>
    <definedName name="ENCNOV07">#REF!</definedName>
    <definedName name="ENCOUT05">#REF!</definedName>
    <definedName name="ENCOUT06">#REF!</definedName>
    <definedName name="ENCOUT07">#REF!</definedName>
    <definedName name="ENCSET05">#REF!</definedName>
    <definedName name="ENCSET06">#REF!</definedName>
    <definedName name="ENCSET07">#REF!</definedName>
    <definedName name="EQUIV.PATRIMONIAL">#REF!</definedName>
    <definedName name="ertgqetq" hidden="1">{"ATI",#N/A,TRUE,"BALabr97";"PAS",#N/A,TRUE,"BALabr97";"REC",#N/A,TRUE,"BALabr97"}</definedName>
    <definedName name="eu">#REF!</definedName>
    <definedName name="eurofranco">#REF!</definedName>
    <definedName name="eurolira">#REF!</definedName>
    <definedName name="evol_ind">'[54]Saída - Relatório Interno'!$A$6:$J$30</definedName>
    <definedName name="Evoluccion2000">#REF!</definedName>
    <definedName name="ewe">#REF!</definedName>
    <definedName name="EWIUO">[52]INFO!$A$2</definedName>
    <definedName name="Excel_BuiltIn__FilterDatabase">#REF!</definedName>
    <definedName name="Excel_BuiltIn__FilterDatabase_1">"$#REF!.$A$2:$N$22"</definedName>
    <definedName name="Excel_BuiltIn__FilterDatabase_1_1">"$#REF!.$A$2:$N$22"</definedName>
    <definedName name="Excel_BuiltIn__FilterDatabase_2">"$#REF!.$A$2:$I$20"</definedName>
    <definedName name="Excel_BuiltIn__FilterDatabase_2_1">"$#REF!.$A$2:$I$20"</definedName>
    <definedName name="Excel_BuiltIn__FilterDatabase_3">#REF!</definedName>
    <definedName name="Excel_BuiltIn__FilterDatabase_4">#REF!</definedName>
    <definedName name="Excel_BuiltIn__FilterDatabase_4000">#REF!</definedName>
    <definedName name="Excel_BuiltIn__FilterDatabase_5">#REF!</definedName>
    <definedName name="Excel_BuiltIn__FilterDatabase_8">[55]ALGODAO!#REF!</definedName>
    <definedName name="Excel_BuiltIn_FilterDatabase_2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0">"$#REF!.$A$1:$U$149"</definedName>
    <definedName name="Excel_BuiltIn_Print_Area_2">'[56]Inventário Mat Prima Fio'!#REF!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3">"$#REF!.$A$1:$E$39"</definedName>
    <definedName name="Excel_BuiltIn_Print_Area_3_1">#REF!</definedName>
    <definedName name="Excel_BuiltIn_Print_Area_3_1_1">#REF!</definedName>
    <definedName name="Excel_BuiltIn_Print_Area_3_1_1_1">"$#REF!.$A$1:$K$19"</definedName>
    <definedName name="Excel_BuiltIn_Print_Area_4">[55]ALGODÃO!#REF!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5">"$#REF!.$A$1:$J$43"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6">"$#REF!.$A$1:$S$46"</definedName>
    <definedName name="Excel_BuiltIn_Print_Area_6_1">#REF!</definedName>
    <definedName name="Excel_BuiltIn_Print_Area_7">#REF!</definedName>
    <definedName name="Excel_BuiltIn_Print_Area_8">[55]ALGODAO!#REF!</definedName>
    <definedName name="Excel_BuiltIn_Print_Area_9">"$#REF!.$A$1:$N$113"</definedName>
    <definedName name="Excel_BuiltIn_Print_Titles_1">#REF!</definedName>
    <definedName name="Excel_BuiltIn_Print_Titles_5">[55]REM_FIO!#REF!</definedName>
    <definedName name="Excel_BuiltIn_Print_Titles_8">[55]ALGODAO!#REF!</definedName>
    <definedName name="extext">[32]BAL1001!#REF!</definedName>
    <definedName name="Extract_MI">#REF!</definedName>
    <definedName name="f">#REF!</definedName>
    <definedName name="F_1">#REF!</definedName>
    <definedName name="F_2">#REF!</definedName>
    <definedName name="F_3">#REF!</definedName>
    <definedName name="F3.1" hidden="1">{"PLAN MED.PROVISORIA",#N/A,FALSE,"IRENDA"}</definedName>
    <definedName name="faldodd">#REF!</definedName>
    <definedName name="Fat_Final">[53]BZ_Geral!$AE$7:$AE$65536</definedName>
    <definedName name="FATURAMENTO">#REF!</definedName>
    <definedName name="Faturamento_Líquido">#REF!</definedName>
    <definedName name="FDDD" hidden="1">{"Financ.total",#N/A,FALSE,"BALJAN97"}</definedName>
    <definedName name="fdsfs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eriados">#REF!</definedName>
    <definedName name="ffefwef" hidden="1">{"PLAN MED.PROVISORIA",#N/A,FALSE,"IRENDA"}</definedName>
    <definedName name="Financiamento.Caixa">[57]Validação!#REF!</definedName>
    <definedName name="fios2008stl">#REF!</definedName>
    <definedName name="fioset08stl">#REF!</definedName>
    <definedName name="FISCFACC_MES">'[58]RESULTADO MÊS A MÊS'!$A$1:$AC$5417</definedName>
    <definedName name="FLUXOC">[59]Plan1!#REF!</definedName>
    <definedName name="Formato">[58]Informe!$L$7:$AA$21</definedName>
    <definedName name="FREG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sfsgf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URTO">'[12]MOD 7 SIN'!#REF!</definedName>
    <definedName name="g">#REF!</definedName>
    <definedName name="g45h42g4tg42" hidden="1">{"Planil_IR",#N/A,FALSE,"BALJUN97";"Financeiras_Líquidas",#N/A,FALSE,"BALJUN97"}</definedName>
    <definedName name="GANHO_PERDA">[48]ELIM_FINANCEIRA!$AR$4:$AW$17</definedName>
    <definedName name="Gastos.com.Pessoal">#REF!</definedName>
    <definedName name="gdgdg">#REF!</definedName>
    <definedName name="GERAL">#N/A</definedName>
    <definedName name="gfwegweg" hidden="1">{#N/A,#N/A,FALSE,"1321";#N/A,#N/A,FALSE,"1324";#N/A,#N/A,FALSE,"1333";#N/A,#N/A,FALSE,"1371"}</definedName>
    <definedName name="gg">[60]RIS_TECNICHE!#REF!</definedName>
    <definedName name="ggggg">[61]DRE!#REF!</definedName>
    <definedName name="GRAFICO">'[62]inc. claim 97'!#REF!</definedName>
    <definedName name="_xlnm.Recorder">#REF!</definedName>
    <definedName name="grewgq" hidden="1">{#N/A,#N/A,FALSE,"1321";#N/A,#N/A,FALSE,"1324";#N/A,#N/A,FALSE,"1333";#N/A,#N/A,FALSE,"1371"}</definedName>
    <definedName name="GRUPO_1">#REF!</definedName>
    <definedName name="GRUPO_2">#REF!</definedName>
    <definedName name="GRUPO_3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ruppo">[2]CECO!#REF!</definedName>
    <definedName name="g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Guaraniana" hidden="1">#REF!</definedName>
    <definedName name="H">#REF!</definedName>
    <definedName name="H_\CONTABIL\2000\AC1083_9">#REF!</definedName>
    <definedName name="haiuhsuihas" hidden="1">[4]Mercado!#REF!</definedName>
    <definedName name="hh">#REF!</definedName>
    <definedName name="HIDE">#REF!</definedName>
    <definedName name="HJH">[63]NOV.00!$B$9:$O$389</definedName>
    <definedName name="HOECHST______20">#REF!</definedName>
    <definedName name="HONORARIO">#REF!</definedName>
    <definedName name="HTML_CodePage" hidden="1">1252</definedName>
    <definedName name="HTML_Control" hidden="1">{"'FLUXO-99'!$A$962:$G$963","'FLUXO-99'!$A$962:$G$963","'FLUXO-99'!$A$962:$G$963","'FLUXO-99'!$A$962:$G$963","'FLUXO-99'!$A$962:$G$963","'FLUXO-99'!$A$962:$G$963"}</definedName>
    <definedName name="HTML_Description" hidden="1">""</definedName>
    <definedName name="HTML_Email" hidden="1">""</definedName>
    <definedName name="HTML_Header" hidden="1">"FLUXO-99"</definedName>
    <definedName name="HTML_LastUpdate" hidden="1">"08/12/99"</definedName>
    <definedName name="HTML_LineAfter" hidden="1">FALSE</definedName>
    <definedName name="HTML_LineBefore" hidden="1">FALSE</definedName>
    <definedName name="HTML_Name" hidden="1">"Grupo Multiplan"</definedName>
    <definedName name="HTML_OBDlg2" hidden="1">TRUE</definedName>
    <definedName name="HTML_OBDlg4" hidden="1">TRUE</definedName>
    <definedName name="HTML_OS" hidden="1">0</definedName>
    <definedName name="HTML_PathFile" hidden="1">"C:\TRAB\EXCEL\BALANÇOS\MeuHTML.htm"</definedName>
    <definedName name="HTML_PathFileMac" hidden="1">"Macintosh HD:HomePageStuff:New_Home_Page:datafile:ctryprem.html"</definedName>
    <definedName name="HTML_Title" hidden="1">"BLMTP99"</definedName>
    <definedName name="I">#REF!</definedName>
    <definedName name="I.RENDA.2TRIM">#REF!</definedName>
    <definedName name="I.RENDA.3TRIM">#REF!</definedName>
    <definedName name="I.RENDA.4TRIM">#REF!</definedName>
    <definedName name="II">#REF!</definedName>
    <definedName name="im">[6]ANALI2001!$CL$8144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">#REF!</definedName>
    <definedName name="IMP_1">#REF!</definedName>
    <definedName name="IMP_10">#REF!</definedName>
    <definedName name="IMP_11">#REF!</definedName>
    <definedName name="IMP_12">#REF!</definedName>
    <definedName name="IMP_2">#REF!</definedName>
    <definedName name="IMP_3">#REF!</definedName>
    <definedName name="IMP_4">#REF!</definedName>
    <definedName name="IMP_5">#REF!</definedName>
    <definedName name="IMP_6">#REF!</definedName>
    <definedName name="IMP_7">#REF!</definedName>
    <definedName name="IMP_8">#REF!</definedName>
    <definedName name="IMP_9">#REF!</definedName>
    <definedName name="IMP_A">#REF!</definedName>
    <definedName name="IMP_B">#REF!</definedName>
    <definedName name="IMP_C">#REF!</definedName>
    <definedName name="IMP_D">#REF!</definedName>
    <definedName name="IMP_E">#REF!</definedName>
    <definedName name="IMP_F">#REF!</definedName>
    <definedName name="IMP_G">#REF!</definedName>
    <definedName name="IMP_H">#REF!</definedName>
    <definedName name="IMP_I">#REF!</definedName>
    <definedName name="IMP_J">#REF!</definedName>
    <definedName name="IMP_L">#REF!</definedName>
    <definedName name="impressão">#REF!</definedName>
    <definedName name="inc98mens" xml:space="preserve"> [64]RIEP_INC_98!$B$67:$M$96</definedName>
    <definedName name="INC98PROGR">[64]RIEP_INC_98!$B$100:$M$129</definedName>
    <definedName name="inc99mens" xml:space="preserve"> [64]RIEP_INC_98!$B$67:$M$96</definedName>
    <definedName name="incbdg">[34]prebdg97!$B$2:'[34]prebdg97'!$M$31</definedName>
    <definedName name="INCENDIO">'[12]MOD 7 SIN'!#REF!</definedName>
    <definedName name="IndA1">[31]Critérios!$C$56:$E$57</definedName>
    <definedName name="INDICADORES01">'[64]pl atual'!$A$1:$A$65536</definedName>
    <definedName name="INF.GER.">#REF!</definedName>
    <definedName name="INF.GER1">#REF!</definedName>
    <definedName name="Inflation">[65]Summary!$O$32</definedName>
    <definedName name="INFORTUNI">#REF!</definedName>
    <definedName name="inghfr">[65]ANALI2000!$CL$8178</definedName>
    <definedName name="Ingles">'[66]saída até 99'!$I$43:$M$43</definedName>
    <definedName name="INICIO">#REF!</definedName>
    <definedName name="input">[67]INPUT!$B$7:$L$1010</definedName>
    <definedName name="INSTRUÇÕES">#REF!</definedName>
    <definedName name="invasão" hidden="1">{#N/A,#N/A,FALSE,"PACCIL";#N/A,#N/A,FALSE,"PAITACAN";#N/A,#N/A,FALSE,"PARECO";#N/A,#N/A,FALSE,"PA62";#N/A,#N/A,FALSE,"PAFINAL";#N/A,#N/A,FALSE,"PARECONF";#N/A,#N/A,FALSE,"PARECOND"}</definedName>
    <definedName name="Investimento.Caixa">[57]Validação!#REF!</definedName>
    <definedName name="Investimento_Logística" hidden="1">{"E001 Geração de Caixa Geral",#N/A,FALSE,"PCF97-04";"E002 D.L.P. Geral",#N/A,FALSE,"PCF97-04";"E003 D.L.P. Produção Própria",#N/A,FALSE,"PCF97-04";"E004 D.L.P. Produtos de Revenda",#N/A,FALSE,"PCF97-04";"E005 Previsão C.F. P.P.",#N/A,FALSE,"PCF97-04";"E006 Previasão C.F. P.P. II",#N/A,FALSE,"PCF97-04";"E007 Preço Médio Produção Própria",#N/A,FALSE,"PCF97-04";"E008 D.F.C. Produção Própria",#N/A,FALSE,"PCF97-04";"E009 Custo Produção Própria",#N/A,FALSE,"PCF97-04";"E010 D.F.C. Revenda",#N/A,FALSE,"PCF97-04";"E011 Despesa I",#N/A,FALSE,"PCF97-04";"E012 Despesa II",#N/A,FALSE,"PCF97-04";"E013 Folha de Pagamento I",#N/A,FALSE,"PCF97-04";"E014 Folha de Pagamento II",#N/A,FALSE,"PCF97-04"}</definedName>
    <definedName name="INVESTIMENTOSREAL">#REF!</definedName>
    <definedName name="iperda2000R">[68]ANALI98!#REF!</definedName>
    <definedName name="IR_ANO">#REF!</definedName>
    <definedName name="IR_UFIR">#REF!</definedName>
    <definedName name="iui" hidden="1">[69]XREF!$A$3:$IV$3</definedName>
    <definedName name="iy">#REF!</definedName>
    <definedName name="Jan_97">#REF!</definedName>
    <definedName name="jhhh" hidden="1">{#N/A,#N/A,FALSE,"PACCIL";#N/A,#N/A,FALSE,"PAITACAN";#N/A,#N/A,FALSE,"PARECO";#N/A,#N/A,FALSE,"PA62";#N/A,#N/A,FALSE,"PAFINAL";#N/A,#N/A,FALSE,"PARECONF";#N/A,#N/A,FALSE,"PARECOND"}</definedName>
    <definedName name="jhkj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jj">#REF!</definedName>
    <definedName name="JUN">#REF!</definedName>
    <definedName name="k">[70]Links!$K$1:$K$65536</definedName>
    <definedName name="KJDBJHS">#REF!</definedName>
    <definedName name="kk">#REF!</definedName>
    <definedName name="klkl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L.">#REF!</definedName>
    <definedName name="L._REAL_CONTRIB">#REF!</definedName>
    <definedName name="L.EXPL.">#REF!</definedName>
    <definedName name="L.REAL">#REF!</definedName>
    <definedName name="L_CY_Beg">[71]Links!$F$1:$F$65536</definedName>
    <definedName name="la" hidden="1">#REF!</definedName>
    <definedName name="LANC">#REF!</definedName>
    <definedName name="LANÇ_ELIM">[48]ELIM_FINANCEIRA!$B$2:$D$30</definedName>
    <definedName name="LANC1">#REF!</definedName>
    <definedName name="LANCTOS">#N/A</definedName>
    <definedName name="legendapag">'[72]Legenda Pagamentos'!$A$2:$A$91</definedName>
    <definedName name="legendarec">'[72]Legenda Recebimentos'!$A$2:$A$40</definedName>
    <definedName name="limcount" hidden="1">1</definedName>
    <definedName name="LinhaTítuloRegião1..F2">#REF!</definedName>
    <definedName name="lista_bancos">#REF!</definedName>
    <definedName name="Lista0">'[13]CALC-RESUMO'!$A$6:$W$37</definedName>
    <definedName name="lista1">'[13]CALC-RESUMO'!$AA$3:$AV$34</definedName>
    <definedName name="ljlj" hidden="1">{"PARTE1",#N/A,FALSE,"Plan1"}</definedName>
    <definedName name="LL">#REF!</definedName>
    <definedName name="LLAnterior">#REF!</definedName>
    <definedName name="LLOYD">#N/A</definedName>
    <definedName name="LLOYDS">#REF!</definedName>
    <definedName name="longo">#REF!</definedName>
    <definedName name="longo2">#REF!</definedName>
    <definedName name="Longo4">#REF!</definedName>
    <definedName name="longoA">#REF!</definedName>
    <definedName name="lopes" hidden="1">{#N/A,#N/A,FALSE,"PACCIL";#N/A,#N/A,FALSE,"PAITACAN";#N/A,#N/A,FALSE,"PARECO";#N/A,#N/A,FALSE,"PA62";#N/A,#N/A,FALSE,"PAFINAL";#N/A,#N/A,FALSE,"PARECONF";#N/A,#N/A,FALSE,"PARECOND"}</definedName>
    <definedName name="LP_anpar">#REF!</definedName>
    <definedName name="LP_csoci">#REF!</definedName>
    <definedName name="LP_cusbr">#REF!</definedName>
    <definedName name="LP_cusmv">#REF!</definedName>
    <definedName name="LP_deadm">#REF!</definedName>
    <definedName name="LP_deppl">#REF!</definedName>
    <definedName name="LP_deven">#REF!</definedName>
    <definedName name="LP_equiv">#REF!</definedName>
    <definedName name="LP_Finep">#REF!</definedName>
    <definedName name="LP_irend">#REF!</definedName>
    <definedName name="LP_isven">#REF!</definedName>
    <definedName name="LP_juauf">#REF!</definedName>
    <definedName name="LP_jupgo">#REF!</definedName>
    <definedName name="LP_jurco">#REF!</definedName>
    <definedName name="LP_luliq">#REF!</definedName>
    <definedName name="LP_oujur">#REF!</definedName>
    <definedName name="LP_ourec">#REF!</definedName>
    <definedName name="LP_venda">#REF!</definedName>
    <definedName name="LPABR05">#REF!</definedName>
    <definedName name="LPABR06">#REF!</definedName>
    <definedName name="LPABR07">#REF!</definedName>
    <definedName name="LPAGO05">#REF!</definedName>
    <definedName name="LPAGO06">#REF!</definedName>
    <definedName name="LPAGO07">#REF!</definedName>
    <definedName name="LPDEZ05">#REF!</definedName>
    <definedName name="LPDEZ06">#REF!</definedName>
    <definedName name="LPDEZ07">#REF!</definedName>
    <definedName name="LPFEV05">#REF!</definedName>
    <definedName name="LPFEV06">#REF!</definedName>
    <definedName name="LPFEV07">#REF!</definedName>
    <definedName name="LPJAN05">#REF!</definedName>
    <definedName name="LPJAN06">#REF!</definedName>
    <definedName name="LPJAN07">#REF!</definedName>
    <definedName name="LPJAN08">[44]LPJAN08!$A:$IV</definedName>
    <definedName name="LPJANSIM">#REF!</definedName>
    <definedName name="LPJANTESTE">#REF!</definedName>
    <definedName name="LPJUL05">#REF!</definedName>
    <definedName name="LPJUL06">#REF!</definedName>
    <definedName name="LPJUL07">#REF!</definedName>
    <definedName name="LPJUN05">#REF!</definedName>
    <definedName name="LPJUN06">#REF!</definedName>
    <definedName name="LPJUN07">#REF!</definedName>
    <definedName name="LPMAI05">#REF!</definedName>
    <definedName name="LPMAI06">#REF!</definedName>
    <definedName name="LPMAI07">#REF!</definedName>
    <definedName name="LPMAR05">#REF!</definedName>
    <definedName name="LPMAR06">#REF!</definedName>
    <definedName name="LPMAR07">#REF!</definedName>
    <definedName name="LPNOV05">#REF!</definedName>
    <definedName name="LPNOV06">#REF!</definedName>
    <definedName name="LPNOV07">#REF!</definedName>
    <definedName name="LPOUT05">#REF!</definedName>
    <definedName name="LPOUT06">#REF!</definedName>
    <definedName name="LPOUT07">#REF!</definedName>
    <definedName name="LPRAZO">#REF!</definedName>
    <definedName name="LPRAZO0108">#REF!</definedName>
    <definedName name="LPSET05">#REF!</definedName>
    <definedName name="LPSET06">#REF!</definedName>
    <definedName name="LPSET07">#REF!</definedName>
    <definedName name="LRANO">#REF!</definedName>
    <definedName name="LTCelpe">#REF!</definedName>
    <definedName name="LULA" hidden="1">{#N/A,#N/A,FALSE,"1321";#N/A,#N/A,FALSE,"1324";#N/A,#N/A,FALSE,"1333";#N/A,#N/A,FALSE,"1371"}</definedName>
    <definedName name="m" hidden="1">#REF!</definedName>
    <definedName name="M1.2" hidden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">#REF!</definedName>
    <definedName name="MACROS">#REF!</definedName>
    <definedName name="magamaga">[32]BAL1001!#REF!</definedName>
    <definedName name="Maiores_Devedores_PDD_90">#REF!</definedName>
    <definedName name="MALATTIE">'[12]MOD 7 SIN'!#REF!</definedName>
    <definedName name="MAND">[66]Andam.!$F$1:$F$65536</definedName>
    <definedName name="manoel">#REF!</definedName>
    <definedName name="MAPA1">'[73]SUP-41'!#REF!</definedName>
    <definedName name="MAPA2">'[73]SUP-41'!#REF!</definedName>
    <definedName name="MAPA3">'[73]SUP-41'!#REF!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">[74]SCG!#REF!</definedName>
    <definedName name="MARATI">[32]BAL1001!#REF!</definedName>
    <definedName name="marc" hidden="1">[75]Resumo!$C$29</definedName>
    <definedName name="marcelo">#REF!</definedName>
    <definedName name="MARPASSI">[32]BAL1001!#REF!</definedName>
    <definedName name="MARRESUL">[32]BAL1001!#REF!</definedName>
    <definedName name="marrr">[76]Lead!$F$1:$F$65536</definedName>
    <definedName name="mary">#REF!</definedName>
    <definedName name="mbgs">#REF!</definedName>
    <definedName name="MCON">'[66]Concl.'!$F$1:$F$65536</definedName>
    <definedName name="me">#REF!</definedName>
    <definedName name="MEN">#REF!</definedName>
    <definedName name="MEN1A">#REF!</definedName>
    <definedName name="MEN1B">#REF!</definedName>
    <definedName name="MEN2A">#REF!</definedName>
    <definedName name="MEN2B">#REF!</definedName>
    <definedName name="MENU">#REF!</definedName>
    <definedName name="MENU1">#REF!</definedName>
    <definedName name="MENU1A">#REF!</definedName>
    <definedName name="MENU1B">#REF!</definedName>
    <definedName name="MENU2">#REF!</definedName>
    <definedName name="MENU2A">#REF!</definedName>
    <definedName name="MENU2B">#REF!</definedName>
    <definedName name="MENU3">#REF!</definedName>
    <definedName name="MENU4">#REF!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S">#REF!</definedName>
    <definedName name="mese">"="</definedName>
    <definedName name="MEXC">[66]Excluído!$F$1:$F$65536</definedName>
    <definedName name="mi">#REF!</definedName>
    <definedName name="Milena">[77]DRE!#REF!</definedName>
    <definedName name="mm" hidden="1">{#N/A,#N/A,FALSE,"PACCIL";#N/A,#N/A,FALSE,"PAITACAN";#N/A,#N/A,FALSE,"PARECO";#N/A,#N/A,FALSE,"PA62";#N/A,#N/A,FALSE,"PAFINAL";#N/A,#N/A,FALSE,"PARECONF";#N/A,#N/A,FALSE,"PARECOND"}</definedName>
    <definedName name="MM_1">#REF!</definedName>
    <definedName name="mmm">[78]Lead!$I$38</definedName>
    <definedName name="mmreeee" hidden="1">#REF!</definedName>
    <definedName name="mo">#REF!</definedName>
    <definedName name="Mod.J.AAA">#REF!</definedName>
    <definedName name="MODULOS">#N/A</definedName>
    <definedName name="MOEDAANO">#REF!</definedName>
    <definedName name="MOEDAMES">#REF!</definedName>
    <definedName name="MOEDANOB">#REF!</definedName>
    <definedName name="MOEDMESB">#REF!</definedName>
    <definedName name="Montante">#REF!</definedName>
    <definedName name="mov_ac" hidden="1">[79]Mercado!#REF!</definedName>
    <definedName name="MPEN">[66]Penden.!$F$1:$F$65536</definedName>
    <definedName name="MPRG">[66]Progr.!$F$1:$F$65536</definedName>
    <definedName name="mrirrr">#REF!</definedName>
    <definedName name="MSEL">[66]Selec.!$F$1:$F$65536</definedName>
    <definedName name="Mt_Kg_Final">[53]BZ_Geral!$AC$7:$AC$65536</definedName>
    <definedName name="mtbalago08">#REF!</definedName>
    <definedName name="mwh_fat">'[39]pl atual'!$F$1:$F$65536</definedName>
    <definedName name="my">#REF!</definedName>
    <definedName name="n" hidden="1">{#N/A,#N/A,FALSE,"1321";#N/A,#N/A,FALSE,"1324";#N/A,#N/A,FALSE,"1333";#N/A,#N/A,FALSE,"1371"}</definedName>
    <definedName name="NECESSIDADE_DE_FINANCIAMENTO">'[8]Neces. Finan'!#REF!</definedName>
    <definedName name="nikol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njo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lkp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n" hidden="1">{#N/A,#N/A,FALSE,"PACCIL";#N/A,#N/A,FALSE,"PAITACAN";#N/A,#N/A,FALSE,"PARECO";#N/A,#N/A,FALSE,"PA62";#N/A,#N/A,FALSE,"PAFINAL";#N/A,#N/A,FALSE,"PARECONF";#N/A,#N/A,FALSE,"PARECOND"}</definedName>
    <definedName name="nnn" hidden="1">{#N/A,#N/A,FALSE,"1321";#N/A,#N/A,FALSE,"1324";#N/A,#N/A,FALSE,"1333";#N/A,#N/A,FALSE,"1371"}</definedName>
    <definedName name="NOAG">#REF!</definedName>
    <definedName name="nomeforn">#REF!</definedName>
    <definedName name="NOVA_INSTRUMENTAÇÃO">#REF!</definedName>
    <definedName name="NOVA_INSTRUMENTAÇÃO_EQUIPAMENTO_NAC.">#REF!</definedName>
    <definedName name="NOVACRE">[29]BAL1001!#REF!</definedName>
    <definedName name="NOVAS">#REF!</definedName>
    <definedName name="ntxbalago08">#REF!</definedName>
    <definedName name="NUAG">#REF!</definedName>
    <definedName name="NUMERO1">#REF!</definedName>
    <definedName name="NUMERO2">#REF!</definedName>
    <definedName name="NUMERO3">#REF!</definedName>
    <definedName name="NUMERO4">#REF!</definedName>
    <definedName name="NUMERO5">#REF!</definedName>
    <definedName name="NUMERO6">#REF!</definedName>
    <definedName name="Obj.Corp.">'[80]pl atual'!$A$1:$A$65536</definedName>
    <definedName name="OBRIG.TRIB.2TRIM">#REF!</definedName>
    <definedName name="OBRIG.TRIB.3TRIM">#REF!</definedName>
    <definedName name="OBRIG.TRIB.4TRIM">#REF!</definedName>
    <definedName name="OBS">#REF!</definedName>
    <definedName name="OHQDOqidjp">#REF!</definedName>
    <definedName name="OI" hidden="1">{#N/A,#N/A,FALSE,"1321";#N/A,#N/A,FALSE,"1324";#N/A,#N/A,FALSE,"1333";#N/A,#N/A,FALSE,"1371"}</definedName>
    <definedName name="ORIGANO">#REF!</definedName>
    <definedName name="ORIGANOB">#REF!</definedName>
    <definedName name="ORIGMES">#REF!</definedName>
    <definedName name="ORIGMESB">#REF!</definedName>
    <definedName name="OUT_INFORM">#REF!</definedName>
    <definedName name="OUTPUT">[81]RIS_TECNICHE!#REF!</definedName>
    <definedName name="Outras.Despesas.não.Operacionais">[57]Validação!#REF!</definedName>
    <definedName name="Outras.Receitas.não.Operacionais">[57]Validação!#REF!</definedName>
    <definedName name="OUTRASRECEITAS2">[82]relação!#REF!</definedName>
    <definedName name="outros" hidden="1">{#N/A,#N/A,FALSE,"PACCIL";#N/A,#N/A,FALSE,"PAITACAN";#N/A,#N/A,FALSE,"PARECO";#N/A,#N/A,FALSE,"PA62";#N/A,#N/A,FALSE,"PAFINAL";#N/A,#N/A,FALSE,"PARECONF";#N/A,#N/A,FALSE,"PARECOND"}</definedName>
    <definedName name="OUTROSAC_CRED">[83]ELIMINAÇÕES!$J$283</definedName>
    <definedName name="OUTROSAC_DEB">[83]ELIMINAÇÕES!$H$288</definedName>
    <definedName name="P">#REF!</definedName>
    <definedName name="P.A.T.">#REF!</definedName>
    <definedName name="PAGINA1">#REF!</definedName>
    <definedName name="PARADA_REV">#REF!</definedName>
    <definedName name="parte1">#REF!</definedName>
    <definedName name="Parte1a." hidden="1">{"PARTE1",#N/A,FALSE,"Plan1"}</definedName>
    <definedName name="parte2">#REF!</definedName>
    <definedName name="PASCONSO">#REF!</definedName>
    <definedName name="PASFLB">'[24]A4.2-FLEXIBRAS'!$C$96:$K$149</definedName>
    <definedName name="PASMFL">'[25]A4.4-MARFLEX'!$C$96:$L$149</definedName>
    <definedName name="passatual">#REF!</definedName>
    <definedName name="PASSEAOIL">'[26]A4.6-SEAOIL'!$C$96:$K$149</definedName>
    <definedName name="PASSGM">'[27]A4.3-SIGMA'!$C$96:$J$149</definedName>
    <definedName name="passivo">#REF!</definedName>
    <definedName name="PASSIVO_CONS">#REF!</definedName>
    <definedName name="PATRIMONIOREAL">#REF!</definedName>
    <definedName name="PB_FINANC_CMI">[48]ELIM_FINANCEIRA!$BO$2:$CI$70</definedName>
    <definedName name="PB_FINANC_LEG_SOC">[48]ELIM_FINANCEIRA!$BA$2:$BM$67</definedName>
    <definedName name="PDC" hidden="1">#REF!</definedName>
    <definedName name="PDCMENSALREAL">#REF!</definedName>
    <definedName name="pinco" hidden="1">[34]ce!#REF!</definedName>
    <definedName name="pinco1">[84]prebdg97!#REF!</definedName>
    <definedName name="pinco2">[84]prebdg97!$Q$2:'[84]prebdg97'!$AB$63</definedName>
    <definedName name="pinco3">[84]prebdg97!$B$2:$M$31</definedName>
    <definedName name="pinco4">#REF!</definedName>
    <definedName name="pinco5">[84]premi96!$R$4:'[84]premi96'!$AC$67</definedName>
    <definedName name="pinco6">[84]prebdg97!$B$2:'[84]prebdg97'!$M$31</definedName>
    <definedName name="pinco7">[85]ce99!#REF!</definedName>
    <definedName name="pinco8">[86]RIS_TECNICHE!#REF!</definedName>
    <definedName name="pippo" hidden="1">[2]ce!#REF!</definedName>
    <definedName name="pippooooo" hidden="1">[2]ce!#REF!</definedName>
    <definedName name="PIS_INSS">#REF!</definedName>
    <definedName name="Planilha2003">'[87]Intertemporais PIS e COFINS'!$A$1:$CA$26</definedName>
    <definedName name="plano">'[88]Plano de Contas'!$B$4:$B$158</definedName>
    <definedName name="PLANO0">[87]INDICADORES!$B$6:$H$1778</definedName>
    <definedName name="PLCONSO">#REF!</definedName>
    <definedName name="PLFLB">'[24]A4.2-FLEXIBRAS'!$C$151:$K$238</definedName>
    <definedName name="PLMFL">'[25]A4.4-MARFLEX'!$C$151:$L$238</definedName>
    <definedName name="PLSE">'[26]A4.6-SEAOIL'!$C$151:$K$238</definedName>
    <definedName name="PLSEAOIL">'[26]A4.6-SEAOIL'!$C$151:$K$238</definedName>
    <definedName name="PLSGM">'[27]A4.3-SIGMA'!$C$151:$J$238</definedName>
    <definedName name="Portugues">'[66]saída até 99'!$A$3:$F$43</definedName>
    <definedName name="PR_isent">[89]Premissas!A$150</definedName>
    <definedName name="prazomedio">[9]DIVIDA!#REF!</definedName>
    <definedName name="PRE_ASS">#REF!</definedName>
    <definedName name="PRE_UGN">#REF!</definedName>
    <definedName name="PREJ.FISC.">#REF!</definedName>
    <definedName name="PREJ92">#REF!</definedName>
    <definedName name="PREJ93">#REF!</definedName>
    <definedName name="premi">[34]premi96!$B$4:'[34]premi96'!$AC$67</definedName>
    <definedName name="Previsão_Clientes_1999">#REF!</definedName>
    <definedName name="Previsão_Clientes_2000">#REF!</definedName>
    <definedName name="Previsão_Consumo_2000">#REF!</definedName>
    <definedName name="PRIMEIRO">#REF!</definedName>
    <definedName name="Print_Area_MI">#REF!</definedName>
    <definedName name="PRN">#N/A</definedName>
    <definedName name="prod">'[90]Proj.prod._venda_custo STL'!#REF!</definedName>
    <definedName name="prod11">'[90]Proj prod._venda_custo MT'!#REF!</definedName>
    <definedName name="PROJIXBUDGET2002FINHOLANDA">'[91]Lucros e Perdas'!#REF!</definedName>
    <definedName name="prova" hidden="1">{#N/A,#N/A,FALSE,"PACCIL";#N/A,#N/A,FALSE,"PAITACAN";#N/A,#N/A,FALSE,"PARECO";#N/A,#N/A,FALSE,"PA62";#N/A,#N/A,FALSE,"PAFINAL";#N/A,#N/A,FALSE,"PARECONF";#N/A,#N/A,FALSE,"PARECOND"}</definedName>
    <definedName name="PTS">#REF!</definedName>
    <definedName name="pubpub">[32]BAL1001!#REF!</definedName>
    <definedName name="q">[92]INFO!$A$2</definedName>
    <definedName name="qertwqrt" hidden="1">{"SOC E MEN balanços",#N/A,FALSE,"BALFEV97"}</definedName>
    <definedName name="Quadro_EXPORT">#REF!</definedName>
    <definedName name="Quadro_IMPORT">#REF!</definedName>
    <definedName name="Quadro_SALDO">#REF!</definedName>
    <definedName name="QUARTO">#REF!</definedName>
    <definedName name="QUIMENSALREAL">#REF!</definedName>
    <definedName name="qw">[93]INFO!$A$2</definedName>
    <definedName name="QWs">#REF!</definedName>
    <definedName name="RAND">[66]Andam.!$D$1:$D$65536</definedName>
    <definedName name="RCAUTO">'[12]MOD 7 SIN'!#REF!</definedName>
    <definedName name="RCDIVERSI">'[12]MOD 7 SIN'!#REF!</definedName>
    <definedName name="RCON">'[66]Concl.'!$D$1:$D$65536</definedName>
    <definedName name="REAIS">#REF!</definedName>
    <definedName name="REAL">#REF!</definedName>
    <definedName name="rebx">#REF!</definedName>
    <definedName name="REC_FINANCEIRA">[48]ELIM_FINANCEIRA!$Y$1:$AO$94</definedName>
    <definedName name="Receita">#REF!</definedName>
    <definedName name="Receita.Bruta">#REF!</definedName>
    <definedName name="Receita.com.Cursos">#REF!</definedName>
    <definedName name="Receita.Total">#REF!</definedName>
    <definedName name="Receita_Bruta">#REF!</definedName>
    <definedName name="receita2">#REF!</definedName>
    <definedName name="RECEITA3">[61]DRE!#REF!</definedName>
    <definedName name="RECEITA4">[61]DRE!#REF!</definedName>
    <definedName name="receita5">[94]DRE!#REF!</definedName>
    <definedName name="Receitas.com.Coaching">#REF!</definedName>
    <definedName name="Receitas.com.Comissão">#REF!</definedName>
    <definedName name="Receitas.com.MBA">#REF!</definedName>
    <definedName name="Receitas.com.Produtos">#REF!</definedName>
    <definedName name="Receitas.Digitais">#REF!</definedName>
    <definedName name="Receitas.Financeiras">#REF!</definedName>
    <definedName name="RECONCILIAÇÃO">#REF!</definedName>
    <definedName name="Ref_1">#REF!</definedName>
    <definedName name="Ref_10">'[95]Medições a faturar'!#REF!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M.DIR.">#REF!</definedName>
    <definedName name="REP_TIT">#REF!</definedName>
    <definedName name="RESPOSTA">#REF!</definedName>
    <definedName name="RESU">#REF!</definedName>
    <definedName name="resultado">#REF!</definedName>
    <definedName name="RESULTADO1">#REF!</definedName>
    <definedName name="RESULTADO5">#REF!</definedName>
    <definedName name="resvendasago08stl">#REF!</definedName>
    <definedName name="resvendasset08stl">#REF!</definedName>
    <definedName name="Retirada.de.Lucro">[57]Validação!#REF!</definedName>
    <definedName name="REXC">[66]Excluído!$D$1:$D$65536</definedName>
    <definedName name="RIC">#N/A</definedName>
    <definedName name="RICL">#N/A</definedName>
    <definedName name="RICLASS">#N/A</definedName>
    <definedName name="RIEPILOGO">'[12]MOD 7 SIN'!#REF!</definedName>
    <definedName name="rifmese">#REF!</definedName>
    <definedName name="ROXINHO_ATIVO_CONS">#REF!</definedName>
    <definedName name="ROXINHO_EQUIV.">#REF!</definedName>
    <definedName name="ROXINHO_PASSIVO_CONS">#REF!</definedName>
    <definedName name="RP_110">#REF!</definedName>
    <definedName name="RPC">#N/A</definedName>
    <definedName name="RPEN">[66]Penden.!$D$1:$D$65536</definedName>
    <definedName name="RPRG">[66]Progr.!$D$1:$D$65536</definedName>
    <definedName name="RR_1">#REF!</definedName>
    <definedName name="RR_10">#REF!</definedName>
    <definedName name="RR_11">#REF!</definedName>
    <definedName name="RR_12">#REF!</definedName>
    <definedName name="RR_2">#REF!</definedName>
    <definedName name="RR_3">#REF!</definedName>
    <definedName name="RR_4">#REF!</definedName>
    <definedName name="RR_5">#REF!</definedName>
    <definedName name="RR_6">#REF!</definedName>
    <definedName name="RR_7">#REF!</definedName>
    <definedName name="RR_8">#REF!</definedName>
    <definedName name="RR_9">#REF!</definedName>
    <definedName name="rrr" hidden="1">#REF!</definedName>
    <definedName name="RSC">'[73]SUP-41'!#REF!</definedName>
    <definedName name="RSEL">[66]Selec.!$D$1:$D$65536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">#REF!</definedName>
    <definedName name="saasa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sadaa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ALDO">#REF!</definedName>
    <definedName name="saldoa">[96]RAC!$A$5:$F$62</definedName>
    <definedName name="SaldoAnterior">#REF!</definedName>
    <definedName name="SAs">#REF!</definedName>
    <definedName name="SC_Ano" hidden="1">{"IMP02",#N/A,FALSE,"PREVISÃO DE VENDAS"}</definedName>
    <definedName name="SD">#REF!</definedName>
    <definedName name="sds" hidden="1">{"ativo analítico",#N/A,FALSE,"BALmar97";"passivo analítico",#N/A,FALSE,"BALmar97";"resultado analítico",#N/A,FALSE,"BALmar97"}</definedName>
    <definedName name="SEGUNDO">#REF!</definedName>
    <definedName name="sencount" hidden="1">1</definedName>
    <definedName name="Serviço.de.Terceiros">#REF!</definedName>
    <definedName name="Serviço.Terceiros">#REF!</definedName>
    <definedName name="Serviços.de.Terceiros">#REF!</definedName>
    <definedName name="Serviços.Terceiros">#REF!</definedName>
    <definedName name="ServiçosdeTerceiros">#REF!</definedName>
    <definedName name="shortname">[45]titles!$C$5</definedName>
    <definedName name="SIMPLES">#REF!</definedName>
    <definedName name="sintesi">[2]CECO!#REF!</definedName>
    <definedName name="sjhsjh">#REF!</definedName>
    <definedName name="sksjk">#REF!</definedName>
    <definedName name="sonia">[93]RAC!$A$4:$F$61</definedName>
    <definedName name="SPR">#N/A</definedName>
    <definedName name="Spread">#REF!</definedName>
    <definedName name="SS" hidden="1">[97]ce!#REF!</definedName>
    <definedName name="SSSSS" hidden="1">[97]ce!#REF!</definedName>
    <definedName name="SSSSSSS" hidden="1">#REF!</definedName>
    <definedName name="stlbalago08">#REF!</definedName>
    <definedName name="stlout08">'[1]faturamento STL out08'!$B$3:$U$93</definedName>
    <definedName name="SUBS_FINANC_CMI">[48]ELIM_FINANCEIRA!$CZ$2:$DT$72</definedName>
    <definedName name="SUBS_FINANC_LEG_SOC">[48]ELIM_FINANCEIRA!$CL$2:$CX$67</definedName>
    <definedName name="sucata" hidden="1">{#N/A,#N/A,FALSE,"PACCIL";#N/A,#N/A,FALSE,"PAITACAN";#N/A,#N/A,FALSE,"PARECO";#N/A,#N/A,FALSE,"PA62";#N/A,#N/A,FALSE,"PAFINAL";#N/A,#N/A,FALSE,"PARECONF";#N/A,#N/A,FALSE,"PARECOND"}</definedName>
    <definedName name="SWABR06">#REF!</definedName>
    <definedName name="SWABR07">#REF!</definedName>
    <definedName name="SWAGO05">#REF!</definedName>
    <definedName name="SWAGO06">#REF!</definedName>
    <definedName name="SWAGO07">#REF!</definedName>
    <definedName name="SWDEZ05">#REF!</definedName>
    <definedName name="SWDEZ06">#REF!</definedName>
    <definedName name="SWDEZ07">#REF!</definedName>
    <definedName name="SWFEV06">#REF!</definedName>
    <definedName name="SWFEV07">#REF!</definedName>
    <definedName name="SWJAN">#REF!</definedName>
    <definedName name="SWJAN05">#REF!</definedName>
    <definedName name="SWJAN06">#REF!</definedName>
    <definedName name="SWJAN07">#REF!</definedName>
    <definedName name="SWJAN08">[44]SWJAN08!$A:$IV</definedName>
    <definedName name="SWJANSIM">#REF!</definedName>
    <definedName name="SWJUL06">#REF!</definedName>
    <definedName name="SWJUL07">#REF!</definedName>
    <definedName name="SWJUN05">#REF!</definedName>
    <definedName name="SWJUN06">#REF!</definedName>
    <definedName name="SWJUN07">#REF!</definedName>
    <definedName name="SWMAI05">#REF!</definedName>
    <definedName name="SWMAI06">#REF!</definedName>
    <definedName name="SWMAI07">#REF!</definedName>
    <definedName name="SWMAR06">#REF!</definedName>
    <definedName name="SWMAR07">#REF!</definedName>
    <definedName name="SWNOV05">#REF!</definedName>
    <definedName name="SWNOV06">#REF!</definedName>
    <definedName name="SWNOV07">#REF!</definedName>
    <definedName name="SWOUT05">#REF!</definedName>
    <definedName name="SWOUT06">#REF!</definedName>
    <definedName name="SWOUT07">#REF!</definedName>
    <definedName name="SWSET05">#REF!</definedName>
    <definedName name="SWSET06">#REF!</definedName>
    <definedName name="SWSET07">#REF!</definedName>
    <definedName name="T">#REF!</definedName>
    <definedName name="t34t34t" hidden="1">{"FINANCEIRAS",#N/A,FALSE,"BALmar96"}</definedName>
    <definedName name="t3gtt" hidden="1">{"Financ.total",#N/A,FALSE,"BALJAN97"}</definedName>
    <definedName name="tab">[98]den96!$C$5:$N$14</definedName>
    <definedName name="TAB_UFIR">[48]ELIM_FINANCEIRA!$AW$2:$AZ$24</definedName>
    <definedName name="tabela">#REF!</definedName>
    <definedName name="tabela1">#REF!</definedName>
    <definedName name="TABELA2">#REF!</definedName>
    <definedName name="TABELA3">#REF!</definedName>
    <definedName name="TABELA4">#REF!</definedName>
    <definedName name="TABELA5">'[99]ABRIL 2000'!$AS$8:$AY$36</definedName>
    <definedName name="TABLE">#REF!</definedName>
    <definedName name="tania" hidden="1">{#N/A,#N/A,FALSE,"PACCIL";#N/A,#N/A,FALSE,"PAITACAN";#N/A,#N/A,FALSE,"PARECO";#N/A,#N/A,FALSE,"PA62";#N/A,#N/A,FALSE,"PAFINAL";#N/A,#N/A,FALSE,"PARECONF";#N/A,#N/A,FALSE,"PARECOND"}</definedName>
    <definedName name="TAnterior">#REF!</definedName>
    <definedName name="taxa">[46]CDI!$C$1,[46]CDI!$D$3,[46]CDI!$J$1:$J$65536</definedName>
    <definedName name="Taxrate">[65]Summary!$O$34</definedName>
    <definedName name="tec2008mt">#REF!</definedName>
    <definedName name="tec2008ntx">#REF!</definedName>
    <definedName name="tec2008stl">#REF!</definedName>
    <definedName name="Tecido">#REF!</definedName>
    <definedName name="tecset08mt">#REF!</definedName>
    <definedName name="tecset08ntx">#REF!</definedName>
    <definedName name="tecset08stl">#REF!</definedName>
    <definedName name="tel">#REF!</definedName>
    <definedName name="TELA">#REF!</definedName>
    <definedName name="TELA1">#REF!</definedName>
    <definedName name="TELA1.1">#REF!</definedName>
    <definedName name="TELA1.2">#REF!</definedName>
    <definedName name="TELA2">#REF!</definedName>
    <definedName name="TELA2.1">#REF!</definedName>
    <definedName name="TELA2.2">#REF!</definedName>
    <definedName name="TELA3">#REF!</definedName>
    <definedName name="TELA4">#REF!</definedName>
    <definedName name="TERCEIRO">#REF!</definedName>
    <definedName name="Term.Growthrate">[65]Summary!$O$35</definedName>
    <definedName name="teste">'[90]Res.oper.Proj.STL'!#REF!</definedName>
    <definedName name="teste1">#REF!</definedName>
    <definedName name="TESTE2" hidden="1">{#N/A,#N/A,FALSE,"PACCIL";#N/A,#N/A,FALSE,"PAITACAN";#N/A,#N/A,FALSE,"PARECO";#N/A,#N/A,FALSE,"PA62";#N/A,#N/A,FALSE,"PAFINAL";#N/A,#N/A,FALSE,"PARECONF";#N/A,#N/A,FALSE,"PARECOND"}</definedName>
    <definedName name="teste3">#REF!</definedName>
    <definedName name="teste4">#REF!</definedName>
    <definedName name="teste5">#REF!</definedName>
    <definedName name="teste6">#REF!</definedName>
    <definedName name="TESTHKEY">'[7]E4.1'!#REF!</definedName>
    <definedName name="TESTVKEY">'[7]E4.1'!#REF!</definedName>
    <definedName name="texto">[10]Execução!#REF!</definedName>
    <definedName name="TEXTO1">'[8]Neces. Finan'!#REF!</definedName>
    <definedName name="TEXTO2">'[8]Neces. Finan'!#REF!</definedName>
    <definedName name="TEXTO3">'[9]Plan1 (2)'!#REF!</definedName>
    <definedName name="TEXTOEXT">'[9]Plan1 (2)'!#REF!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7">#REF!</definedName>
    <definedName name="TextRefCopy8">#REF!</definedName>
    <definedName name="TextRefCopy9">#REF!</definedName>
    <definedName name="TextRefCopyRangeCount" hidden="1">33</definedName>
    <definedName name="tfds" hidden="1">{"ATI",#N/A,TRUE,"BALabr97";"PAS",#N/A,TRUE,"BALabr97";"REC",#N/A,TRUE,"BALabr97"}</definedName>
    <definedName name="TGE5R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tiago">#REF!</definedName>
    <definedName name="Tipos_Tramas">"$#REF!.$B$3:$B$11"</definedName>
    <definedName name="TITLES">#REF!</definedName>
    <definedName name="TítuloColuna1">#REF!</definedName>
    <definedName name="_xlnm.Print_Titles">#N/A</definedName>
    <definedName name="Títulos_impressão_IM">#REF!</definedName>
    <definedName name="Tramas">"$#REF!.$D$3:$D$12"</definedName>
    <definedName name="TTF93A">#REF!</definedName>
    <definedName name="TTF94A">#REF!</definedName>
    <definedName name="TTF95A">#REF!</definedName>
    <definedName name="TTF96A">#REF!</definedName>
    <definedName name="ttt">#REF!</definedName>
    <definedName name="tudo">#REF!</definedName>
    <definedName name="tudo2" hidden="1">{"ATI",#N/A,TRUE,"BALabr97";"PAS",#N/A,TRUE,"BALabr97";"REC",#N/A,TRUE,"BALabr97"}</definedName>
    <definedName name="TUTGIUDIZIARIA">'[12]MOD 7 SIN'!#REF!</definedName>
    <definedName name="TUTTO">[81]RIS_TECNICHE!#REF!</definedName>
    <definedName name="txtbalago08">#REF!</definedName>
    <definedName name="U">#REF!</definedName>
    <definedName name="uc_fat">'[39]pl atual'!$D$1:$D$65536</definedName>
    <definedName name="UfespM">[99]Índices!$D$7:$G$80</definedName>
    <definedName name="UFIR">#REF!</definedName>
    <definedName name="ui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unidade">[72]Unidades!$A$2:$A$31</definedName>
    <definedName name="UOP___TECNOLOGIA">#REF!</definedName>
    <definedName name="V">#REF!</definedName>
    <definedName name="VA_amort">[89]Ativo!A$49-[89]Ativo!XFC$49</definedName>
    <definedName name="VA_aplic">[89]Ativo!A$10-[89]Ativo!XFC$10</definedName>
    <definedName name="VA_caixa">[89]Ativo!A$9-[89]Ativo!XFC$9</definedName>
    <definedName name="VA_crece">[89]Ativo!A$12-[89]Ativo!XFC$12</definedName>
    <definedName name="VA_debe">[89]Ativo!A1048534-[89]Ativo!XFC1048534</definedName>
    <definedName name="VA_deben">[89]Passivo!A$32-[89]Passivo!XFC$32</definedName>
    <definedName name="VA_depre">[89]Ativo!A$46-[89]Ativo!XFC$46</definedName>
    <definedName name="VA_difer">[89]Ativo!A$48-[89]Ativo!XFC$48</definedName>
    <definedName name="VA_empcp">[89]Passivo!A$10-[89]Passivo!XFC$10</definedName>
    <definedName name="VA_emplp">[89]Passivo!A$31-[89]Passivo!XFC$31</definedName>
    <definedName name="VA_estoq">[89]Ativo!A$15-[89]Ativo!XFC$15</definedName>
    <definedName name="VA_feria">SUM([89]Passivo!A$21-[89]Passivo!XFC$21)+([89]Passivo!A$22-[89]Passivo!XFC$22)</definedName>
    <definedName name="VA_forne">[89]Passivo!A$12-[89]Passivo!XFC$12</definedName>
    <definedName name="VA_imobi">[89]Ativo!A$45-[89]Ativo!XFC$45</definedName>
    <definedName name="VA_incon">[89]Ativo!A$42-[89]Ativo!XFC$42</definedName>
    <definedName name="VA_inout">[89]Ativo!A$43-[89]Ativo!XFC$43</definedName>
    <definedName name="va_irclp">[89]Passivo!A$36-[89]Passivo!XFC$36</definedName>
    <definedName name="VA_ircso">[89]Passivo!A$19-[89]Passivo!XFC$19</definedName>
    <definedName name="VA_logist">[89]Passivo!A$13-[89]Passivo!XFC$13</definedName>
    <definedName name="VA_muhip">[89]Ativo!A$18-[89]Ativo!XFC$18</definedName>
    <definedName name="VA_muout">[89]Ativo!A$19-[89]Ativo!XFC$19</definedName>
    <definedName name="VA_notas">[89]Ativo!A$17-[89]Ativo!XFC$17</definedName>
    <definedName name="VA_obrcp">[89]Passivo!A$14-[89]Passivo!XFC$14</definedName>
    <definedName name="VA_obrlp">[89]Passivo!A$35-[89]Passivo!XFC$35</definedName>
    <definedName name="VA_ocpcp">[89]Passivo!A$24-[89]Passivo!XFC$24</definedName>
    <definedName name="VA_partic">[89]Passivo!A$23-[89]Passivo!XFC$23</definedName>
    <definedName name="VA_patlq">([89]Passivo!A1048564-[89]Passivo!A1048563)-([89]Passivo!XFC1048564-[89]Passivo!XFC1048563)</definedName>
    <definedName name="VA_provi">[89]Ativo!A$13-[89]Ativo!XFC$13</definedName>
    <definedName name="VA_realp">[89]Ativo!A$35-[89]Ativo!XFC$35</definedName>
    <definedName name="VA_trust">[89]Ativo!XFC1048522-[89]Ativo!A1048522</definedName>
    <definedName name="VALIDAÇÃO">#REF!</definedName>
    <definedName name="VALOR">'[41]OUT02.REPORT'!$D$2:$D$1148</definedName>
    <definedName name="values">'[71]Teste Drpc'!$W$36,'[71]Teste Drpc'!$W$37,'[71]Teste Drpc'!$W$48</definedName>
    <definedName name="vavali">[32]BAL1001!#REF!</definedName>
    <definedName name="VCF">#REF!</definedName>
    <definedName name="VEND_BRUT_I_1TRIM">[100]VENDAS_P_SUBSIDIÁRIA!$B$45:$F$77</definedName>
    <definedName name="VEND_BRUT_I_2TRIM">[100]VENDAS_P_SUBSIDIÁRIA!$B$45:$K$77</definedName>
    <definedName name="VEND_BRUT_I_3TRIM">[100]VENDAS_P_SUBSIDIÁRIA!$B$45:$P$77</definedName>
    <definedName name="VEND_BRUT_I_4TRIM">[100]VENDAS_P_SUBSIDIÁRIA!$B$45:$V$77</definedName>
    <definedName name="VEND_BRUT_S_1TRIM">[100]VENDAS_P_SUBSIDIÁRIA!$B$2:$F$34</definedName>
    <definedName name="VEND_BRUT_S_2TRIM">[100]VENDAS_P_SUBSIDIÁRIA!$B$2:$K$34</definedName>
    <definedName name="VEND_BRUT_S_3TRIM">[100]VENDAS_P_SUBSIDIÁRIA!$B$2:$P$34</definedName>
    <definedName name="VEND_BRUT_S_4TRIM">[100]VENDAS_P_SUBSIDIÁRIA!$B$2:$V$34</definedName>
    <definedName name="vendas08stl">#REF!</definedName>
    <definedName name="VG">#REF!</definedName>
    <definedName name="virginia" hidden="1">{#N/A,#N/A,FALSE,"PACCIL";#N/A,#N/A,FALSE,"PAITACAN";#N/A,#N/A,FALSE,"PARECO";#N/A,#N/A,FALSE,"PA62";#N/A,#N/A,FALSE,"PAFINAL";#N/A,#N/A,FALSE,"PARECONF";#N/A,#N/A,FALSE,"PARECOND"}</definedName>
    <definedName name="VITA">#N/A</definedName>
    <definedName name="Volume">#REF!</definedName>
    <definedName name="VR">#REF!</definedName>
    <definedName name="vtfr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VTP">#REF!</definedName>
    <definedName name="W">[101]INFO!$A$2</definedName>
    <definedName name="we" hidden="1">{#N/A,#N/A,FALSE,"1321";#N/A,#N/A,FALSE,"1324";#N/A,#N/A,FALSE,"1333";#N/A,#N/A,FALSE,"1371"}</definedName>
    <definedName name="wedrw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r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erwef" hidden="1">{"ativo analítico",#N/A,FALSE,"BALmar97";"passivo analítico",#N/A,FALSE,"BALmar97";"resultado analítico",#N/A,FALSE,"BALmar97"}</definedName>
    <definedName name="wetgew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twt" hidden="1">{#N/A,#N/A,FALSE,"1321";#N/A,#N/A,FALSE,"1324";#N/A,#N/A,FALSE,"1333";#N/A,#N/A,FALSE,"1371"}</definedName>
    <definedName name="wftrewt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g" hidden="1">{"SOC E MEN balanços",#N/A,FALSE,"BALFEV97"}</definedName>
    <definedName name="wqearfsgd">#REF!</definedName>
    <definedName name="wrn.01." hidden="1">{#N/A,#N/A,FALSE,"1321";#N/A,#N/A,FALSE,"1324";#N/A,#N/A,FALSE,"1333";#N/A,#N/A,FALSE,"1371"}</definedName>
    <definedName name="wrn.Aging._.and._.Trend._.Analysis." hidden="1">{#N/A,#N/A,FALSE,"Aging Summary";#N/A,#N/A,FALSE,"Ratio Analysis";#N/A,#N/A,FALSE,"Test 120 Day Accts";#N/A,#N/A,FALSE,"Tickmarks"}</definedName>
    <definedName name="wrn.ANALITICO._.COMPLETO." hidden="1">{"ativo analítico",#N/A,FALSE,"BALmar97";"passivo analítico",#N/A,FALSE,"BALmar97";"resultado analítico",#N/A,FALSE,"BALmar97"}</definedName>
    <definedName name="wrn.BALANÇOS." hidden="1">{"SOC E MEN balanços",#N/A,FALSE,"BALFEV97"}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Desp._.financeiras." hidden="1">{"FINANCEIRAS",#N/A,FALSE,"BALmar96"}</definedName>
    <definedName name="wrn.Despesas._.Diferidas._.Indedutíveis._.de._.1998." hidden="1">{"Despesas Diferidas Indedutíveis de 1998",#N/A,FALSE,"Impressão"}</definedName>
    <definedName name="wrn.DLPs._.DFCs." hidden="1">{"E002 D.L.P. Geral",#N/A,FALSE,"PCF97-04";"E003 D.L.P. Produção Própria",#N/A,FALSE,"PCF97-04";"E008 D.F.C. Produção Própria",#N/A,FALSE,"PCF97-04";"E004 D.L.P. Produtos de Revenda",#N/A,FALSE,"PCF97-04";"E010 D.F.C. Revenda",#N/A,FALSE,"PCF97-04"}</definedName>
    <definedName name="wrn.Financeiras._.Totais." hidden="1">{"Financ.total",#N/A,FALSE,"BALJAN97"}</definedName>
    <definedName name="wrn.grafico." hidden="1">{#N/A,#N/A,FALSE,"Graficos    ( 9 )"}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NDICADORES." hidden="1">{"PARTE1",#N/A,FALSE,"Plan1"}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JUINTI._.IRENDA." hidden="1">{"Planil_IR",#N/A,FALSE,"BALJUN97";"Financeiras_Líquidas",#N/A,FALSE,"BALJUN97"}</definedName>
    <definedName name="wrn.Orçamento._.Geral." hidden="1">{"E001 Geração de Caixa Geral",#N/A,FALSE,"PCF97-04";"E002 D.L.P. Geral",#N/A,FALSE,"PCF97-04";"E003 D.L.P. Produção Própria",#N/A,FALSE,"PCF97-04";"E004 D.L.P. Produtos de Revenda",#N/A,FALSE,"PCF97-04";"E005 Previsão C.F. P.P.",#N/A,FALSE,"PCF97-04";"E006 Previasão C.F. P.P. II",#N/A,FALSE,"PCF97-04";"E007 Preço Médio Produção Própria",#N/A,FALSE,"PCF97-04";"E008 D.F.C. Produção Própria",#N/A,FALSE,"PCF97-04";"E009 Custo Produção Própria",#N/A,FALSE,"PCF97-04";"E010 D.F.C. Revenda",#N/A,FALSE,"PCF97-04";"E011 Despesa I",#N/A,FALSE,"PCF97-04";"E012 Despesa II",#N/A,FALSE,"PCF97-04";"E013 Folha de Pagamento I",#N/A,FALSE,"PCF97-04";"E014 Folha de Pagamento II",#N/A,FALSE,"PCF97-04"}</definedName>
    <definedName name="wrn.ORÇAMENTO._.RCSA." hidden="1">{"E001 - GERAÇÃO DE CAIXA GERAL",#N/A,FALSE,"Ajuste";"E002 - DLP GERAL",#N/A,FALSE,"Ajuste"}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SULTADO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TUDO." hidden="1">{"ATI",#N/A,TRUE,"BALabr97";"PAS",#N/A,TRUE,"BALabr97";"REC",#N/A,TRUE,"BALabr97"}</definedName>
    <definedName name="wt341t134t" hidden="1">{"SOC E MEN balanços",#N/A,FALSE,"BALFEV97"}</definedName>
    <definedName name="wtwrt" hidden="1">{#N/A,#N/A,FALSE,"1321";#N/A,#N/A,FALSE,"1324";#N/A,#N/A,FALSE,"1333";#N/A,#N/A,FALSE,"1371"}</definedName>
    <definedName name="WWW" hidden="1">{#N/A,#N/A,FALSE,"1321";#N/A,#N/A,FALSE,"1324";#N/A,#N/A,FALSE,"1333";#N/A,#N/A,FALSE,"1371"}</definedName>
    <definedName name="www." hidden="1">{#N/A,#N/A,FALSE,"1321";#N/A,#N/A,FALSE,"1324";#N/A,#N/A,FALSE,"1333";#N/A,#N/A,FALSE,"1371"}</definedName>
    <definedName name="X">#REF!</definedName>
    <definedName name="xaAsas">#REF!</definedName>
    <definedName name="xixi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ixi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paste1" hidden="1">[102]Aging!$I$9</definedName>
    <definedName name="xpaste4" hidden="1">#REF!</definedName>
    <definedName name="xref" hidden="1">[102]Aging!$Q$1:$Q$65536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[103]Lead!#REF!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[103]Lead!#REF!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'[104]Provisão de Juros'!#REF!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[104]Mapa!#REF!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1" hidden="1">[102]Aging!#REF!</definedName>
    <definedName name="xref2" hidden="1">[102]XREF!$A$8</definedName>
    <definedName name="xref3" hidden="1">7</definedName>
    <definedName name="xref4" hidden="1">#REF!</definedName>
    <definedName name="xref5" hidden="1">[102]Aging!$P$77</definedName>
    <definedName name="xref6" hidden="1">#REF!</definedName>
    <definedName name="xref7" hidden="1">69</definedName>
    <definedName name="xref8" hidden="1">'[102]PDD-Movimentação'!$C$35</definedName>
    <definedName name="xref9" hidden="1">#REF!</definedName>
    <definedName name="XRefActiveRow" hidden="1">#REF!</definedName>
    <definedName name="XRefColumnsCount" hidden="1">6</definedName>
    <definedName name="XRefCopy1" hidden="1">#REF!</definedName>
    <definedName name="XRefCopy10" hidden="1">#REF!</definedName>
    <definedName name="XRefCopy101" hidden="1">#REF!</definedName>
    <definedName name="XRefCopy103" hidden="1">#REF!</definedName>
    <definedName name="XRefCopy10Row" hidden="1">[105]XREF!#REF!</definedName>
    <definedName name="XRefCopy11" hidden="1">#REF!</definedName>
    <definedName name="XRefCopy11Row" hidden="1">#REF!</definedName>
    <definedName name="XRefCopy12" hidden="1">#REF!</definedName>
    <definedName name="XRefCopy12Row" hidden="1">[106]XREF!#REF!</definedName>
    <definedName name="XRefCopy13" hidden="1">#REF!</definedName>
    <definedName name="XRefCopy13Row" hidden="1">#REF!</definedName>
    <definedName name="XRefCopy14" hidden="1">#REF!</definedName>
    <definedName name="XRefCopy14Row" hidden="1">[106]XREF!#REF!</definedName>
    <definedName name="XRefCopy15" hidden="1">#REF!</definedName>
    <definedName name="XRefCopy15Row" hidden="1">[107]XREF!#REF!</definedName>
    <definedName name="XRefCopy16" hidden="1">#REF!</definedName>
    <definedName name="XRefCopy16Row" hidden="1">[107]XREF!#REF!</definedName>
    <definedName name="XRefCopy17" hidden="1">'[107]IR. CS'!#REF!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[108]XREF!#REF!</definedName>
    <definedName name="XRefCopy1Row" hidden="1">#REF!</definedName>
    <definedName name="XRefCopy2" hidden="1">#REF!</definedName>
    <definedName name="XRefCopy20" hidden="1">#REF!</definedName>
    <definedName name="XRefCopy20Row" hidden="1">[105]XREF!#REF!</definedName>
    <definedName name="XRefCopy21" hidden="1">[109]Lead!#REF!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[105]XREF!#REF!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'[110]Teste Equity 30.09.03'!#REF!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Row" hidden="1">#REF!</definedName>
    <definedName name="XRefCopy35" hidden="1">#REF!</definedName>
    <definedName name="XRefCopy36Row" hidden="1">[111]XREF!#REF!</definedName>
    <definedName name="XRefCopy37Row" hidden="1">[112]XREF!#REF!</definedName>
    <definedName name="XRefCopy38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[112]XREF!#REF!</definedName>
    <definedName name="XRefCopy43" hidden="1">#REF!</definedName>
    <definedName name="XRefCopy43Row" hidden="1">[112]XREF!#REF!</definedName>
    <definedName name="XRefCopy44" hidden="1">#REF!</definedName>
    <definedName name="XRefCopy44Row" hidden="1">#REF!</definedName>
    <definedName name="XRefCopy45" hidden="1">[103]Lead!#REF!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[113]XREF!#REF!</definedName>
    <definedName name="XRefCopy48" hidden="1">#REF!</definedName>
    <definedName name="XRefCopy48Row" hidden="1">#REF!</definedName>
    <definedName name="XRefCopy49" hidden="1">[103]Lead!#REF!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[113]Lead!#REF!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[103]Lead!#REF!</definedName>
    <definedName name="XRefCopy58Row" hidden="1">[112]XREF!#REF!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[103]Lead!#REF!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8" hidden="1">#REF!</definedName>
    <definedName name="XRefCopy6Row" hidden="1">#REF!</definedName>
    <definedName name="XRefCopy7" hidden="1">#REF!</definedName>
    <definedName name="XRefCopy70" hidden="1">[103]Lead!#REF!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[104]Adições!#REF!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[104]Mapa!#REF!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[104]Mapa!#REF!</definedName>
    <definedName name="XRefCopy96Row" hidden="1">#REF!</definedName>
    <definedName name="XRefCopy97" hidden="1">#REF!</definedName>
    <definedName name="XRefCopy97Row" hidden="1">#REF!</definedName>
    <definedName name="XRefCopy99">'[114]Mapa 31.08.02'!#REF!</definedName>
    <definedName name="XRefCopy99Row">#REF!</definedName>
    <definedName name="XRefCopy9Row" hidden="1">#REF!</definedName>
    <definedName name="XRefCopyRangeCount" hidden="1">9</definedName>
    <definedName name="XRefPaste1" hidden="1">#REF!</definedName>
    <definedName name="XRefPaste10" hidden="1">#REF!</definedName>
    <definedName name="XRefPaste100Row" hidden="1">[115]XREF!#REF!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[109]Lead!#REF!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[105]XREF!#REF!</definedName>
    <definedName name="XRefPaste17" hidden="1">#REF!</definedName>
    <definedName name="XRefPaste17Row" hidden="1">[105]XREF!#REF!</definedName>
    <definedName name="XRefPaste18" hidden="1">#REF!</definedName>
    <definedName name="XRefPaste18Row" hidden="1">[105]XREF!#REF!</definedName>
    <definedName name="XRefPaste19" hidden="1">#REF!</definedName>
    <definedName name="XRefPaste19Row" hidden="1">[105]XREF!#REF!</definedName>
    <definedName name="XRefPaste1Row" hidden="1">#REF!</definedName>
    <definedName name="XRefPaste2" hidden="1">#REF!</definedName>
    <definedName name="XRefPaste20" hidden="1">#REF!</definedName>
    <definedName name="XRefPaste20Row" hidden="1">[105]XREF!#REF!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[116]XREF!#REF!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[112]CAERN!#REF!</definedName>
    <definedName name="XRefPaste26Row" hidden="1">[116]XREF!#REF!</definedName>
    <definedName name="XRefPaste27Row" hidden="1">[116]XREF!#REF!</definedName>
    <definedName name="XRefPaste28" hidden="1">#REF!</definedName>
    <definedName name="XRefPaste28Row" hidden="1">[113]XREF!#REF!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[103]Lead!#REF!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Row" hidden="1">#REF!</definedName>
    <definedName name="XRefPaste38" hidden="1">[103]Lead!#REF!</definedName>
    <definedName name="XRefPaste38Row" hidden="1">#REF!</definedName>
    <definedName name="XRefPaste39" hidden="1">[103]Lead!#REF!</definedName>
    <definedName name="XRefPaste39Row" hidden="1">#REF!</definedName>
    <definedName name="XRefPaste3Row" hidden="1">#REF!</definedName>
    <definedName name="XRefPaste4" hidden="1">#REF!</definedName>
    <definedName name="XRefPaste40" hidden="1">[103]Lead!#REF!</definedName>
    <definedName name="XRefPaste40Row" hidden="1">#REF!</definedName>
    <definedName name="XRefPaste41" hidden="1">[103]Lead!#REF!</definedName>
    <definedName name="XRefPaste41Row" hidden="1">#REF!</definedName>
    <definedName name="XRefPaste42" hidden="1">#REF!</definedName>
    <definedName name="XRefPaste42Row" hidden="1">#REF!</definedName>
    <definedName name="XRefPaste43" hidden="1">[103]Lead!#REF!</definedName>
    <definedName name="XRefPaste43Row" hidden="1">#REF!</definedName>
    <definedName name="XRefPaste44" hidden="1">[103]Lead!#REF!</definedName>
    <definedName name="XRefPaste44Row" hidden="1">#REF!</definedName>
    <definedName name="XRefPaste45" hidden="1">#REF!</definedName>
    <definedName name="XRefPaste45Row" hidden="1">#REF!</definedName>
    <definedName name="XRefPaste46Row" hidden="1">#REF!</definedName>
    <definedName name="XRefPaste47Row" hidden="1">#REF!</definedName>
    <definedName name="XRefPaste48Row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" hidden="1">[104]Mapa!#REF!</definedName>
    <definedName name="XRefPaste55Row" hidden="1">#REF!</definedName>
    <definedName name="XRefPaste56Row" hidden="1">#REF!</definedName>
    <definedName name="XRefPaste57" hidden="1">[104]Mapa!#REF!</definedName>
    <definedName name="XRefPaste57Row" hidden="1">#REF!</definedName>
    <definedName name="XRefPaste58Row" hidden="1">#REF!</definedName>
    <definedName name="XRefPaste59Row" hidden="1">#REF!</definedName>
    <definedName name="XRefPaste5Row" hidden="1">[117]XREF!#REF!</definedName>
    <definedName name="XRefPaste6" hidden="1">#REF!</definedName>
    <definedName name="XRefPaste60" hidden="1">[104]Mapa!#REF!</definedName>
    <definedName name="XRefPaste60Row" hidden="1">#REF!</definedName>
    <definedName name="XRefPaste61" hidden="1">[104]Mapa!#REF!</definedName>
    <definedName name="XRefPaste61Row" hidden="1">#REF!</definedName>
    <definedName name="XRefPaste62" hidden="1">[104]Mapa!#REF!</definedName>
    <definedName name="XRefPaste62Row" hidden="1">#REF!</definedName>
    <definedName name="XRefPaste63" hidden="1">[104]Adições!#REF!</definedName>
    <definedName name="XRefPaste63Row" hidden="1">#REF!</definedName>
    <definedName name="XRefPaste64" hidden="1">[104]Mapa!#REF!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[104]Mapa!#REF!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Row" hidden="1">[115]XREF!#REF!</definedName>
    <definedName name="XRefPaste89Row" hidden="1">[115]XREF!#REF!</definedName>
    <definedName name="XRefPaste8Row" hidden="1">[105]XREF!#REF!</definedName>
    <definedName name="XRefPaste9" hidden="1">#REF!</definedName>
    <definedName name="XRefPaste90Row" hidden="1">[115]XREF!#REF!</definedName>
    <definedName name="XRefPaste91Row" hidden="1">[115]XREF!#REF!</definedName>
    <definedName name="XRefPaste92Row" hidden="1">[115]XREF!#REF!</definedName>
    <definedName name="XRefPaste93" hidden="1">#REF!</definedName>
    <definedName name="XRefPaste93Row" hidden="1">[115]XREF!#REF!</definedName>
    <definedName name="XRefPaste94Row" hidden="1">[115]XREF!#REF!</definedName>
    <definedName name="XRefPaste95Row" hidden="1">[115]XREF!#REF!</definedName>
    <definedName name="XRefPaste96Row" hidden="1">[115]XREF!#REF!</definedName>
    <definedName name="XRefPaste97Row" hidden="1">[115]XREF!#REF!</definedName>
    <definedName name="XRefPaste98Row" hidden="1">[115]XREF!#REF!</definedName>
    <definedName name="XRefPaste99Row" hidden="1">[115]XREF!#REF!</definedName>
    <definedName name="XRefPaste9Row" hidden="1">#REF!</definedName>
    <definedName name="XRefPasteRangeCount" hidden="1">4</definedName>
    <definedName name="xxxx">#REF!</definedName>
    <definedName name="XXXXXXX">[91]Ativo!A$48-[91]Ativo!XFC$48</definedName>
    <definedName name="xyz">'[62]inc. claim 97'!#REF!</definedName>
    <definedName name="y">'[118]Resumo Fatur.'!$P$54:$AC$60</definedName>
    <definedName name="yagya">#REF!</definedName>
    <definedName name="Year_factor">[119]DCF!#REF!</definedName>
    <definedName name="yguygyugyu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you">#REF!</definedName>
    <definedName name="yyyy" hidden="1">[2]ce!#REF!</definedName>
    <definedName name="Z">#REF!</definedName>
    <definedName name="Z_1">#REF!</definedName>
    <definedName name="Z_3">#REF!</definedName>
    <definedName name="Z_FAB890B6_A7DF_49B5_8B84_7933F7804438_.wvu.PrintArea" hidden="1">#REF!</definedName>
    <definedName name="Z757Z120">#REF!</definedName>
    <definedName name="zfsfsf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ZONAX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" i="92" l="1"/>
  <c r="F140" i="92"/>
  <c r="G139" i="92"/>
  <c r="F139" i="92"/>
  <c r="G138" i="92"/>
  <c r="F138" i="92"/>
  <c r="H138" i="92" s="1"/>
  <c r="G137" i="92"/>
  <c r="F137" i="92"/>
  <c r="G136" i="92"/>
  <c r="H136" i="92" s="1"/>
  <c r="F136" i="92"/>
  <c r="G135" i="92"/>
  <c r="F135" i="92"/>
  <c r="A129" i="92"/>
  <c r="C5" i="92"/>
  <c r="C6" i="92" s="1"/>
  <c r="C7" i="92" s="1"/>
  <c r="C8" i="92" s="1"/>
  <c r="C9" i="92" s="1"/>
  <c r="C10" i="92" s="1"/>
  <c r="C11" i="92" s="1"/>
  <c r="C12" i="92" s="1"/>
  <c r="C13" i="92" s="1"/>
  <c r="C14" i="92" s="1"/>
  <c r="C15" i="92" s="1"/>
  <c r="C16" i="92" s="1"/>
  <c r="C17" i="92" s="1"/>
  <c r="C18" i="92" s="1"/>
  <c r="C19" i="92" s="1"/>
  <c r="C20" i="92" s="1"/>
  <c r="C21" i="92" s="1"/>
  <c r="C22" i="92" s="1"/>
  <c r="C23" i="92" s="1"/>
  <c r="C24" i="92" s="1"/>
  <c r="C25" i="92" s="1"/>
  <c r="C26" i="92" s="1"/>
  <c r="C27" i="92" s="1"/>
  <c r="C28" i="92" s="1"/>
  <c r="C29" i="92" s="1"/>
  <c r="C30" i="92" s="1"/>
  <c r="C31" i="92" s="1"/>
  <c r="C32" i="92" s="1"/>
  <c r="C33" i="92" s="1"/>
  <c r="C34" i="92" s="1"/>
  <c r="C35" i="92" s="1"/>
  <c r="C36" i="92" s="1"/>
  <c r="C37" i="92" s="1"/>
  <c r="C38" i="92" s="1"/>
  <c r="C39" i="92" s="1"/>
  <c r="C40" i="92" s="1"/>
  <c r="C41" i="92" s="1"/>
  <c r="C42" i="92" s="1"/>
  <c r="C43" i="92" s="1"/>
  <c r="C44" i="92" s="1"/>
  <c r="C45" i="92" s="1"/>
  <c r="C46" i="92" s="1"/>
  <c r="C47" i="92" s="1"/>
  <c r="C48" i="92" s="1"/>
  <c r="C49" i="92" s="1"/>
  <c r="C50" i="92" s="1"/>
  <c r="C51" i="92" s="1"/>
  <c r="C52" i="92" s="1"/>
  <c r="C53" i="92" s="1"/>
  <c r="C54" i="92" s="1"/>
  <c r="C55" i="92" s="1"/>
  <c r="C56" i="92" s="1"/>
  <c r="C57" i="92" s="1"/>
  <c r="C58" i="92" s="1"/>
  <c r="C59" i="92" s="1"/>
  <c r="C60" i="92" s="1"/>
  <c r="C61" i="92" s="1"/>
  <c r="C62" i="92" s="1"/>
  <c r="C63" i="92" s="1"/>
  <c r="C64" i="92" s="1"/>
  <c r="C65" i="92" s="1"/>
  <c r="C66" i="92" s="1"/>
  <c r="C67" i="92" s="1"/>
  <c r="C68" i="92" s="1"/>
  <c r="C69" i="92" s="1"/>
  <c r="C70" i="92" s="1"/>
  <c r="C71" i="92" s="1"/>
  <c r="C72" i="92" s="1"/>
  <c r="C73" i="92" s="1"/>
  <c r="C74" i="92" s="1"/>
  <c r="C75" i="92" s="1"/>
  <c r="C76" i="92" s="1"/>
  <c r="C77" i="92" s="1"/>
  <c r="C78" i="92" s="1"/>
  <c r="C79" i="92" s="1"/>
  <c r="C80" i="92" s="1"/>
  <c r="C81" i="92" s="1"/>
  <c r="C82" i="92" s="1"/>
  <c r="C83" i="92" s="1"/>
  <c r="C84" i="92" s="1"/>
  <c r="C85" i="92" s="1"/>
  <c r="C86" i="92" s="1"/>
  <c r="C87" i="92" s="1"/>
  <c r="C88" i="92" s="1"/>
  <c r="C89" i="92" s="1"/>
  <c r="C90" i="92" s="1"/>
  <c r="C91" i="92" s="1"/>
  <c r="C92" i="92" s="1"/>
  <c r="C93" i="92" s="1"/>
  <c r="C94" i="92" s="1"/>
  <c r="C95" i="92" s="1"/>
  <c r="C96" i="92" s="1"/>
  <c r="C97" i="92" s="1"/>
  <c r="C98" i="92" s="1"/>
  <c r="C99" i="92" s="1"/>
  <c r="C100" i="92" s="1"/>
  <c r="C101" i="92" s="1"/>
  <c r="C102" i="92" s="1"/>
  <c r="C103" i="92" s="1"/>
  <c r="C104" i="92" s="1"/>
  <c r="C105" i="92" s="1"/>
  <c r="C106" i="92" s="1"/>
  <c r="C107" i="92" s="1"/>
  <c r="C108" i="92" s="1"/>
  <c r="C109" i="92" s="1"/>
  <c r="C110" i="92" s="1"/>
  <c r="C111" i="92" s="1"/>
  <c r="C112" i="92" s="1"/>
  <c r="C113" i="92" s="1"/>
  <c r="C114" i="92" s="1"/>
  <c r="C115" i="92" s="1"/>
  <c r="C116" i="92" s="1"/>
  <c r="C117" i="92" s="1"/>
  <c r="C118" i="92" s="1"/>
  <c r="C119" i="92" s="1"/>
  <c r="C120" i="92" s="1"/>
  <c r="C121" i="92" s="1"/>
  <c r="C122" i="92" s="1"/>
  <c r="C123" i="92" s="1"/>
  <c r="C124" i="92" s="1"/>
  <c r="C125" i="92" s="1"/>
  <c r="C126" i="92" s="1"/>
  <c r="C127" i="92" s="1"/>
  <c r="H140" i="92" l="1"/>
  <c r="B140" i="92" s="1"/>
  <c r="C140" i="92" s="1"/>
  <c r="D140" i="92" s="1"/>
  <c r="F142" i="92"/>
  <c r="G142" i="92"/>
  <c r="H137" i="92"/>
  <c r="B137" i="92" s="1"/>
  <c r="C137" i="92" s="1"/>
  <c r="D137" i="92" s="1"/>
  <c r="B136" i="92"/>
  <c r="C136" i="92" s="1"/>
  <c r="D136" i="92" s="1"/>
  <c r="H142" i="92"/>
  <c r="B142" i="92" s="1"/>
  <c r="C142" i="92"/>
  <c r="H135" i="92"/>
  <c r="B135" i="92" s="1"/>
  <c r="C135" i="92" s="1"/>
  <c r="D135" i="92" s="1"/>
  <c r="B138" i="92"/>
  <c r="C138" i="92" s="1"/>
  <c r="D138" i="92" s="1"/>
  <c r="H139" i="92"/>
  <c r="B139" i="92" s="1"/>
  <c r="C139" i="92" s="1"/>
  <c r="D139" i="92" s="1"/>
  <c r="D142" i="92" l="1"/>
</calcChain>
</file>

<file path=xl/sharedStrings.xml><?xml version="1.0" encoding="utf-8"?>
<sst xmlns="http://schemas.openxmlformats.org/spreadsheetml/2006/main" count="292" uniqueCount="152">
  <si>
    <t>SIM</t>
  </si>
  <si>
    <t>NÃO</t>
  </si>
  <si>
    <t>ITEM DE CHECAGEM</t>
  </si>
  <si>
    <t>Nº</t>
  </si>
  <si>
    <t>CHECK - L</t>
  </si>
  <si>
    <t>CLASSIFICAÇÃO</t>
  </si>
  <si>
    <t>BASE</t>
  </si>
  <si>
    <t>G0 - CADASTROS, PESSOAS E PROCESSOS</t>
  </si>
  <si>
    <t>EXISTE PROFISSIONAL RESPONSÁVEL PELO SETOR FINANCEIRO COM TAREFAS E METAS DETERMINADAS CORRETAMENTE E EXPLICITAMENTE?</t>
  </si>
  <si>
    <t>EXISTE PROCESSO ESTRUTURADO DE ELABORAÇÃO DOS RELATÓRIOS DO FINANCEIRO QUE SEGUE PARA A DIRETORIA?</t>
  </si>
  <si>
    <t>APENAS DESPESAS DO CNPJ SÃO MOVIMENTADAS NAS CONTAS DA EMPRESA? NENHUM ASSUNTO PESSOAL DOS SÓCIOS OU FAMILIARES PASSA PELA EMPRESA?</t>
  </si>
  <si>
    <t>A EMPRESA NUNCA UTILIZA AS CONTAS BANCÁRIAS E CARTÕES DAS PESSOA FÍSICA PARA AS DESPESAS DO NEGÓCIO?</t>
  </si>
  <si>
    <t>EXISTE UMA POLÍTICA E PROCESSO ESTRUTURADO DE AUTORIZAÇÃO DE PAGAMENTOS COM PREMISSAS DE PAGAMENTOS E ALÇADAS LIMITES PARA CADA NÍVEL DE APROVAÇÃO?</t>
  </si>
  <si>
    <r>
      <t xml:space="preserve">EXISTE UMA BASE DE CADASTRO DETALHADA DE CLIENTES PREFERENCIALMENTE REGISTRADA EM SISTEMA?
</t>
    </r>
    <r>
      <rPr>
        <b/>
        <sz val="10"/>
        <color theme="1"/>
        <rFont val="Arial"/>
        <family val="2"/>
      </rPr>
      <t>(NOME, TIPO, TABELA DE PREÇO, ENDEREÇO, TELEFONE, E-MAIL.)</t>
    </r>
  </si>
  <si>
    <r>
      <t xml:space="preserve">EXISTE UMA BASE DE CADASTRO DETALHADO DOS FORNECEDORES DA EMPRESA PREFERENCIALMENTE NO SISTEMA?
</t>
    </r>
    <r>
      <rPr>
        <b/>
        <sz val="10"/>
        <color theme="1"/>
        <rFont val="Arial"/>
        <family val="2"/>
      </rPr>
      <t>(NOME, TIPO, TABELA DE PREÇO APLICADA, ENDEREÇO, TELEFONE, E-MAIL.)</t>
    </r>
  </si>
  <si>
    <r>
      <t xml:space="preserve">EXISTE CADASTRO DETALHADO DE FUNCIONÁRIOS PREFERENCIALMENTE NO SISTEMA?
</t>
    </r>
    <r>
      <rPr>
        <b/>
        <sz val="10"/>
        <color theme="1"/>
        <rFont val="Arial"/>
        <family val="2"/>
      </rPr>
      <t>(NOME, CARGO, SALÁRIO BASE, ENCARGOS, BENEFÍCIOS, ENDEREÇO, TELEFONE, E-MAIL., CONTROLES)</t>
    </r>
  </si>
  <si>
    <r>
      <t xml:space="preserve">EXISTE PROCESSO ESTRUTURADO DE CONTROLE E ACOMPANHAMENTO DAS INFORMAÇÕES CONTÁBEIS E FISCAIS?
</t>
    </r>
    <r>
      <rPr>
        <b/>
        <sz val="10"/>
        <color theme="1"/>
        <rFont val="Arial"/>
        <family val="2"/>
      </rPr>
      <t>(FLUXOGRAMA / POLÍTICAS / PAPEIS E RESPONSABILIDADES ETC)</t>
    </r>
    <r>
      <rPr>
        <sz val="10"/>
        <color theme="1"/>
        <rFont val="Arial"/>
        <family val="2"/>
      </rPr>
      <t>.</t>
    </r>
  </si>
  <si>
    <r>
      <t xml:space="preserve">EXISTE PROFISSIONAL RESPONSÁVEL PELO SETOR DE COMPRAS COM </t>
    </r>
    <r>
      <rPr>
        <b/>
        <sz val="10"/>
        <color theme="1"/>
        <rFont val="Arial"/>
        <family val="2"/>
      </rPr>
      <t>POLÍTICAS, TAREFAS E METAS DE COMPRA DETERMINADAS</t>
    </r>
    <r>
      <rPr>
        <sz val="10"/>
        <color theme="1"/>
        <rFont val="Arial"/>
        <family val="2"/>
      </rPr>
      <t>?</t>
    </r>
  </si>
  <si>
    <t>EXISTE PROCESSO DEFINIDO DE REALIZAÇÃO DE ORÇAMENTO DE CONCORRÊNCIA E AVALIAÇÃO SISTEMÁTICA DE PREÇO E QUALIDADE PARA O SETOR DE COMPRAS?</t>
  </si>
  <si>
    <r>
      <t xml:space="preserve">EXISTE PROFISSIONAL RESPONSÁVEL PELO SETOR COMERCIAL COM </t>
    </r>
    <r>
      <rPr>
        <b/>
        <sz val="10"/>
        <color theme="1"/>
        <rFont val="Arial"/>
        <family val="2"/>
      </rPr>
      <t>POLÍTICAS, TAREFAS, ROTINAS ESTRUTURADAS E METAS DETERMINADAS</t>
    </r>
    <r>
      <rPr>
        <sz val="10"/>
        <color theme="1"/>
        <rFont val="Arial"/>
        <family val="2"/>
      </rPr>
      <t>?</t>
    </r>
  </si>
  <si>
    <t>EXISTE PROCESSO PARA O ORÇAMENTO DOS PROJETOS DE  METAS DE VENDAS E COMISSÕES?</t>
  </si>
  <si>
    <r>
      <t xml:space="preserve">EXISTE PROFISSIONAL RESPONSÁVEL PELO SETOR DE QUALIDADE E PADRONIZAÇÃO COM </t>
    </r>
    <r>
      <rPr>
        <b/>
        <sz val="10"/>
        <color theme="1"/>
        <rFont val="Arial"/>
        <family val="2"/>
      </rPr>
      <t>POLÍTICAS, TAREFAS E METAS DETERMINADAS</t>
    </r>
    <r>
      <rPr>
        <sz val="10"/>
        <color theme="1"/>
        <rFont val="Arial"/>
        <family val="2"/>
      </rPr>
      <t>?</t>
    </r>
  </si>
  <si>
    <t>EXISTE POLÍTICAS DEFINIDAS E RAZOÁVEIS PARA IDENTIFICAR, ACOMPANHAR E CONCILIAR OS LANÇAMENTOS DE INADIMPLÊNCIA?</t>
  </si>
  <si>
    <t>EXISTE SISTEMA QUE INTEGRE TODAS AS TRANSAÇÕES DA EMPRESA?</t>
  </si>
  <si>
    <t>A TESOURARIA É ESTABELECIDA COM PESSOAS E SUAS FUNÇÕES, PERFIS DE CARGO E ACESSO DEFINIDOS E LIVRES DE RISCOS DE INDEPENDÊNCIA?</t>
  </si>
  <si>
    <t>G1 - DADOS - BASE de DADOS</t>
  </si>
  <si>
    <r>
      <t xml:space="preserve">BASE ANALÍTICA (DETALHADA) DA COMPOSIÇÃO DO FATURAMENTO HISTÓRICO.
</t>
    </r>
    <r>
      <rPr>
        <b/>
        <sz val="10"/>
        <color theme="1"/>
        <rFont val="Arial"/>
        <family val="2"/>
      </rPr>
      <t>(CLIENTE / PRODUTO / REGIÃO* / REPRESENTANTE* / DATA DE VENDA / QUANTIDADE / SERVIÇO</t>
    </r>
    <r>
      <rPr>
        <sz val="10"/>
        <color theme="1"/>
        <rFont val="Arial"/>
        <family val="2"/>
      </rPr>
      <t>)</t>
    </r>
  </si>
  <si>
    <t>6 MESES</t>
  </si>
  <si>
    <r>
      <t xml:space="preserve">BASE DETALHADA DA COMPOSIÇÃO ANALÍTICA DE INADIMPLENTES MÊS A MÊS HISTÓRICO.
</t>
    </r>
    <r>
      <rPr>
        <b/>
        <sz val="10"/>
        <color theme="1"/>
        <rFont val="Arial"/>
        <family val="2"/>
      </rPr>
      <t>NOME OU CÓDIGO CLIENTE / Nº DO TÍTULO / VALORES / VENCIMENTO ORIGINAL / VENCIMENTO NOVAÇÃO</t>
    </r>
  </si>
  <si>
    <r>
      <t xml:space="preserve">COMPOSIÇÃO ANALÍTICA ATUAL DOS INADIMPLENTES
</t>
    </r>
    <r>
      <rPr>
        <b/>
        <sz val="10"/>
        <color theme="1"/>
        <rFont val="Arial"/>
        <family val="2"/>
      </rPr>
      <t>NOME OU CÓDIGO CLIENTE  / Nº DO TÍTULO / VALORES / VENCIMENTO ORIGINAL / VENCIMENTO NOVAÇÃO</t>
    </r>
  </si>
  <si>
    <t>NA POSIÇÃO ATUAL</t>
  </si>
  <si>
    <t>CALCULO DE PROVISÃO PERDAS INADIMPLENTES (PCLD - PROVISÃO DE CRÉDITOS DE LIQUIDAÇÃO DUVIDOSA) NA DRE.</t>
  </si>
  <si>
    <r>
      <t xml:space="preserve">COMPOSIÇÃO ANALÍTICA DAS DESPESAS SOBRE VENDA
</t>
    </r>
    <r>
      <rPr>
        <b/>
        <sz val="10"/>
        <color theme="1"/>
        <rFont val="Arial"/>
        <family val="2"/>
      </rPr>
      <t>COMISSÕES, TAXAS E TARIFAS, DESPESAS DE FRETE, ETC.</t>
    </r>
  </si>
  <si>
    <r>
      <t xml:space="preserve">COMPOSIÇÃO ANALÍTICA HISTÓRICA DE CONTAS A RECEBER NAS DATAS BASE
</t>
    </r>
    <r>
      <rPr>
        <b/>
        <sz val="10"/>
        <color theme="1"/>
        <rFont val="Arial"/>
        <family val="2"/>
      </rPr>
      <t>NOME OU CÓDIGO CLIENTE / N° TÍTULO / VALORES / DATA DE LANÇAMENTO / DATA DE VENCIMENTO.</t>
    </r>
  </si>
  <si>
    <r>
      <t xml:space="preserve">BASE DETALHADA DOS CUSTOS </t>
    </r>
    <r>
      <rPr>
        <b/>
        <sz val="10"/>
        <color theme="1"/>
        <rFont val="Arial"/>
        <family val="2"/>
      </rPr>
      <t xml:space="preserve">ALOCADOS E RATEADOS </t>
    </r>
    <r>
      <rPr>
        <sz val="10"/>
        <color theme="1"/>
        <rFont val="Arial"/>
        <family val="2"/>
      </rPr>
      <t>DE INSUMOS PARA PRODUÇÃO</t>
    </r>
  </si>
  <si>
    <r>
      <t xml:space="preserve">BASE DETALHADA DOS CUSTOS </t>
    </r>
    <r>
      <rPr>
        <b/>
        <sz val="10"/>
        <color theme="1"/>
        <rFont val="Arial"/>
        <family val="2"/>
      </rPr>
      <t>ALOCADOS E RATEADA</t>
    </r>
    <r>
      <rPr>
        <sz val="10"/>
        <color theme="1"/>
        <rFont val="Arial"/>
        <family val="2"/>
      </rPr>
      <t xml:space="preserve"> DE MÃO DE OBRA PARA SERVIÇOS</t>
    </r>
  </si>
  <si>
    <r>
      <t xml:space="preserve">BASE DETALHADA DOS CUSTOS </t>
    </r>
    <r>
      <rPr>
        <b/>
        <sz val="10"/>
        <color theme="1"/>
        <rFont val="Arial"/>
        <family val="2"/>
      </rPr>
      <t>ALOCADOS E RATEADA</t>
    </r>
    <r>
      <rPr>
        <sz val="10"/>
        <color theme="1"/>
        <rFont val="Arial"/>
        <family val="2"/>
      </rPr>
      <t xml:space="preserve"> DE MÃO DE OBRA PARA A PRESTAÇÃO DE SERVIÇOS COMPONDO UMA FICHA TÉCNICA</t>
    </r>
  </si>
  <si>
    <r>
      <t xml:space="preserve">BASE DETALHADA DAS DESPESAS OPERACIONAIS ADMINISTRATIVAS </t>
    </r>
    <r>
      <rPr>
        <b/>
        <sz val="10"/>
        <color theme="1"/>
        <rFont val="Arial"/>
        <family val="2"/>
      </rPr>
      <t>EM RELATÓRIO ÁGIL E FÁCIL ACESSO</t>
    </r>
  </si>
  <si>
    <r>
      <t xml:space="preserve">BASE DETALHADA DAS DESPESAS OPERACIONAIS NÃO ADMINISTRATIVAS </t>
    </r>
    <r>
      <rPr>
        <b/>
        <sz val="10"/>
        <color theme="1"/>
        <rFont val="Arial"/>
        <family val="2"/>
      </rPr>
      <t>EM RELATÓRIO ÁGIL E FÁCIL ACESSO.</t>
    </r>
  </si>
  <si>
    <r>
      <t>BASE DETALHADA DOS INVESTIMENTOS EM ATIVOS OPERACIONAIS (</t>
    </r>
    <r>
      <rPr>
        <b/>
        <sz val="10"/>
        <color theme="1"/>
        <rFont val="Arial"/>
        <family val="2"/>
      </rPr>
      <t>CAPEX / ATIVO IMOBILIZADO)</t>
    </r>
    <r>
      <rPr>
        <sz val="10"/>
        <color theme="1"/>
        <rFont val="Arial"/>
        <family val="2"/>
      </rPr>
      <t xml:space="preserve"> POR:
</t>
    </r>
    <r>
      <rPr>
        <b/>
        <sz val="10"/>
        <color theme="1"/>
        <rFont val="Arial"/>
        <family val="2"/>
      </rPr>
      <t>VALOR DE AQUISIÇÃO / VALOR RESIDUAL / TAXA DE DEPRECIAÇÃO POR TIPO DE BENS / BASE PARA REPOSIÇÃO DO CAPEX.</t>
    </r>
  </si>
  <si>
    <r>
      <t xml:space="preserve">BASE DETALHADA DE DEPRECIAÇÃO DOS ATIVOS OPERACIONAIS </t>
    </r>
    <r>
      <rPr>
        <b/>
        <sz val="10"/>
        <color theme="1"/>
        <rFont val="Arial"/>
        <family val="2"/>
      </rPr>
      <t>(CAPEX / ATIVO IMOBILIZADO).
RELATÓRIO COM COTAS DE DEPRECIAÇÃO PARA PROVISIONAMENTO DA DEPRECIAÇÃO</t>
    </r>
    <r>
      <rPr>
        <sz val="10"/>
        <color theme="1"/>
        <rFont val="Arial"/>
        <family val="2"/>
      </rPr>
      <t>.</t>
    </r>
  </si>
  <si>
    <t>BASE DETALHADA DE PRO LABORE DEFINIDO CONFORME POLITICAS CLARAS E MERITOCRÁTICAS.</t>
  </si>
  <si>
    <t>BASE HISTÓRICA DETALHADA DE COMPOSIÇÃO E DESTINO DAS DISTRIBUIÇÕES DE LUCROS</t>
  </si>
  <si>
    <t>12 MESES</t>
  </si>
  <si>
    <r>
      <t xml:space="preserve">POLÍTICA CLARA DE DISTRIBUIÇÃO DE LUCROS.
</t>
    </r>
    <r>
      <rPr>
        <b/>
        <sz val="10"/>
        <color theme="1"/>
        <rFont val="Arial"/>
        <family val="2"/>
      </rPr>
      <t>MÉTRICAS / TEMPESTIVIDADE / CONDIÇÕES / DESTINOS.</t>
    </r>
  </si>
  <si>
    <r>
      <t xml:space="preserve">BASE DETALHADA DOS CONTRATOS DE EMPRÉSTIMOS / FINANCIAMENTO / DÍVIDAS FINANCEIRAS.
</t>
    </r>
    <r>
      <rPr>
        <b/>
        <sz val="10"/>
        <color theme="1"/>
        <rFont val="Arial"/>
        <family val="2"/>
      </rPr>
      <t>RESUMO CONTRATUAL EM RELATÓRIO ANALÍTICO DE 100% DOS CONTRATOS CONTRATADOS ATIVOS E INATIVOS.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CET / ALONGAMENTO MESES / PARCELAS EFEITO FLUXO DE CAIXA / JUROS EFEITO DRE.</t>
    </r>
  </si>
  <si>
    <r>
      <t xml:space="preserve">COMPOSIÇÃO DAS ALÍQUOTAS DE IMPOSTOS INFORMADAS PELA CONTABILIDADE
APURAÇÃO DE IMPOSTO DIRETOS E INDIRETOS.
</t>
    </r>
    <r>
      <rPr>
        <b/>
        <sz val="10"/>
        <color theme="1"/>
        <rFont val="Arial"/>
        <family val="2"/>
      </rPr>
      <t>SEUS FEITOS NO: CAIXA / RESULTADO / SALDO.</t>
    </r>
  </si>
  <si>
    <t>BASE DETALHADA DA COMPOSIÇÃO MENSAL DOS IMPOSTOS DEVIDOS X PAGOS
RELATÓRIO GERENCIAL</t>
  </si>
  <si>
    <r>
      <t xml:space="preserve">BASE DETALHADA MENSAL DA FOLHA DE PAGAMENTO GERAL
</t>
    </r>
    <r>
      <rPr>
        <b/>
        <sz val="10"/>
        <color theme="1"/>
        <rFont val="Arial"/>
        <family val="2"/>
      </rPr>
      <t>(NOME / ENTRADA NA EMPRESA / PERIODO AQUISITIVO / FÉRIAS / ENCARGOS / BENEFÍCIOS / 13° SALÁRIO</t>
    </r>
  </si>
  <si>
    <r>
      <t xml:space="preserve">PROVISÃO COM IMPACTO NO RESULTADO DA FOLHA DE PAGAMENTOS E ENCARGOS FUTUROS
</t>
    </r>
    <r>
      <rPr>
        <b/>
        <sz val="10"/>
        <color theme="1"/>
        <rFont val="Arial"/>
        <family val="2"/>
      </rPr>
      <t>13º SALÁRIO/ FOLHA  / FÉRIAS / ESTIMATIVA DEMULTAS / ESTIMATIVAS DE CONTINGÊNCIA TRABALHISTA ETC.</t>
    </r>
  </si>
  <si>
    <r>
      <t xml:space="preserve">BASE DETALHADA DA COMPOSIÇÃO DO SALDO DO CONTAS A PAGAR HISTÓRICO A FORNECEDORES
</t>
    </r>
    <r>
      <rPr>
        <b/>
        <sz val="10"/>
        <color theme="1"/>
        <rFont val="Arial"/>
        <family val="2"/>
      </rPr>
      <t>NOME OU CÓDIGO FORNECEDORES / Nº TÍTULO / VALORES / DATA DE LANÇAMENTO / DATA DE VENCIMENTO ORIGINAL / DATA VENCIMENTO NOVAÇÃO</t>
    </r>
  </si>
  <si>
    <r>
      <t xml:space="preserve">BASE DETALHADA DA COMPOSIÇÃO DO SALDO DE ESTOQUE DE INSUMOS, ALMOXARIFADO, PRODUTO ACABADO, MERCADORIAS, ETC.
</t>
    </r>
    <r>
      <rPr>
        <b/>
        <sz val="10"/>
        <color theme="1"/>
        <rFont val="Arial"/>
        <family val="2"/>
      </rPr>
      <t>COMPRA / DATA ENTRADA / DATA SAÍDA / QUANTIDADES / MOVIMENTAÇÕES INTERNAS.</t>
    </r>
  </si>
  <si>
    <t>POSIÇÃO ATUAL</t>
  </si>
  <si>
    <r>
      <t xml:space="preserve">KARDEX DETALHADO DA MOVIMENTAÇÃO DE ENTRADAS E SAÍDAS BEM COMO A </t>
    </r>
    <r>
      <rPr>
        <b/>
        <sz val="10"/>
        <color theme="1"/>
        <rFont val="Arial"/>
        <family val="2"/>
      </rPr>
      <t>ABSORÇÃO DO GASTOS DE MOVIMENTAÇÃO, TRIBUTAÇÃO, RATEIOS E ETC.</t>
    </r>
  </si>
  <si>
    <t>BASE COMPOSIÇÃO DETALHADA DE 100% DOS LANÇAMENTOS EXTRATOS BANCÁRIOS NAS DATAS BASE</t>
  </si>
  <si>
    <r>
      <t xml:space="preserve">RELATÓRIO DAS CAUSAS TRABALHISTAS EM ANDAMENTO - </t>
    </r>
    <r>
      <rPr>
        <b/>
        <sz val="10"/>
        <color theme="1"/>
        <rFont val="Arial"/>
        <family val="2"/>
      </rPr>
      <t>CLASSIFICADAS PELO ADVOGADO EM REMOTA, POSSÍVEL, PROVÁVEL
BASE PARA PROVISIONAMENTO</t>
    </r>
  </si>
  <si>
    <t>DATA BASE</t>
  </si>
  <si>
    <r>
      <t xml:space="preserve">RELATÓRIO DAS CAUSAS CIVIS EM ANDAMENTO - </t>
    </r>
    <r>
      <rPr>
        <b/>
        <sz val="10"/>
        <color theme="1"/>
        <rFont val="Arial"/>
        <family val="2"/>
      </rPr>
      <t>CLASSIFICADAS PELO ADVOGADO EM REMOTA, POSSÍVEL, PROVÁVEL
BASE PARA PROVISIONAMENTO</t>
    </r>
  </si>
  <si>
    <r>
      <t xml:space="preserve">RELATÓRIO DAS CAUSAS TRIBUTÁRIA EM ANDAMENTO - </t>
    </r>
    <r>
      <rPr>
        <b/>
        <sz val="10"/>
        <color theme="1"/>
        <rFont val="Arial"/>
        <family val="2"/>
      </rPr>
      <t>CLASSIFICADAS PELO ADVOGADO EM REMOTA, POSSÍVEL, PROVÁVEL
BASE PARA PROVISIONAMENTO</t>
    </r>
  </si>
  <si>
    <t>RAZÃO CONTÁBIL PARA BASE DE LANÇAMENTOS DE PARTIDAS DOBRADAS E CONTABILIDADE SOCIETÁRIA.</t>
  </si>
  <si>
    <r>
      <t xml:space="preserve">SISTEMA ESTRUTURADO COM </t>
    </r>
    <r>
      <rPr>
        <b/>
        <sz val="10"/>
        <color theme="1"/>
        <rFont val="Arial"/>
        <family val="2"/>
      </rPr>
      <t xml:space="preserve">PLANO DE CONTAS </t>
    </r>
    <r>
      <rPr>
        <sz val="10"/>
        <color theme="1"/>
        <rFont val="Arial"/>
        <family val="2"/>
      </rPr>
      <t>AJUSTADO PARA SUA ATIVIDADE E REALIDADE DE TRANSAÇÕES.</t>
    </r>
  </si>
  <si>
    <r>
      <t xml:space="preserve">SISTEMA ESTRUTURADO COM </t>
    </r>
    <r>
      <rPr>
        <b/>
        <sz val="10"/>
        <color theme="1"/>
        <rFont val="Arial"/>
        <family val="2"/>
      </rPr>
      <t xml:space="preserve">CENTRO DE CUSTO </t>
    </r>
    <r>
      <rPr>
        <sz val="10"/>
        <color theme="1"/>
        <rFont val="Arial"/>
        <family val="2"/>
      </rPr>
      <t>AJUSTADO PARA SUA ATIVIDADE E REALIDADE DE TRANSAÇÕES.</t>
    </r>
  </si>
  <si>
    <r>
      <t xml:space="preserve">SISTEMA ESTRUTURADO ONDE AS ROTINAS E PROCESSOS GARANTEM OS LANÇAMENTOS DE RECEITAS E DESPESAS </t>
    </r>
    <r>
      <rPr>
        <b/>
        <sz val="10"/>
        <color theme="1"/>
        <rFont val="Arial"/>
        <family val="2"/>
      </rPr>
      <t>SÃO REALIZADOS COMPLETAMENTE E TEMPESTIVAMENTE.</t>
    </r>
  </si>
  <si>
    <r>
      <t xml:space="preserve">BASE DETALHADA DA COMPOSIÇÃO MENSAL DAS COMPRAS E CRÉDITO CONCEDIDOS POR FORNECEDOR.
</t>
    </r>
    <r>
      <rPr>
        <b/>
        <sz val="10"/>
        <color theme="1"/>
        <rFont val="Arial"/>
        <family val="2"/>
      </rPr>
      <t>DATA DE LANÇAMENTO / DATA DE PAGAMENTO / DESCRIÇÃO / QUANTIDADE / VALOR / UNIDADE DE MEDIDA / NOME OU CÓDIGO DP FORNECEDOR / CLASSE DE PRODUTO.</t>
    </r>
  </si>
  <si>
    <t>BASE DETALHADA DE NOVOS APORTES DE CAPITAL SOCIAL NO NEGÓCIO
SUBSCRIÇÃO DE CAPITAL SOCIAL</t>
  </si>
  <si>
    <t>BASE DETALHADA DE HISTÓRICO TOTAL DOS APORTES DE CAPITAL SOCIAL FEITOS NO NEGÓCIO.
SUBSCRIÇÃO DE CAPITAL SOCIAL</t>
  </si>
  <si>
    <r>
      <t xml:space="preserve">BASE DETALHADA DE COMPOSIÇÃO DO PATROMÔNIO LÍQUIDO. </t>
    </r>
    <r>
      <rPr>
        <b/>
        <sz val="10"/>
        <color theme="1"/>
        <rFont val="Arial"/>
        <family val="2"/>
      </rPr>
      <t>(CAPITAL SOCIAL + LUCROS OU PREJUIZOS ACUMULADOS)</t>
    </r>
  </si>
  <si>
    <t>G2 - INFORMAÇÃO</t>
  </si>
  <si>
    <r>
      <t xml:space="preserve">DRE - ESTRUTURADA  COM OS </t>
    </r>
    <r>
      <rPr>
        <b/>
        <sz val="10"/>
        <color theme="1"/>
        <rFont val="Arial"/>
        <family val="2"/>
      </rPr>
      <t>CONCEITOS DE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MERCADO CONTÁBIL E PROVISIONAMENTOS</t>
    </r>
  </si>
  <si>
    <r>
      <t xml:space="preserve">FLUXO DE CAIXA DIRETO COM ASSERTIVIDADE CONSIDERANDO A BASE REAL DE </t>
    </r>
    <r>
      <rPr>
        <b/>
        <sz val="10"/>
        <color theme="1"/>
        <rFont val="Arial"/>
        <family val="2"/>
      </rPr>
      <t>ENTRADAS E SAÍDAS E OS SEUS PROVISIONAMENTOS E ESTIMATIVAS PARA OS PRÓXIMOS 60 DIAS.</t>
    </r>
  </si>
  <si>
    <t>60 DIAS</t>
  </si>
  <si>
    <t>ORÇAMENTOS E VERBAS ANUAL PROJETADO E DETALHADO UTILIZANDO NO MODELO DE GESTÃO DA EMPRESA.</t>
  </si>
  <si>
    <r>
      <t xml:space="preserve">RECÁLCULO DE EMPRÉSTIMOS EM RELATÓRIO E FERRAMENTAS DE ANÁLISE
</t>
    </r>
    <r>
      <rPr>
        <b/>
        <sz val="10"/>
        <color theme="1"/>
        <rFont val="Arial"/>
        <family val="2"/>
      </rPr>
      <t>SALDO / CUSTO EFETIVO TOTAL / ENVELHECIMENTO DOS EMPRÉSTIMOS</t>
    </r>
  </si>
  <si>
    <r>
      <t xml:space="preserve">BALANÇO PATRIMONIAL SOCIETÁRIO </t>
    </r>
    <r>
      <rPr>
        <b/>
        <sz val="10"/>
        <color theme="1"/>
        <rFont val="Arial"/>
        <family val="2"/>
      </rPr>
      <t>(ATIVO / PASSIVO / PATRIMONIO LÍQUIDO)</t>
    </r>
  </si>
  <si>
    <t>A EMPRESA TEM PRATICAS DE CONCILIAÇÃO DE RECEBÍVEIS (TÍTULOS, CARTÃO DE CRÉDITOS, CAIXA)?</t>
  </si>
  <si>
    <t>A EMPRESA TEM PRATICAS DE CONCILIAÇÃO DE OBRIGAÇÕES (CONTAS A PAGAR)?</t>
  </si>
  <si>
    <t>A EMPRESA TEM PRATICAS DE CONCILIAÇÃO BANCÁRIA?</t>
  </si>
  <si>
    <t>G3 - ANÁLISE E CONTROLE</t>
  </si>
  <si>
    <t>INDICADOR: EBIT E MARGEM EBIT</t>
  </si>
  <si>
    <t>FEITA ANÁLISE VERTICAL DRE</t>
  </si>
  <si>
    <t>FEITA ANÁLISE HORIZONTAL DRE</t>
  </si>
  <si>
    <t>INDICADOR: LIQUIDEZ CORRENTE</t>
  </si>
  <si>
    <t>INDICADOR: LIQUIDEZ SECA</t>
  </si>
  <si>
    <t>INDICADOR: LIQUIDEZ IMEDIATA</t>
  </si>
  <si>
    <t>INDICADOR: LIQUIDEZ GERAL</t>
  </si>
  <si>
    <t>INDICADOR: COMPOSIÇÃO DO ENDIVIDAMENTO</t>
  </si>
  <si>
    <t>INDICADOR: ENDIVIDAMENTO GERAL</t>
  </si>
  <si>
    <t>INDICADOR: RETORNO SOBRE PATRIMÔNIO (ROE)</t>
  </si>
  <si>
    <t>INDICADOR: RETORNO SOBRE O CAPITAL INVESTIDO (ROIC)</t>
  </si>
  <si>
    <t>INDICADOR: RETORNO SOBRE O ATIVO (ROA)</t>
  </si>
  <si>
    <t>INDICADOR: % COBERTURA DE JUROS</t>
  </si>
  <si>
    <t>INDICADOR: DÍVIDA LÍQUIDA / EBITDA</t>
  </si>
  <si>
    <t>INDICADOR: MARGEM BRUTA</t>
  </si>
  <si>
    <t>INDICADOR: MARGEM LÍQUIDA</t>
  </si>
  <si>
    <t>INDICADOR: MARGEM NOPAT</t>
  </si>
  <si>
    <t>INDICADOR: GAF</t>
  </si>
  <si>
    <t>INDICADOR DE COBERTURA DE IMPOSTOS</t>
  </si>
  <si>
    <t>INDICADOR: CAGR FATURAMENTO</t>
  </si>
  <si>
    <t>INDICADOR: CAGR DO LUCRO LÍQUIDO</t>
  </si>
  <si>
    <t>INDICADOR: % SGA / FATURAMENTO</t>
  </si>
  <si>
    <t>INDICADOR: % CMV/CSP/CPV SOBRE FATURAMENTO</t>
  </si>
  <si>
    <t>INDICADOR: CAPITAL DE TERCEIROS / ATIVO</t>
  </si>
  <si>
    <t>INDICADOR: CAPITAL DE TERCEIROS / PATRIMÔNIO LÍQUIDO</t>
  </si>
  <si>
    <t>INDICADOR: DÍVIDA LÍQUIDA / PATRIMÔNIO LÍQUIDO</t>
  </si>
  <si>
    <t>INDICADOR: CUSTO MÉDIO PONDERADO DE CAPITAL (CMPC)</t>
  </si>
  <si>
    <t>INDICADOR: FLUXO DE CAIXA OPERACIONAL (FCO) / EBITDA</t>
  </si>
  <si>
    <t>INDICADOR: FLUXO DE CAIXA LIVRE (FCL) / EBITDA</t>
  </si>
  <si>
    <t>INDICADOR: CUSTO EFETIVO TOTAL (CET)</t>
  </si>
  <si>
    <t>INDICADOR: CAPEX</t>
  </si>
  <si>
    <t>INDICADOR: OPEX</t>
  </si>
  <si>
    <t>INDICADOR: NECESSIDADE DE CAPITAL DE GIRO (NCG)</t>
  </si>
  <si>
    <t>INDICADOR: PRAZO DE MÉDIO DE PAGAMENTO (PMP)</t>
  </si>
  <si>
    <t>INDICADOR: PRAZO DE MÉDIO DE RECEBIMENTO (PMR)</t>
  </si>
  <si>
    <t>INDICADOR: PRAZO DE MÉDIO DE ESTOQUE (PME)</t>
  </si>
  <si>
    <t>INDICADOR: CICLO OPERACIONAL</t>
  </si>
  <si>
    <t>INDICADOR: CICLO FINANCEIRO</t>
  </si>
  <si>
    <t>INDICADOR: % DE PAGAMENTOS EM ATRASO</t>
  </si>
  <si>
    <t>INDICADOR: % DE CONCILIAÇÃO BANCÁRIA FEITO</t>
  </si>
  <si>
    <t>INDICADOR: % DE INADIMPLÊNCIA</t>
  </si>
  <si>
    <t>ÍNDICE DE GIRO E REPOSIÇÃO DE ATIVO IMOBILIZADO / CAPEX</t>
  </si>
  <si>
    <t>OUTROS INDICADORES CHAVES DE PERFORMANCE (KPI) IMPORTANTES PARA OPERAÇÃO</t>
  </si>
  <si>
    <t>INDICADOR: RETORNO SOBRE O INVESTIMENTO (ROI)</t>
  </si>
  <si>
    <t>INDICADOR: EBITDA E MARGEM EBITDA</t>
  </si>
  <si>
    <t>GIRO DO CONTAS A PAGAR</t>
  </si>
  <si>
    <t>GIRO DO CONTAS A RECEBER</t>
  </si>
  <si>
    <t>GIRO DO ESTOQUE</t>
  </si>
  <si>
    <r>
      <t xml:space="preserve">MENSALMENTE É FEITA REUNIÃO DE </t>
    </r>
    <r>
      <rPr>
        <b/>
        <sz val="10"/>
        <color theme="1"/>
        <rFont val="Arial"/>
        <family val="2"/>
      </rPr>
      <t xml:space="preserve">ANÁLISE DOS RESULTADOS MENSAIS (ARM) </t>
    </r>
    <r>
      <rPr>
        <sz val="10"/>
        <color theme="1"/>
        <rFont val="Arial"/>
        <family val="2"/>
      </rPr>
      <t>E PRESTAÇÃO DE CONTAS DOS RESULTADOS?</t>
    </r>
  </si>
  <si>
    <r>
      <t xml:space="preserve">FORAM MAPEADOS OS </t>
    </r>
    <r>
      <rPr>
        <b/>
        <sz val="10"/>
        <color theme="1"/>
        <rFont val="Arial"/>
        <family val="2"/>
      </rPr>
      <t>RISCOS INERENTES DA OPERAÇÃO</t>
    </r>
    <r>
      <rPr>
        <sz val="10"/>
        <color theme="1"/>
        <rFont val="Arial"/>
        <family val="2"/>
      </rPr>
      <t>.</t>
    </r>
  </si>
  <si>
    <r>
      <t xml:space="preserve">FORAM MAPEADOS OS </t>
    </r>
    <r>
      <rPr>
        <b/>
        <sz val="10"/>
        <color theme="1"/>
        <rFont val="Arial"/>
        <family val="2"/>
      </rPr>
      <t xml:space="preserve">CONTROLES NECESSÁRIOS </t>
    </r>
    <r>
      <rPr>
        <sz val="10"/>
        <color theme="1"/>
        <rFont val="Arial"/>
        <family val="2"/>
      </rPr>
      <t>PARA MITIGAR OU ACOMPANHAR OS RISCOS INERENTES DA OPERAÇÃO.</t>
    </r>
  </si>
  <si>
    <t>É FEITA AUDITORIA RECORRENTE SOBRE OS LANÇAMENTOS FINANCEIROS DE COMPRAS, FATURAMENTO, CONTAS A RECEBER E LIQUIDAÇÃO?</t>
  </si>
  <si>
    <t>INFORMAÇÕES CONTÁBEIS SÃO LEVADAS EM CONSIDERAÇÃO NAS ANÁLISES E TOMADAS DE DECISÃO?</t>
  </si>
  <si>
    <t>INFORMAÇÕES JURÍDICAS SÃO LEVADAS EM CONSIDERAÇÃO NAS ANÁLISES E TOMADAS DE DECISÃO?</t>
  </si>
  <si>
    <t>INFORMAÇÕES TRIBUTÁRIAS SÃO LEVADAS EM CONSIDERAÇÃO NAS ANÁLISES E TOMADAS DE DECISÃO?</t>
  </si>
  <si>
    <t>EXISTE REUNIÃO TÁTICA PARA DEFINIÇÃO E ACOMPANHAMENTO DE METAS DE CURTO/MÉDIO PRAZO?</t>
  </si>
  <si>
    <t>PONTO DE EQUILÍBRIO CALCULADO SISTEMATICAMENTE COM BASE NOS DADOS DA DRE.</t>
  </si>
  <si>
    <t>A SUA EMPRESA APRESENTA PRÁTICAS BÁSICAS DE COMPLIANCE E GOVERNANÇA?</t>
  </si>
  <si>
    <t>G4 - CICLO de MELHORIA</t>
  </si>
  <si>
    <t>A SUA EMPRESA POSSUI MOMENTO FORMAL DE BALANÇO PARA REVISÃO DAS PRINCIPAIS ATIVIDADES ADM. FINANCEIRAS EXECUTADAS?</t>
  </si>
  <si>
    <t>A SUA EMPRESA BUSCA A MELHORIA CONTÍNUA DE SEUS PROCESSOS POR MEIO DE BENCHMARK DAS MELHORES PRÁTICAS?</t>
  </si>
  <si>
    <t>CASO A SUA EMPRESA TENHA TERCEIRIZADOS (CONTADOR, ADVOGADO E CORRELATOS), HÁ MOMENTOS DE BALANÇO VOLTADOS À PRESTAÇÃO DE CONTAS DAS PRINCIPAIS ATIVIDADES DESENVOLVIDAS?</t>
  </si>
  <si>
    <t>A SUA EMPRESA POSSUI MOMENTO FORMAL DE AVALIAÇÃO DE DESEMPENHO DAS PESSOAS RESPONSÁVEIS PELAS ATIVIDADES ADM. FINANCEIRAS?</t>
  </si>
  <si>
    <t>G5 - EXECUÇÃO de MELHORIA E CHECAGEM</t>
  </si>
  <si>
    <t>SISTEMATICAMENTE OS CICLO DE MELHORIA E PLANOS DE AÇÃO SÃO ANALISADOS E DEVOLVIDOS COM STATUS E ACOMPANHAMENTOS DE EXECUÇÃO PARA TODA A EMPRESA.</t>
  </si>
  <si>
    <t>RESULTADO</t>
  </si>
  <si>
    <t>Quantidade de CHECK por "G"</t>
  </si>
  <si>
    <t>FASE</t>
  </si>
  <si>
    <t>% 
COMPLETA</t>
  </si>
  <si>
    <t>% 
Atingida</t>
  </si>
  <si>
    <t>% 
A COMPLETAR</t>
  </si>
  <si>
    <t>Sim</t>
  </si>
  <si>
    <t>TOTAL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</si>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</sst>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(* #,##0.00_);_(* \(#,##0.00\);_(* &quot;-&quot;??_);_(@_)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Nova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8"/>
      <name val="Times New Roman"/>
      <family val="1"/>
    </font>
    <font>
      <b/>
      <sz val="10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5">
    <xf numFmtId="0" fontId="0" fillId="0" borderId="0"/>
    <xf numFmtId="0" fontId="12" fillId="0" borderId="0"/>
    <xf numFmtId="43" fontId="12" fillId="0" borderId="0" applyFont="0" applyFill="0" applyBorder="0" applyAlignment="0" applyProtection="0"/>
    <xf numFmtId="0" fontId="13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166" fontId="1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3" fillId="0" borderId="0"/>
    <xf numFmtId="166" fontId="10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5" fillId="0" borderId="0"/>
    <xf numFmtId="0" fontId="9" fillId="0" borderId="0"/>
    <xf numFmtId="0" fontId="12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10" fillId="0" borderId="0" xfId="31" applyFont="1" applyAlignment="1">
      <alignment horizontal="center" vertical="center"/>
    </xf>
    <xf numFmtId="0" fontId="10" fillId="0" borderId="0" xfId="31" applyFont="1" applyAlignment="1">
      <alignment horizontal="center" vertical="center" wrapText="1"/>
    </xf>
    <xf numFmtId="0" fontId="2" fillId="0" borderId="0" xfId="31"/>
    <xf numFmtId="0" fontId="16" fillId="4" borderId="1" xfId="31" applyFont="1" applyFill="1" applyBorder="1" applyAlignment="1">
      <alignment horizontal="center" vertical="center"/>
    </xf>
    <xf numFmtId="0" fontId="11" fillId="0" borderId="1" xfId="31" applyFont="1" applyBorder="1" applyAlignment="1">
      <alignment horizontal="center" vertical="center" wrapText="1"/>
    </xf>
    <xf numFmtId="0" fontId="10" fillId="3" borderId="1" xfId="31" applyFont="1" applyFill="1" applyBorder="1" applyAlignment="1">
      <alignment horizontal="center" vertical="center" wrapText="1"/>
    </xf>
    <xf numFmtId="0" fontId="10" fillId="0" borderId="1" xfId="31" applyFont="1" applyBorder="1" applyAlignment="1">
      <alignment horizontal="center" vertical="center" wrapText="1"/>
    </xf>
    <xf numFmtId="0" fontId="10" fillId="0" borderId="1" xfId="31" applyFont="1" applyBorder="1" applyAlignment="1" applyProtection="1">
      <alignment horizontal="center" vertical="center"/>
      <protection locked="0"/>
    </xf>
    <xf numFmtId="0" fontId="10" fillId="0" borderId="1" xfId="31" applyFont="1" applyBorder="1" applyAlignment="1" applyProtection="1">
      <alignment horizontal="center" vertical="center" wrapText="1"/>
      <protection locked="0"/>
    </xf>
    <xf numFmtId="0" fontId="10" fillId="6" borderId="1" xfId="31" applyFont="1" applyFill="1" applyBorder="1" applyAlignment="1" applyProtection="1">
      <alignment horizontal="center" vertical="center" wrapText="1"/>
      <protection locked="0"/>
    </xf>
    <xf numFmtId="0" fontId="11" fillId="0" borderId="0" xfId="31" applyFont="1" applyAlignment="1">
      <alignment horizontal="center" vertical="center" wrapText="1"/>
    </xf>
    <xf numFmtId="0" fontId="11" fillId="3" borderId="1" xfId="31" applyFont="1" applyFill="1" applyBorder="1" applyAlignment="1">
      <alignment horizontal="center" vertical="center" wrapText="1"/>
    </xf>
    <xf numFmtId="0" fontId="11" fillId="0" borderId="1" xfId="31" applyFont="1" applyBorder="1" applyAlignment="1">
      <alignment horizontal="center" vertical="center"/>
    </xf>
    <xf numFmtId="0" fontId="2" fillId="0" borderId="0" xfId="31" applyAlignment="1">
      <alignment wrapText="1"/>
    </xf>
    <xf numFmtId="0" fontId="2" fillId="0" borderId="0" xfId="31" applyAlignment="1">
      <alignment vertical="center" wrapText="1"/>
    </xf>
    <xf numFmtId="0" fontId="14" fillId="0" borderId="0" xfId="31" applyFont="1" applyAlignment="1">
      <alignment horizontal="center" vertical="center"/>
    </xf>
    <xf numFmtId="0" fontId="16" fillId="5" borderId="1" xfId="31" applyFont="1" applyFill="1" applyBorder="1" applyAlignment="1">
      <alignment horizontal="centerContinuous" vertical="center"/>
    </xf>
    <xf numFmtId="0" fontId="10" fillId="0" borderId="0" xfId="31" applyFont="1" applyAlignment="1">
      <alignment horizontal="left" vertical="center"/>
    </xf>
    <xf numFmtId="0" fontId="10" fillId="0" borderId="0" xfId="31" applyFont="1" applyAlignment="1">
      <alignment vertical="center"/>
    </xf>
    <xf numFmtId="0" fontId="16" fillId="0" borderId="1" xfId="31" applyFont="1" applyBorder="1" applyAlignment="1">
      <alignment horizontal="centerContinuous" vertical="center"/>
    </xf>
    <xf numFmtId="0" fontId="10" fillId="0" borderId="1" xfId="31" applyFont="1" applyBorder="1" applyAlignment="1">
      <alignment horizontal="centerContinuous" vertical="center"/>
    </xf>
    <xf numFmtId="0" fontId="16" fillId="2" borderId="1" xfId="31" applyFont="1" applyFill="1" applyBorder="1" applyAlignment="1">
      <alignment horizontal="center" vertical="center"/>
    </xf>
    <xf numFmtId="0" fontId="16" fillId="2" borderId="1" xfId="31" applyFont="1" applyFill="1" applyBorder="1" applyAlignment="1">
      <alignment horizontal="center" vertical="center" wrapText="1"/>
    </xf>
    <xf numFmtId="0" fontId="16" fillId="2" borderId="2" xfId="31" applyFont="1" applyFill="1" applyBorder="1" applyAlignment="1">
      <alignment horizontal="center" vertical="center"/>
    </xf>
    <xf numFmtId="0" fontId="11" fillId="0" borderId="1" xfId="31" applyFont="1" applyBorder="1" applyAlignment="1">
      <alignment horizontal="left" vertical="center"/>
    </xf>
    <xf numFmtId="9" fontId="14" fillId="0" borderId="1" xfId="31" applyNumberFormat="1" applyFont="1" applyBorder="1" applyAlignment="1">
      <alignment horizontal="center" vertical="center"/>
    </xf>
    <xf numFmtId="9" fontId="10" fillId="0" borderId="1" xfId="31" applyNumberFormat="1" applyFont="1" applyBorder="1" applyAlignment="1">
      <alignment horizontal="center" vertical="center"/>
    </xf>
    <xf numFmtId="0" fontId="14" fillId="0" borderId="1" xfId="31" applyFont="1" applyBorder="1" applyAlignment="1">
      <alignment horizontal="center" vertical="center"/>
    </xf>
  </cellXfs>
  <cellStyles count="35">
    <cellStyle name="Comma 42" xfId="15" xr:uid="{1B2E5901-08C3-49AC-9782-10EACDB95D34}"/>
    <cellStyle name="Moeda 2" xfId="17" xr:uid="{9887E021-B3E2-4738-925F-CE310B28CAE2}"/>
    <cellStyle name="Moeda 3" xfId="19" xr:uid="{5B586AB2-7FCD-47D7-AD0A-302B92C846DF}"/>
    <cellStyle name="Normal" xfId="0" builtinId="0"/>
    <cellStyle name="Normal 2" xfId="1" xr:uid="{EF22A4EA-49F4-4A86-9DA6-D20F33A83D7C}"/>
    <cellStyle name="Normal 2 2" xfId="4" xr:uid="{C470D4E6-387B-4EF3-B8F2-0CB647B47F0A}"/>
    <cellStyle name="Normal 2 2 2" xfId="25" xr:uid="{44F258F6-DE1C-4A9F-84D8-E4AA70091405}"/>
    <cellStyle name="Normal 2 3" xfId="14" xr:uid="{DA3F29F3-C904-4C08-B582-D894C9263A6D}"/>
    <cellStyle name="Normal 2 4" xfId="24" xr:uid="{839C98D3-2FCB-4967-91A1-4338DF96B56B}"/>
    <cellStyle name="Normal 3" xfId="3" xr:uid="{7740DD62-B69F-4A48-971D-D954B44A55A0}"/>
    <cellStyle name="Normal 3 2" xfId="23" xr:uid="{AE4E2D13-4BE7-4CD3-976C-46F9DD76F5AE}"/>
    <cellStyle name="Normal 4" xfId="7" xr:uid="{DF7084AF-DD33-496B-ABC2-7A8BB4345691}"/>
    <cellStyle name="Normal 5" xfId="18" xr:uid="{DEB76096-9464-45BE-925D-0E73305CBDD5}"/>
    <cellStyle name="Normal 6" xfId="26" xr:uid="{6CFDB9D9-7D42-4210-A332-C5E7B1F686AB}"/>
    <cellStyle name="Normal 62" xfId="9" xr:uid="{2E918471-F9BF-4E41-BB29-11F99FA61CA8}"/>
    <cellStyle name="Normal 66" xfId="11" xr:uid="{DA319B65-8A37-4B91-830C-D56BBAEE121D}"/>
    <cellStyle name="Normal 7" xfId="29" xr:uid="{AC39ECDC-B0C8-476D-A30B-578201CDEDCB}"/>
    <cellStyle name="Normal 8" xfId="31" xr:uid="{6FACE255-65BB-4552-8442-8954128A5609}"/>
    <cellStyle name="Normal 9" xfId="32" xr:uid="{A6E9EC35-BB3E-4F8C-8EE4-5AFD9AB2922C}"/>
    <cellStyle name="Porcentagem 2" xfId="6" xr:uid="{17A56114-1918-4A5E-BAFB-27CDF5415919}"/>
    <cellStyle name="Porcentagem 3" xfId="16" xr:uid="{D33616F2-B9A8-4E5D-A401-519AE015E890}"/>
    <cellStyle name="Porcentagem 4" xfId="13" xr:uid="{0D81766F-01D2-4935-870A-7D96D177A8E4}"/>
    <cellStyle name="Porcentagem 5" xfId="21" xr:uid="{90599247-0FF7-45B2-A159-D06CAC5399C6}"/>
    <cellStyle name="Porcentagem 6" xfId="22" xr:uid="{1AA715D7-F359-4DD5-B981-E0FDBFA5D995}"/>
    <cellStyle name="Porcentagem 7" xfId="28" xr:uid="{D5B14C85-7AF8-4702-B00A-4CEFFC00773C}"/>
    <cellStyle name="Porcentagem 8" xfId="30" xr:uid="{9FA4DA8D-9FAD-4AD7-92EF-B32E113DCB8C}"/>
    <cellStyle name="Porcentagem 9" xfId="33" xr:uid="{9F2367A4-C0F1-4A3A-A853-A2CE5F621D86}"/>
    <cellStyle name="Vírgula 2" xfId="2" xr:uid="{FE73947A-8A2F-49C7-839D-19EBEE808D75}"/>
    <cellStyle name="Vírgula 3" xfId="5" xr:uid="{D94DB55F-FF87-4F16-929F-E565BED6D57E}"/>
    <cellStyle name="Vírgula 3 2" xfId="12" xr:uid="{DAABF557-EBD3-4AF1-96B5-5BC7F0FAB2BD}"/>
    <cellStyle name="Vírgula 4" xfId="8" xr:uid="{4705BCC6-25BE-4136-8F8F-2805EEC5C52D}"/>
    <cellStyle name="Vírgula 5" xfId="10" xr:uid="{FE60E71F-A59B-4EB9-8D34-2206E7174FA6}"/>
    <cellStyle name="Vírgula 6" xfId="20" xr:uid="{68B86F40-F03A-4396-8230-463BB34564FE}"/>
    <cellStyle name="Vírgula 7" xfId="27" xr:uid="{B0B2D174-F6C5-45C5-96C3-2844F03916FC}"/>
    <cellStyle name="Vírgula 8" xfId="34" xr:uid="{BF32B8DF-0D6F-493F-ADB1-D03878D654CD}"/>
  </cellStyles>
  <dxfs count="0"/>
  <tableStyles count="1" defaultTableStyle="TableStyleMedium2" defaultPivotStyle="PivotStyleLight16">
    <tableStyle name="Invisible" pivot="0" table="0" count="0" xr9:uid="{5D160CC9-DCD3-4DCC-972B-102306099D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28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G5 - FINANCEIRO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'M0 - G5 - Financeiro'!$C$134</c:f>
              <c:strCache>
                <c:ptCount val="1"/>
                <c:pt idx="0">
                  <c:v>% 
Atingida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'M0 - G5 - Financeiro'!$A$135:$A$140</c:f>
              <c:strCache>
                <c:ptCount val="6"/>
                <c:pt idx="0">
                  <c:v>G0 - CADASTROS, PESSOAS E PROCESSOS</c:v>
                </c:pt>
                <c:pt idx="1">
                  <c:v>G1 - DADOS - BASE de DADOS</c:v>
                </c:pt>
                <c:pt idx="2">
                  <c:v>G2 - INFORMAÇÃO</c:v>
                </c:pt>
                <c:pt idx="3">
                  <c:v>G3 - ANÁLISE E CONTROLE</c:v>
                </c:pt>
                <c:pt idx="4">
                  <c:v>G4 - CICLO de MELHORIA</c:v>
                </c:pt>
                <c:pt idx="5">
                  <c:v>G5 - EXECUÇÃO de MELHORIA E CHECAGEM</c:v>
                </c:pt>
              </c:strCache>
            </c:strRef>
          </c:cat>
          <c:val>
            <c:numRef>
              <c:f>'M0 - G5 - Financeiro'!$C$135:$C$140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D-45F8-B3A3-410EF16F4ECD}"/>
            </c:ext>
          </c:extLst>
        </c:ser>
        <c:ser>
          <c:idx val="1"/>
          <c:order val="1"/>
          <c:tx>
            <c:strRef>
              <c:f>'M0 - G5 - Financeiro'!$D$134</c:f>
              <c:strCache>
                <c:ptCount val="1"/>
                <c:pt idx="0">
                  <c:v>% 
A COMPLETAR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'M0 - G5 - Financeiro'!$A$135:$A$140</c:f>
              <c:strCache>
                <c:ptCount val="6"/>
                <c:pt idx="0">
                  <c:v>G0 - CADASTROS, PESSOAS E PROCESSOS</c:v>
                </c:pt>
                <c:pt idx="1">
                  <c:v>G1 - DADOS - BASE de DADOS</c:v>
                </c:pt>
                <c:pt idx="2">
                  <c:v>G2 - INFORMAÇÃO</c:v>
                </c:pt>
                <c:pt idx="3">
                  <c:v>G3 - ANÁLISE E CONTROLE</c:v>
                </c:pt>
                <c:pt idx="4">
                  <c:v>G4 - CICLO de MELHORIA</c:v>
                </c:pt>
                <c:pt idx="5">
                  <c:v>G5 - EXECUÇÃO de MELHORIA E CHECAGEM</c:v>
                </c:pt>
              </c:strCache>
            </c:strRef>
          </c:cat>
          <c:val>
            <c:numRef>
              <c:f>'M0 - G5 - Financeiro'!$D$135:$D$140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D-45F8-B3A3-410EF16F4E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7012080"/>
        <c:axId val="1807014992"/>
      </c:barChart>
      <c:catAx>
        <c:axId val="180701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7014992"/>
        <c:crosses val="autoZero"/>
        <c:auto val="1"/>
        <c:lblAlgn val="ctr"/>
        <c:lblOffset val="100"/>
        <c:noMultiLvlLbl val="0"/>
      </c:catAx>
      <c:valAx>
        <c:axId val="180701499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70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142</xdr:row>
      <xdr:rowOff>152399</xdr:rowOff>
    </xdr:from>
    <xdr:to>
      <xdr:col>3</xdr:col>
      <xdr:colOff>500062</xdr:colOff>
      <xdr:row>167</xdr:row>
      <xdr:rowOff>130968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70F8C-E9B5-46AE-A868-18BBC5B33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rb-srv2/Pre-IPO/Clientes/Santana%20Textiles/Business%20Plan/Valuation/Cenarios%20Vendas/Cen&#225;rios%20Vendas%2013_11%20vers&#227;o%20consolidad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COF11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E.XL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lzserv/Contabili/BALANCETES/Banc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ARCOSCOELHO/aws/FINANCEI/TESOURAR/ARQUIVO/CAIXAAMB/YTD95/CASHMA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ctcc03/mercado/TEMP/Balan&#231;o%20Energ&#233;tico%202001/Balan&#231;o%20Energ&#233;tico%20Agosto2001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RSANTOAN/aws/My%20Files/Renata/Clients/Tim/Tim%2031.12.02/PDD/E.%20Contas%20a%20recebe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ROSENBERG/SYS/USR/TECNICA/RELATORI/FISCAL/NflFedST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ec-J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ROSENBERG/SYS/USR/PUBLICO/DIRETORI/GRAFIC50/FISCAL/322ex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BRVERTAAN/aws/Clientes%202001/Itelpa/PPC/Depositos%20Judiciai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cao12/Area%20Publica/NUOTIRR/IFCST_99/SIN1FC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hrysley/relatorio/backup1/Relat-JAN-2000-GER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up1\Relat-JAN-2000-GER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BRFERREAN/aws/Concreteiras/Equivalencia%20das%20Concreteiras/Julho%20topm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01/TRIBUTARIO/Grupo%20Guaraniana%20S.A/COORD.%20TRIBUTARIA/RELAT&#211;RIO%20FISCAL/RELAT&#211;RIO%20MENSAL/2003/Setembro/Relat&#243;rio%20Setembro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pcg03/c/WINDOWS/TEMP/Respostas/FATUR&amp;DEBT_P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DICON/Gecot/Varejo/AN&#193;LISE/INDICADORES/HCAR/HCAR/Indicadores%20HCAR%202001.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RPOMPEEM/aws/Documents%20and%20Settings/emerson.pompeu/My%20Documents/Clientes/ConsorcioSiglaSade/MENS_SI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AMxFiles/kxwhyabkt6cbgn4ryv5tterenura4ut9bdbg4s26enq8n5pynxa2/jan%2011%2010/7bb12343594c4eefa0e2499fa5446611/JM/DIVERSOS/GOA/Finais/M1%20-%20Emprestimo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OA%20E2%20-%20PD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1%20-%20Caix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2%20-%20Bancos%20BPS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4.2-Flexibra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4.4-Marflex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4.6-Seaoi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4.3-Sigm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18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voneva\balanco\Bal_04\CIPAL_09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presa\ARQUIVOS\Bala2002\3%20trimestre\ABC_08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2LYH0J29\Segmenta&#231;&#227;o%20Novembro%2020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SER\APFIN\TEMPORARIO\2004\3tri\SE_09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Auditoria/Clientes/COSERN/Auditoria%20Final%2031.12.04/T&#237;tulos/5313%20Recomposi&#231;&#227;o%20tarif&#225;ria%20do%20racionamento%20Combined%20Leadshee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COF119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L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l\custos\Jorge\SMT\CUSTOS%202009\SMT_Custos_JAN_20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Auditoria/Clientes/COSERN/Auditoria%20Final%2031.12.04/T&#237;tulos/Tarifas_IRT/CSPE/Cspe_3fev2003/IRT_CSPE_03Fev200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INDICES/CDICETIP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pcg03/c/Meus%20documentos/Aurineide/DISTRIBUI&#199;&#195;O/DEC%20FEC/2000/Modelo%20Novo/Junho99%20a%20Maio00/FATUR&amp;DEBT_PM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pcg03/c/Relatorios%20-%20PCG/Conselho%20de%20Administra&#231;&#227;o/Relat&#243;rio%20-%20junho/Respostas/FATUR&amp;DEBT_P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4109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FATUR&amp;DEBT_P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B%20A%20C%20K%20U%20P%20%20GERAL/FFDI/CONT&#193;BIL%202005/ITR/2008/An&#225;lises%20-%20Movimenta&#231;&#227;o/MUTA&#199;&#213;ES%2001.2008%20PPC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nceiro\Hedge\Hedge%20BANK%20BOSTON%20-19-10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NCIL%202002%20v2.0-SINGCO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G00FI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Edson/WP%20Modelos/5640%20Imobilizado%20norm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FSUB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4%20-%20Contingencias%20-%20BPS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Galindo/dir.%20comerci/C%20G%20C/Arrecada&#231;&#227;o/CGCO%20Rel%20Gest&#227;o/Dir.%20Comercial/Relat&#243;rio%20Gest&#227;o%20Mensal/Relat&#243;rio%201Performance%20Jun0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admin/Downloads/C&#243;pia%20de%20Concilia&#231;&#227;o%20Final%20-%20AGOSTO%202014%20CORRET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QII_INC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fs\stl\custos\Ramyres\Resumo_Di&#225;ri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L2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~1\LUCIVA~1\CONFIG~1\Temp\notes4AF6AD\CONTROLE%20SANTANA%20X%20SANTANA%20MT%20200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l\custos\Lucivaldo\Contabilidade\STL\CustosSTL-Mai20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P_DoyHiZYG6aAToIEhwz8o70NEx6wZSY\FLGF%201\Ferramentas\Templates%20finais\Template%20Empresa%20de%20Servi&#231;os.v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DG98_N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ADM_NT04/PR/Eduardo%20Capelastegui/Redes%20Internacional/Informaciones%20REDES/Informe%20de%20gestion/Abri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Fi/Fpo/FPOR/Orc%202004/MPE_JUL03_COELBA%2011.08_16h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cao12/Area%20Publica/AA_GEN/97_BDG/PRESENTA/PRESENTA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ECENTRAL/DSK/COMUM/DICON/DICOT/AN&#193;LISE/HCAR/HCAR/Indicadores%20HCAR%202001.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AS9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Bompre&#231;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j-r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vPuFed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dfin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02%20Deferred%20Tax%20%20Assets%20Short%20Term%20Combined%20Leadsheet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13%20Recomposi&#231;&#227;o%20tarif&#225;ria%20do%20racionamento%20Combined%20Leadsheet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11%20Imobilizado%20-%20%20Combined%20Leadsheet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umo%20Reformas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PWR/1%20-%20Mark%20&amp;%20KM/Pagamento/OUTUBRO%202014/Concilia&#231;&#227;o%20Final%20-OUTUBRO%2012.11%20201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BAST_SCAC\RESTRITO\FAC\2003\Petro\Quadros\FATPETRO_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My%20Documents/Clientes/COSERN/Emprestimos%20e%20financiamentos/6311%20Encargos%20de%20d&#237;vida%20Combined%20Leadshee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611%20Exig&#237;vel%20a%20longo%20prazo%20-%20Combined%20Leadsheet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Foap/Aux_PEF/Control%20Colig/Guaraniana/MPE/Modelo%20de%20Planejamento%20Empresarial-MPE-COELBA%20-%20UPA%20sem%20Itap%20(29.07.02)/Modelo%20de%20Planejamento%20Empresarial-MPE-COELBA%20-%20UPA%20sem%20Itap%20(29.07.02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5410%20Estoques%20-%20Combined%20Leadsheet%20(AA)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sslzsed01/AFP/A-Eletrobr&#225;s/Auxiliares/A-Banco%20de%20Dados/Banco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pcg03/c/Relatorios/Relat&#243;rio%20de%20Gest&#227;o/Rel%20Gest&#227;o%20-%20ago00/Respostas/FATUR&amp;DEBT_P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BRPOMPEEM/aws/Documents%20and%20Settings/emerson.pompeu/My%20Documents/Clientes/ConsorcioSiglaSade/BDG97/BD97_ME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es%20Livres%20Guaranian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pia.peralta\My%20Documents\Petrobras\Dividendos%20a%20Receber\ELIMINA&#199;&#213;ES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COF1097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D99_ME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cao12/Area%20Publica/BDG98/B98RTEC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ffic02/c/Apura&#231;&#227;o%20IRPJ%20e%20CSLL/Apura&#231;&#227;o%20Mensal%20Acumul%202003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CFC_NORS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a/Google%20Drive/PWR/5%20-%20Autoestudio/Financeiro/Concilia&#231;&#227;o%20%20Financeiro%20AE%20Bel%20-%2027.01.2015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o2001taxabudget_ultimo08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FIRB-SRV2/Pre-IPO/Clientes/Santana%20Textiles/Business%20Plan/Valuation/Modelo%20Financeiro/Modelo%20Financeiro%20-%20Grupo%20Santana%20Textile%20261108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5%20-%20ICMS%20e%20IPI%20a%20recuperar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3A6.tmp/E1%20-%20BPSN%202006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COF29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2%20%20Clientes%20(Testes)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c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c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D_MESE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EQUIVAL20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G00VEN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1%20-%20Aplicacoes%20Financeira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edro.Mendes/My%20Documents/Clientes/Eletra%20-%20FAE/Eletra%20Imp.CalculoJurosIOFIRRF(M&#250;tuoHexing)%20INTEGRALIZACAO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340%20Empr&#233;stimos%20e%20financiamento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Edson/WP%20Modelos/6341%20Empr&#233;stimos%20e%20financiamentos%20Combined%20Leadshee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Realiz&#225;vel%20a%20longo%20prazo%20-%20%20Combined%20Leadsheet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Mat&#233;rias-primas%20Combined%20Leadsheet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9%20Impostos%20a%20Compensar%20%20%20%20%20%20%20%20%20%20%20%20%20%20%20%20%20%20%20%20%20%20%20%20%20%20%20%20%20URUPEMA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10%20Impostos%20a%20Recuperar%20Leadsheet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41%20Empr&#233;stimos%20e%20financiamentos%20Combined%20Leadsheet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Investimentos%20Combined%20Leadsheet%20-%202003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0%20Consumidores,%20concess%20e%20permission&#225;rios%20Leadsheet%20-%20CP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T&#237;tulos%20a%20receber%20Combined%20Leadsheet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Imobilizado%20-%20Leadsheet%20(GCLyra%202002)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Edson/Clientes%202002/CEMAR/PPC/6330%20PPC%20Empr&#233;stimos%20e%20Financiamentos%20-%20Ribeiro%20(Tesouraria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340%20Emprestimos%20e%20Finaciamentos_CP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61%20Balancete%20Consolidado%20Junho%202002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rv88.tmp/CEVAL%202000/estoque%20manoe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Galindo/cgco%20rel%20ges/Dir.%20Comercial/Relat&#243;rio%20Gest&#227;o%20Mensal/Relat&#243;rio%201Performance%20Jun00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9.88/ppc%203/WINDOWS/TEMP/GAMxFiles/af4ch3ee9qxbenb39haf7vxj7aksamj9dxqdph2bred57ftyw8r8/abr%2019%2011/06cb53547599405096b09eeb953008a6/E9%20-%20Outros%20Cr&#233;dito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Clpsdctcc03/mercado/TEMP/Balan&#231;o%20Energ&#233;tico%20Registrado/Balan&#231;o%20Energ&#233;tico%20Registrado/Balan&#231;o%20Energ&#233;tico%20Outubro2000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nderlei/Downloads/Template%20Empresa%20de%20COM&#201;RCIO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nderlei/Downloads/Template%20Empresa%20de%20Servi&#231;os.v2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nderlei/Downloads/Template%20Empresa%20de%20INDUSTRIA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itormelolima/Downloads/Template%20Empresa%20de%20Servi&#231;os.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turamento STL2007"/>
      <sheetName val="faturamento STL out08"/>
      <sheetName val="Indice 2"/>
      <sheetName val="Indices"/>
      <sheetName val="Resumo Cenarios"/>
      <sheetName val="STL - HORIZONTE"/>
      <sheetName val="faturamento STL jan-out08"/>
      <sheetName val="MT-Rondonopolis"/>
      <sheetName val="faturamento 2007 MT"/>
      <sheetName val="faturamento janout08"/>
      <sheetName val="faturamentoout08mt"/>
      <sheetName val="faturamentoout08ntx"/>
      <sheetName val="Analise de PM"/>
      <sheetName val="Hoja1"/>
      <sheetName val="Indice_2"/>
    </sheetNames>
    <sheetDataSet>
      <sheetData sheetId="0" refreshError="1">
        <row r="2">
          <cell r="C2" t="str">
            <v>Soma de METRAGEM</v>
          </cell>
          <cell r="G2" t="str">
            <v>Soma de VALOR</v>
          </cell>
          <cell r="K2" t="str">
            <v>Total Soma de METRAGEM</v>
          </cell>
          <cell r="L2" t="str">
            <v>Total Soma de VALOR</v>
          </cell>
          <cell r="M2" t="str">
            <v>Preço médio</v>
          </cell>
        </row>
        <row r="3">
          <cell r="B3" t="str">
            <v>TECIDO</v>
          </cell>
          <cell r="C3" t="str">
            <v>CO</v>
          </cell>
          <cell r="D3" t="str">
            <v>NO</v>
          </cell>
          <cell r="E3" t="str">
            <v>SUD</v>
          </cell>
          <cell r="F3" t="str">
            <v>(vazio)</v>
          </cell>
          <cell r="G3" t="str">
            <v>CO</v>
          </cell>
          <cell r="H3" t="str">
            <v>NO</v>
          </cell>
          <cell r="I3" t="str">
            <v>SUD</v>
          </cell>
          <cell r="J3" t="str">
            <v>(vazio)</v>
          </cell>
          <cell r="M3" t="str">
            <v>CO</v>
          </cell>
          <cell r="N3" t="str">
            <v>Nordeste</v>
          </cell>
          <cell r="O3" t="str">
            <v>Sudeste</v>
          </cell>
          <cell r="P3" t="str">
            <v>Sul</v>
          </cell>
          <cell r="Q3" t="str">
            <v>Total</v>
          </cell>
          <cell r="R3" t="str">
            <v>amostra</v>
          </cell>
          <cell r="S3" t="str">
            <v>CO</v>
          </cell>
          <cell r="T3" t="str">
            <v>Nordeste</v>
          </cell>
          <cell r="U3" t="str">
            <v>Sudeste</v>
          </cell>
          <cell r="V3" t="str">
            <v>Sul</v>
          </cell>
          <cell r="W3" t="str">
            <v>CO</v>
          </cell>
          <cell r="X3" t="str">
            <v>Nordeste</v>
          </cell>
          <cell r="Y3" t="str">
            <v>Sudeste</v>
          </cell>
          <cell r="Z3" t="str">
            <v>Sul</v>
          </cell>
        </row>
        <row r="4">
          <cell r="B4" t="str">
            <v>CHRONIC DENIM</v>
          </cell>
          <cell r="C4">
            <v>4699.6000000000004</v>
          </cell>
          <cell r="D4">
            <v>39305.699999999997</v>
          </cell>
          <cell r="E4">
            <v>103</v>
          </cell>
          <cell r="G4">
            <v>28727.79</v>
          </cell>
          <cell r="H4">
            <v>283724.32</v>
          </cell>
          <cell r="I4">
            <v>750.87</v>
          </cell>
          <cell r="K4">
            <v>44108.3</v>
          </cell>
          <cell r="L4">
            <v>313202.98</v>
          </cell>
          <cell r="M4">
            <v>6.1128159843390923</v>
          </cell>
          <cell r="N4">
            <v>7.2184014023411374</v>
          </cell>
          <cell r="O4">
            <v>7.29</v>
          </cell>
          <cell r="Q4">
            <v>7.1007719635533437</v>
          </cell>
          <cell r="R4" t="e">
            <v>#N/A</v>
          </cell>
        </row>
        <row r="5">
          <cell r="B5" t="str">
            <v>COMANDO</v>
          </cell>
          <cell r="C5">
            <v>465989.4</v>
          </cell>
          <cell r="D5">
            <v>2359963.4</v>
          </cell>
          <cell r="E5">
            <v>1041</v>
          </cell>
          <cell r="G5">
            <v>2370447.2999999998</v>
          </cell>
          <cell r="H5">
            <v>11729607.939999999</v>
          </cell>
          <cell r="I5">
            <v>5610.99</v>
          </cell>
          <cell r="K5">
            <v>2826993.8</v>
          </cell>
          <cell r="L5">
            <v>14105666.229999999</v>
          </cell>
          <cell r="M5">
            <v>5.0869124920008906</v>
          </cell>
          <cell r="N5">
            <v>4.9702499369269884</v>
          </cell>
          <cell r="O5">
            <v>5.39</v>
          </cell>
          <cell r="Q5">
            <v>4.9896346536027067</v>
          </cell>
          <cell r="R5">
            <v>0</v>
          </cell>
        </row>
        <row r="6">
          <cell r="B6" t="str">
            <v>COMANDO 12</v>
          </cell>
          <cell r="C6">
            <v>14903.5</v>
          </cell>
          <cell r="D6">
            <v>967016</v>
          </cell>
          <cell r="G6">
            <v>70096.89</v>
          </cell>
          <cell r="H6">
            <v>5084572.8499999996</v>
          </cell>
          <cell r="K6">
            <v>981919.5</v>
          </cell>
          <cell r="L6">
            <v>5154669.74</v>
          </cell>
          <cell r="M6">
            <v>4.7033844398966682</v>
          </cell>
          <cell r="N6">
            <v>5.2580028148448417</v>
          </cell>
          <cell r="Q6">
            <v>5.249584859043944</v>
          </cell>
          <cell r="R6" t="e">
            <v>#N/A</v>
          </cell>
        </row>
        <row r="7">
          <cell r="B7" t="str">
            <v>COMANDO CROSS</v>
          </cell>
          <cell r="C7">
            <v>330271.3</v>
          </cell>
          <cell r="D7">
            <v>392919.3</v>
          </cell>
          <cell r="E7">
            <v>763.5</v>
          </cell>
          <cell r="G7">
            <v>1729810.8</v>
          </cell>
          <cell r="H7">
            <v>2019234.05</v>
          </cell>
          <cell r="I7">
            <v>3817.5</v>
          </cell>
          <cell r="K7">
            <v>723954.1</v>
          </cell>
          <cell r="L7">
            <v>3752862.35</v>
          </cell>
          <cell r="M7">
            <v>5.23754501223691</v>
          </cell>
          <cell r="N7">
            <v>5.1390553989076135</v>
          </cell>
          <cell r="O7">
            <v>5</v>
          </cell>
          <cell r="Q7">
            <v>5.1838401771604028</v>
          </cell>
          <cell r="R7" t="e">
            <v>#N/A</v>
          </cell>
        </row>
        <row r="8">
          <cell r="B8" t="str">
            <v>COMANDO CROSS BROKEN</v>
          </cell>
          <cell r="C8">
            <v>55010.9</v>
          </cell>
          <cell r="D8">
            <v>113589.5</v>
          </cell>
          <cell r="E8">
            <v>552.79999999999995</v>
          </cell>
          <cell r="G8">
            <v>334060.92</v>
          </cell>
          <cell r="H8">
            <v>658849.62</v>
          </cell>
          <cell r="I8">
            <v>3593.2</v>
          </cell>
          <cell r="K8">
            <v>169153.2</v>
          </cell>
          <cell r="L8">
            <v>996503.74</v>
          </cell>
          <cell r="M8">
            <v>6.072631423954161</v>
          </cell>
          <cell r="N8">
            <v>5.8002686868064393</v>
          </cell>
          <cell r="O8">
            <v>6.5</v>
          </cell>
          <cell r="Q8">
            <v>5.8911314713525957</v>
          </cell>
          <cell r="R8" t="e">
            <v>#N/A</v>
          </cell>
        </row>
        <row r="9">
          <cell r="B9" t="str">
            <v>DECK DENIM</v>
          </cell>
          <cell r="C9">
            <v>1380.3</v>
          </cell>
          <cell r="D9">
            <v>33976.9</v>
          </cell>
          <cell r="G9">
            <v>6901.5</v>
          </cell>
          <cell r="H9">
            <v>183162.83</v>
          </cell>
          <cell r="K9">
            <v>35357.199999999997</v>
          </cell>
          <cell r="L9">
            <v>190064.33</v>
          </cell>
          <cell r="M9">
            <v>5</v>
          </cell>
          <cell r="N9">
            <v>5.39080463491372</v>
          </cell>
          <cell r="Q9">
            <v>5.3755481203262701</v>
          </cell>
          <cell r="R9" t="e">
            <v>#N/A</v>
          </cell>
        </row>
        <row r="10">
          <cell r="B10" t="str">
            <v>FIT</v>
          </cell>
          <cell r="C10">
            <v>53790.400000000001</v>
          </cell>
          <cell r="D10">
            <v>267088</v>
          </cell>
          <cell r="G10">
            <v>290441.67</v>
          </cell>
          <cell r="H10">
            <v>1530816.18</v>
          </cell>
          <cell r="K10">
            <v>320878.40000000002</v>
          </cell>
          <cell r="L10">
            <v>1821257.85</v>
          </cell>
          <cell r="M10">
            <v>5.3995075329426809</v>
          </cell>
          <cell r="N10">
            <v>5.731504897262325</v>
          </cell>
          <cell r="Q10">
            <v>5.6758505714314209</v>
          </cell>
          <cell r="R10">
            <v>0</v>
          </cell>
        </row>
        <row r="11">
          <cell r="B11" t="str">
            <v>INSANE DENIM</v>
          </cell>
          <cell r="C11">
            <v>6544.7</v>
          </cell>
          <cell r="D11">
            <v>15489.1</v>
          </cell>
          <cell r="G11">
            <v>49123.12</v>
          </cell>
          <cell r="H11">
            <v>121241.66</v>
          </cell>
          <cell r="K11">
            <v>22033.8</v>
          </cell>
          <cell r="L11">
            <v>170364.78</v>
          </cell>
          <cell r="M11">
            <v>7.505786361483338</v>
          </cell>
          <cell r="N11">
            <v>7.8275471137767854</v>
          </cell>
          <cell r="Q11">
            <v>7.7319745118862837</v>
          </cell>
          <cell r="R11" t="e">
            <v>#N/A</v>
          </cell>
        </row>
        <row r="12">
          <cell r="B12" t="str">
            <v>MOLD</v>
          </cell>
          <cell r="C12">
            <v>48577.7</v>
          </cell>
          <cell r="D12">
            <v>331587.20000000001</v>
          </cell>
          <cell r="G12">
            <v>271900.26</v>
          </cell>
          <cell r="H12">
            <v>1935725.87</v>
          </cell>
          <cell r="K12">
            <v>380164.9</v>
          </cell>
          <cell r="L12">
            <v>2207626.13</v>
          </cell>
          <cell r="M12">
            <v>5.5972238290408978</v>
          </cell>
          <cell r="N12">
            <v>5.8377581221470551</v>
          </cell>
          <cell r="Q12">
            <v>5.8070225052339124</v>
          </cell>
          <cell r="R12">
            <v>0</v>
          </cell>
        </row>
        <row r="13">
          <cell r="B13" t="str">
            <v>POLI CHRONIC COMFORT</v>
          </cell>
          <cell r="C13">
            <v>16002.3</v>
          </cell>
          <cell r="D13">
            <v>224257.5</v>
          </cell>
          <cell r="E13">
            <v>3</v>
          </cell>
          <cell r="G13">
            <v>112582.33</v>
          </cell>
          <cell r="H13">
            <v>1740045.79</v>
          </cell>
          <cell r="I13">
            <v>19.23</v>
          </cell>
          <cell r="K13">
            <v>240262.8</v>
          </cell>
          <cell r="L13">
            <v>1852647.35</v>
          </cell>
          <cell r="M13">
            <v>7.0353842885085269</v>
          </cell>
          <cell r="N13">
            <v>7.7591420130876338</v>
          </cell>
          <cell r="O13">
            <v>6.41</v>
          </cell>
          <cell r="Q13">
            <v>7.710920500385412</v>
          </cell>
          <cell r="R13" t="e">
            <v>#N/A</v>
          </cell>
        </row>
        <row r="14">
          <cell r="B14" t="str">
            <v>POLI COMANDO COMFORT</v>
          </cell>
          <cell r="C14">
            <v>66504.7</v>
          </cell>
          <cell r="D14">
            <v>561189.4</v>
          </cell>
          <cell r="G14">
            <v>398552.45</v>
          </cell>
          <cell r="H14">
            <v>3502777.8</v>
          </cell>
          <cell r="K14">
            <v>627694.1</v>
          </cell>
          <cell r="L14">
            <v>3901330.25</v>
          </cell>
          <cell r="M14">
            <v>5.9928463702565384</v>
          </cell>
          <cell r="N14">
            <v>6.2417034249043191</v>
          </cell>
          <cell r="Q14">
            <v>6.2153368177269792</v>
          </cell>
          <cell r="R14" t="e">
            <v>#N/A</v>
          </cell>
        </row>
        <row r="15">
          <cell r="B15" t="str">
            <v>POLI THERAPY COMFORT</v>
          </cell>
          <cell r="C15">
            <v>2900.5</v>
          </cell>
          <cell r="D15">
            <v>106091.5</v>
          </cell>
          <cell r="E15">
            <v>3</v>
          </cell>
          <cell r="G15">
            <v>19082.900000000001</v>
          </cell>
          <cell r="H15">
            <v>802355.5</v>
          </cell>
          <cell r="I15">
            <v>17.940000000000001</v>
          </cell>
          <cell r="K15">
            <v>108995</v>
          </cell>
          <cell r="L15">
            <v>821456.34</v>
          </cell>
          <cell r="M15">
            <v>6.579176004137218</v>
          </cell>
          <cell r="N15">
            <v>7.5628631888511331</v>
          </cell>
          <cell r="O15">
            <v>5.98</v>
          </cell>
          <cell r="Q15">
            <v>7.5366424147896689</v>
          </cell>
          <cell r="R15" t="e">
            <v>#N/A</v>
          </cell>
        </row>
        <row r="16">
          <cell r="B16" t="str">
            <v>POLI XPRESS COMFORT</v>
          </cell>
          <cell r="C16">
            <v>110663.4</v>
          </cell>
          <cell r="D16">
            <v>192762.7</v>
          </cell>
          <cell r="G16">
            <v>636673.38</v>
          </cell>
          <cell r="H16">
            <v>1186499.69</v>
          </cell>
          <cell r="K16">
            <v>303426.09999999998</v>
          </cell>
          <cell r="L16">
            <v>1823173.07</v>
          </cell>
          <cell r="M16">
            <v>5.7532425354724328</v>
          </cell>
          <cell r="N16">
            <v>6.1552348561210231</v>
          </cell>
          <cell r="Q16">
            <v>6.0086230881259066</v>
          </cell>
          <cell r="R16">
            <v>0</v>
          </cell>
        </row>
        <row r="17">
          <cell r="B17" t="str">
            <v>RANDOM CROSS</v>
          </cell>
          <cell r="C17">
            <v>39023.5</v>
          </cell>
          <cell r="D17">
            <v>573958.6</v>
          </cell>
          <cell r="G17">
            <v>249878.35</v>
          </cell>
          <cell r="H17">
            <v>3420725.61</v>
          </cell>
          <cell r="K17">
            <v>612982.1</v>
          </cell>
          <cell r="L17">
            <v>3670603.96</v>
          </cell>
          <cell r="M17">
            <v>6.4032787935474778</v>
          </cell>
          <cell r="N17">
            <v>5.9598821413251759</v>
          </cell>
          <cell r="Q17">
            <v>5.9881095385982723</v>
          </cell>
          <cell r="R17" t="e">
            <v>#N/A</v>
          </cell>
        </row>
        <row r="18">
          <cell r="B18" t="str">
            <v>TEXAS DENIM</v>
          </cell>
          <cell r="C18">
            <v>20983.3</v>
          </cell>
          <cell r="D18">
            <v>216729.9</v>
          </cell>
          <cell r="G18">
            <v>103644.39</v>
          </cell>
          <cell r="H18">
            <v>1154647.6399999999</v>
          </cell>
          <cell r="K18">
            <v>237713.2</v>
          </cell>
          <cell r="L18">
            <v>1258292.03</v>
          </cell>
          <cell r="M18">
            <v>4.939375122120925</v>
          </cell>
          <cell r="N18">
            <v>5.3275881177447131</v>
          </cell>
          <cell r="Q18">
            <v>5.2933199754998883</v>
          </cell>
          <cell r="R18" t="e">
            <v>#N/A</v>
          </cell>
        </row>
        <row r="19">
          <cell r="B19" t="str">
            <v>TIP DENIM</v>
          </cell>
          <cell r="C19">
            <v>35670.699999999997</v>
          </cell>
          <cell r="D19">
            <v>244746.8</v>
          </cell>
          <cell r="E19">
            <v>1615.5</v>
          </cell>
          <cell r="G19">
            <v>185351.36</v>
          </cell>
          <cell r="H19">
            <v>1293565.98</v>
          </cell>
          <cell r="I19">
            <v>8400.6</v>
          </cell>
          <cell r="K19">
            <v>282033</v>
          </cell>
          <cell r="L19">
            <v>1487317.94</v>
          </cell>
          <cell r="M19">
            <v>5.196179497458699</v>
          </cell>
          <cell r="N19">
            <v>5.2853233627569391</v>
          </cell>
          <cell r="O19">
            <v>5.2</v>
          </cell>
          <cell r="Q19">
            <v>5.2735599734782808</v>
          </cell>
          <cell r="R19" t="e">
            <v>#N/A</v>
          </cell>
        </row>
        <row r="20">
          <cell r="B20" t="str">
            <v>WEST DENIM</v>
          </cell>
          <cell r="D20">
            <v>80395.8</v>
          </cell>
          <cell r="H20">
            <v>450530.04</v>
          </cell>
          <cell r="K20">
            <v>80395.8</v>
          </cell>
          <cell r="L20">
            <v>450530.04</v>
          </cell>
          <cell r="N20">
            <v>5.6039002037419863</v>
          </cell>
          <cell r="Q20">
            <v>5.6039002037419863</v>
          </cell>
          <cell r="R20" t="e">
            <v>#N/A</v>
          </cell>
        </row>
        <row r="21">
          <cell r="B21" t="str">
            <v>XPRESS BROKEN</v>
          </cell>
          <cell r="C21">
            <v>13320</v>
          </cell>
          <cell r="D21">
            <v>67875.899999999994</v>
          </cell>
          <cell r="G21">
            <v>71783.570000000007</v>
          </cell>
          <cell r="H21">
            <v>384480.25</v>
          </cell>
          <cell r="K21">
            <v>81195.899999999994</v>
          </cell>
          <cell r="L21">
            <v>456263.82</v>
          </cell>
          <cell r="M21">
            <v>5.3891569069069076</v>
          </cell>
          <cell r="N21">
            <v>5.664458961133481</v>
          </cell>
          <cell r="Q21">
            <v>5.6192962945173344</v>
          </cell>
          <cell r="R21">
            <v>0</v>
          </cell>
        </row>
        <row r="22">
          <cell r="B22" t="str">
            <v>XPRESS DENIM</v>
          </cell>
          <cell r="C22">
            <v>112982.3</v>
          </cell>
          <cell r="D22">
            <v>794964</v>
          </cell>
          <cell r="E22">
            <v>16769.3</v>
          </cell>
          <cell r="G22">
            <v>560416.82999999996</v>
          </cell>
          <cell r="H22">
            <v>4089623.76</v>
          </cell>
          <cell r="I22">
            <v>84571.199999999997</v>
          </cell>
          <cell r="K22">
            <v>924715.6</v>
          </cell>
          <cell r="L22">
            <v>4734611.79</v>
          </cell>
          <cell r="M22">
            <v>4.9602179279409251</v>
          </cell>
          <cell r="N22">
            <v>5.1444137847751596</v>
          </cell>
          <cell r="O22">
            <v>5.0432158766317023</v>
          </cell>
          <cell r="Q22">
            <v>5.1200734474469778</v>
          </cell>
          <cell r="R22">
            <v>0</v>
          </cell>
        </row>
        <row r="23">
          <cell r="B23" t="str">
            <v>VOLARE</v>
          </cell>
          <cell r="C23">
            <v>10076.5</v>
          </cell>
          <cell r="D23">
            <v>90353.600000000006</v>
          </cell>
          <cell r="G23">
            <v>56292.29</v>
          </cell>
          <cell r="H23">
            <v>538533.05000000005</v>
          </cell>
          <cell r="K23">
            <v>100430.1</v>
          </cell>
          <cell r="L23">
            <v>594825.34</v>
          </cell>
          <cell r="M23">
            <v>5.5864923336475956</v>
          </cell>
          <cell r="N23">
            <v>5.9602832648616104</v>
          </cell>
          <cell r="Q23">
            <v>5.9227795252618485</v>
          </cell>
          <cell r="R23" t="e">
            <v>#N/A</v>
          </cell>
          <cell r="S23">
            <v>1.2419206446663215E-2</v>
          </cell>
          <cell r="T23">
            <v>3.0723354341127114E-2</v>
          </cell>
          <cell r="U23">
            <v>0</v>
          </cell>
          <cell r="W23">
            <v>6.9379801604270847E-2</v>
          </cell>
          <cell r="X23">
            <v>0.18311989471983325</v>
          </cell>
          <cell r="Y23">
            <v>0</v>
          </cell>
          <cell r="Z23">
            <v>0</v>
          </cell>
        </row>
        <row r="24">
          <cell r="B24" t="str">
            <v>RANGER DENIM</v>
          </cell>
          <cell r="C24">
            <v>2587</v>
          </cell>
          <cell r="D24">
            <v>5021.6000000000004</v>
          </cell>
          <cell r="G24">
            <v>14546.65</v>
          </cell>
          <cell r="H24">
            <v>32665.67</v>
          </cell>
          <cell r="K24">
            <v>7608.6</v>
          </cell>
          <cell r="L24">
            <v>47212.32</v>
          </cell>
          <cell r="M24">
            <v>5.6229802860456122</v>
          </cell>
          <cell r="N24">
            <v>6.50503226063406</v>
          </cell>
          <cell r="Q24">
            <v>6.2051257787240752</v>
          </cell>
          <cell r="R24" t="e">
            <v>#N/A</v>
          </cell>
          <cell r="S24">
            <v>3.188457011612935E-3</v>
          </cell>
          <cell r="T24">
            <v>1.7075179755914973E-3</v>
          </cell>
          <cell r="U24">
            <v>0</v>
          </cell>
          <cell r="W24">
            <v>1.792863091920344E-2</v>
          </cell>
          <cell r="X24">
            <v>1.1107459516835252E-2</v>
          </cell>
          <cell r="Y24">
            <v>0</v>
          </cell>
          <cell r="Z24">
            <v>0</v>
          </cell>
        </row>
        <row r="25">
          <cell r="B25" t="str">
            <v>SKIN CROSS</v>
          </cell>
          <cell r="C25">
            <v>40456</v>
          </cell>
          <cell r="D25">
            <v>17988.3</v>
          </cell>
          <cell r="G25">
            <v>210786.67</v>
          </cell>
          <cell r="H25">
            <v>94875.03</v>
          </cell>
          <cell r="K25">
            <v>58444.3</v>
          </cell>
          <cell r="L25">
            <v>305661.7</v>
          </cell>
          <cell r="M25">
            <v>5.2102696756970541</v>
          </cell>
          <cell r="N25">
            <v>5.2742632711262321</v>
          </cell>
          <cell r="Q25">
            <v>5.229965967596498</v>
          </cell>
          <cell r="R25" t="e">
            <v>#N/A</v>
          </cell>
          <cell r="S25">
            <v>4.9861699598690717E-2</v>
          </cell>
          <cell r="T25">
            <v>6.1166452127474364E-3</v>
          </cell>
          <cell r="U25">
            <v>0</v>
          </cell>
          <cell r="W25">
            <v>0.25979290139777422</v>
          </cell>
          <cell r="X25">
            <v>3.2260797188103901E-2</v>
          </cell>
          <cell r="Y25">
            <v>0</v>
          </cell>
          <cell r="Z25">
            <v>0</v>
          </cell>
        </row>
        <row r="26">
          <cell r="B26" t="str">
            <v>PSYCHO CROSS OVER</v>
          </cell>
          <cell r="C26">
            <v>11188.2</v>
          </cell>
          <cell r="D26">
            <v>18012.599999999999</v>
          </cell>
          <cell r="G26">
            <v>68933.06</v>
          </cell>
          <cell r="H26">
            <v>130423.18</v>
          </cell>
          <cell r="K26">
            <v>29200.799999999999</v>
          </cell>
          <cell r="L26">
            <v>199356.24</v>
          </cell>
          <cell r="M26">
            <v>6.1612287946229056</v>
          </cell>
          <cell r="N26">
            <v>7.2406637575919079</v>
          </cell>
          <cell r="Q26">
            <v>6.8270814498232921</v>
          </cell>
          <cell r="R26" t="e">
            <v>#N/A</v>
          </cell>
          <cell r="S26">
            <v>1.3789367892279799E-2</v>
          </cell>
          <cell r="T26">
            <v>6.1249080546318703E-3</v>
          </cell>
          <cell r="U26">
            <v>0</v>
          </cell>
          <cell r="W26">
            <v>8.4959450517562859E-2</v>
          </cell>
          <cell r="X26">
            <v>4.4348399769755742E-2</v>
          </cell>
          <cell r="Y26">
            <v>0</v>
          </cell>
          <cell r="Z26">
            <v>0</v>
          </cell>
        </row>
        <row r="27">
          <cell r="B27" t="str">
            <v>EXCEL 10</v>
          </cell>
          <cell r="C27">
            <v>6971.3</v>
          </cell>
          <cell r="D27">
            <v>281716.3</v>
          </cell>
          <cell r="G27">
            <v>36438.21</v>
          </cell>
          <cell r="H27">
            <v>1489728.96</v>
          </cell>
          <cell r="K27">
            <v>288687.59999999998</v>
          </cell>
          <cell r="L27">
            <v>1526167.17</v>
          </cell>
          <cell r="M27">
            <v>5.2268888155724182</v>
          </cell>
          <cell r="N27">
            <v>5.2880467335400896</v>
          </cell>
          <cell r="Q27">
            <v>5.2865698769188567</v>
          </cell>
          <cell r="R27">
            <v>0</v>
          </cell>
          <cell r="S27">
            <v>8.5920720390634912E-3</v>
          </cell>
          <cell r="T27">
            <v>9.5793302187973328E-2</v>
          </cell>
          <cell r="U27">
            <v>0</v>
          </cell>
          <cell r="W27">
            <v>4.4909805243573464E-2</v>
          </cell>
          <cell r="X27">
            <v>0.50655945873013108</v>
          </cell>
          <cell r="Y27">
            <v>0</v>
          </cell>
          <cell r="Z27">
            <v>0</v>
          </cell>
        </row>
        <row r="28">
          <cell r="B28" t="str">
            <v>4LINE 11</v>
          </cell>
          <cell r="C28">
            <v>442.4</v>
          </cell>
          <cell r="G28">
            <v>2079.2800000000002</v>
          </cell>
          <cell r="K28">
            <v>442.4</v>
          </cell>
          <cell r="L28">
            <v>2079.2800000000002</v>
          </cell>
          <cell r="M28">
            <v>4.7000000000000011</v>
          </cell>
          <cell r="Q28">
            <v>4.7000000000000011</v>
          </cell>
          <cell r="R28" t="e">
            <v>#N/A</v>
          </cell>
          <cell r="S28">
            <v>5.4525449630365768E-4</v>
          </cell>
          <cell r="T28">
            <v>0</v>
          </cell>
          <cell r="U28">
            <v>0</v>
          </cell>
          <cell r="W28">
            <v>2.5626961326271915E-3</v>
          </cell>
          <cell r="X28">
            <v>0</v>
          </cell>
          <cell r="Y28">
            <v>0</v>
          </cell>
          <cell r="Z28">
            <v>0</v>
          </cell>
          <cell r="AA28">
            <v>1.178450224159133E-4</v>
          </cell>
          <cell r="AB28">
            <v>5.538716053547926E-4</v>
          </cell>
        </row>
        <row r="29">
          <cell r="B29" t="str">
            <v>4LINE 13</v>
          </cell>
          <cell r="C29">
            <v>129</v>
          </cell>
          <cell r="G29">
            <v>596.5</v>
          </cell>
          <cell r="K29">
            <v>129</v>
          </cell>
          <cell r="L29">
            <v>596.5</v>
          </cell>
          <cell r="M29">
            <v>4.6240310077519382</v>
          </cell>
          <cell r="Q29">
            <v>4.6240310077519382</v>
          </cell>
          <cell r="R29" t="e">
            <v>#N/A</v>
          </cell>
          <cell r="S29">
            <v>1.5899147835255839E-4</v>
          </cell>
          <cell r="T29">
            <v>0</v>
          </cell>
          <cell r="U29">
            <v>0</v>
          </cell>
          <cell r="W29">
            <v>7.351815258705511E-4</v>
          </cell>
          <cell r="X29">
            <v>0</v>
          </cell>
          <cell r="Y29">
            <v>0</v>
          </cell>
          <cell r="Z29">
            <v>0</v>
          </cell>
          <cell r="AA29">
            <v>3.4362585650209806E-5</v>
          </cell>
          <cell r="AB29">
            <v>1.5889366155310194E-4</v>
          </cell>
        </row>
        <row r="30">
          <cell r="B30" t="str">
            <v>4LINE COMFORT</v>
          </cell>
          <cell r="C30">
            <v>2862</v>
          </cell>
          <cell r="G30">
            <v>12879</v>
          </cell>
          <cell r="K30">
            <v>2862</v>
          </cell>
          <cell r="L30">
            <v>12879</v>
          </cell>
          <cell r="M30">
            <v>4.5</v>
          </cell>
          <cell r="Q30">
            <v>4.5</v>
          </cell>
          <cell r="R30" t="e">
            <v>#N/A</v>
          </cell>
          <cell r="S30">
            <v>3.5273923336823425E-3</v>
          </cell>
          <cell r="T30">
            <v>0</v>
          </cell>
          <cell r="U30">
            <v>0</v>
          </cell>
          <cell r="W30">
            <v>1.587326550157054E-2</v>
          </cell>
          <cell r="X30">
            <v>0</v>
          </cell>
          <cell r="Y30">
            <v>0</v>
          </cell>
          <cell r="Z30">
            <v>0</v>
          </cell>
          <cell r="AA30">
            <v>7.6236992349535239E-4</v>
          </cell>
          <cell r="AB30">
            <v>3.4306646557290855E-3</v>
          </cell>
        </row>
        <row r="31">
          <cell r="B31" t="str">
            <v>AMOSTRA</v>
          </cell>
          <cell r="C31">
            <v>1094</v>
          </cell>
          <cell r="G31">
            <v>4923</v>
          </cell>
          <cell r="K31">
            <v>1094</v>
          </cell>
          <cell r="L31">
            <v>4923</v>
          </cell>
          <cell r="M31">
            <v>4.5</v>
          </cell>
          <cell r="Q31">
            <v>4.5</v>
          </cell>
          <cell r="R31" t="e">
            <v>#N/A</v>
          </cell>
          <cell r="S31">
            <v>1.3483463357961154E-3</v>
          </cell>
          <cell r="T31">
            <v>0</v>
          </cell>
          <cell r="U31">
            <v>0</v>
          </cell>
          <cell r="W31">
            <v>6.067558511082519E-3</v>
          </cell>
          <cell r="X31">
            <v>0</v>
          </cell>
          <cell r="Y31">
            <v>0</v>
          </cell>
          <cell r="Z31">
            <v>0</v>
          </cell>
          <cell r="AA31">
            <v>2.9141603644441494E-4</v>
          </cell>
          <cell r="AB31">
            <v>1.3113721639998672E-3</v>
          </cell>
        </row>
        <row r="32">
          <cell r="B32" t="str">
            <v>BIOS</v>
          </cell>
          <cell r="C32">
            <v>1236.7</v>
          </cell>
          <cell r="D32">
            <v>31062.2</v>
          </cell>
          <cell r="G32">
            <v>7572.54</v>
          </cell>
          <cell r="H32">
            <v>186135.79</v>
          </cell>
          <cell r="K32">
            <v>32298.9</v>
          </cell>
          <cell r="L32">
            <v>193708.33</v>
          </cell>
          <cell r="M32">
            <v>6.1231826635400664</v>
          </cell>
          <cell r="N32">
            <v>5.9923569483166039</v>
          </cell>
          <cell r="Q32">
            <v>5.9973661641727727</v>
          </cell>
          <cell r="R32" t="e">
            <v>#N/A</v>
          </cell>
          <cell r="S32">
            <v>1.5242229556481316E-3</v>
          </cell>
          <cell r="T32">
            <v>1.0562224163895613E-2</v>
          </cell>
          <cell r="U32">
            <v>0</v>
          </cell>
          <cell r="W32">
            <v>9.3330955773944391E-3</v>
          </cell>
          <cell r="X32">
            <v>6.3292617358197412E-2</v>
          </cell>
          <cell r="Y32">
            <v>0</v>
          </cell>
          <cell r="Z32">
            <v>0</v>
          </cell>
          <cell r="AA32">
            <v>8.6036722299035768E-3</v>
          </cell>
          <cell r="AB32">
            <v>5.1599372719256617E-2</v>
          </cell>
        </row>
        <row r="33">
          <cell r="B33" t="str">
            <v>BROKEN TWILL</v>
          </cell>
          <cell r="C33">
            <v>2012</v>
          </cell>
          <cell r="D33">
            <v>3251</v>
          </cell>
          <cell r="G33">
            <v>11306.91</v>
          </cell>
          <cell r="H33">
            <v>16255</v>
          </cell>
          <cell r="K33">
            <v>5263</v>
          </cell>
          <cell r="L33">
            <v>27561.91</v>
          </cell>
          <cell r="M33">
            <v>5.6197365805168982</v>
          </cell>
          <cell r="N33">
            <v>5</v>
          </cell>
          <cell r="Q33">
            <v>5.2369200076002276</v>
          </cell>
          <cell r="R33">
            <v>0</v>
          </cell>
          <cell r="S33">
            <v>2.4797740654678101E-3</v>
          </cell>
          <cell r="T33">
            <v>1.1054526323578057E-3</v>
          </cell>
          <cell r="U33">
            <v>0</v>
          </cell>
          <cell r="W33">
            <v>1.3935677027126558E-2</v>
          </cell>
          <cell r="X33">
            <v>5.5272631617890285E-3</v>
          </cell>
          <cell r="Y33">
            <v>0</v>
          </cell>
          <cell r="Z33">
            <v>0</v>
          </cell>
          <cell r="AA33">
            <v>1.4019402192019706E-3</v>
          </cell>
          <cell r="AB33">
            <v>7.341848783398248E-3</v>
          </cell>
        </row>
        <row r="34">
          <cell r="B34" t="str">
            <v>CASE 10</v>
          </cell>
          <cell r="C34">
            <v>768.4</v>
          </cell>
          <cell r="D34">
            <v>886.5</v>
          </cell>
          <cell r="G34">
            <v>3942.02</v>
          </cell>
          <cell r="H34">
            <v>5439.36</v>
          </cell>
          <cell r="K34">
            <v>1654.9</v>
          </cell>
          <cell r="L34">
            <v>9381.3799999999992</v>
          </cell>
          <cell r="M34">
            <v>5.130166579906299</v>
          </cell>
          <cell r="N34">
            <v>6.1357698815566835</v>
          </cell>
          <cell r="Q34">
            <v>5.6688500815759255</v>
          </cell>
          <cell r="R34" t="e">
            <v>#N/A</v>
          </cell>
          <cell r="S34">
            <v>9.47046914465937E-4</v>
          </cell>
          <cell r="T34">
            <v>3.0144071319138566E-4</v>
          </cell>
          <cell r="U34">
            <v>0</v>
          </cell>
          <cell r="W34">
            <v>4.8585084301965295E-3</v>
          </cell>
          <cell r="X34">
            <v>1.8495708490746706E-3</v>
          </cell>
          <cell r="Y34">
            <v>0</v>
          </cell>
          <cell r="Z34">
            <v>0</v>
          </cell>
          <cell r="AA34">
            <v>4.4082668986459076E-4</v>
          </cell>
          <cell r="AB34">
            <v>2.4989804167997306E-3</v>
          </cell>
        </row>
        <row r="35">
          <cell r="B35" t="str">
            <v>CASE BROKEN</v>
          </cell>
          <cell r="C35">
            <v>1237</v>
          </cell>
          <cell r="D35">
            <v>43211.8</v>
          </cell>
          <cell r="G35">
            <v>7317.3</v>
          </cell>
          <cell r="H35">
            <v>262124.41</v>
          </cell>
          <cell r="K35">
            <v>44448.800000000003</v>
          </cell>
          <cell r="L35">
            <v>269441.71000000002</v>
          </cell>
          <cell r="M35">
            <v>5.9153597413096204</v>
          </cell>
          <cell r="N35">
            <v>6.0660377489482036</v>
          </cell>
          <cell r="Q35">
            <v>6.0618444142474042</v>
          </cell>
          <cell r="R35" t="e">
            <v>#N/A</v>
          </cell>
          <cell r="S35">
            <v>1.5245927032722074E-3</v>
          </cell>
          <cell r="T35">
            <v>1.4693509092254394E-2</v>
          </cell>
          <cell r="U35">
            <v>0</v>
          </cell>
          <cell r="W35">
            <v>9.0185142988308195E-3</v>
          </cell>
          <cell r="X35">
            <v>8.9131380818128811E-2</v>
          </cell>
          <cell r="Y35">
            <v>0</v>
          </cell>
          <cell r="Z35">
            <v>0</v>
          </cell>
          <cell r="AA35">
            <v>1.1840121682550742E-2</v>
          </cell>
          <cell r="AB35">
            <v>7.1772975485379795E-2</v>
          </cell>
        </row>
        <row r="36">
          <cell r="B36" t="str">
            <v>CASE COMFORT</v>
          </cell>
          <cell r="D36">
            <v>6178.4</v>
          </cell>
          <cell r="H36">
            <v>40159.599999999999</v>
          </cell>
          <cell r="K36">
            <v>6178.4</v>
          </cell>
          <cell r="L36">
            <v>40159.599999999999</v>
          </cell>
          <cell r="N36">
            <v>6.5</v>
          </cell>
          <cell r="Q36">
            <v>6.5</v>
          </cell>
          <cell r="R36" t="e">
            <v>#N/A</v>
          </cell>
          <cell r="S36">
            <v>0</v>
          </cell>
          <cell r="T36">
            <v>2.1008700534480059E-3</v>
          </cell>
          <cell r="U36">
            <v>0</v>
          </cell>
          <cell r="W36">
            <v>0</v>
          </cell>
          <cell r="X36">
            <v>1.3655655347412039E-2</v>
          </cell>
          <cell r="Y36">
            <v>0</v>
          </cell>
          <cell r="Z36">
            <v>0</v>
          </cell>
          <cell r="AA36">
            <v>1.6457813890019865E-3</v>
          </cell>
          <cell r="AB36">
            <v>1.0697579028512911E-2</v>
          </cell>
        </row>
        <row r="37">
          <cell r="B37" t="str">
            <v>CASE DENIM</v>
          </cell>
          <cell r="C37">
            <v>1102.3</v>
          </cell>
          <cell r="D37">
            <v>56819</v>
          </cell>
          <cell r="G37">
            <v>5224.75</v>
          </cell>
          <cell r="H37">
            <v>374538.54</v>
          </cell>
          <cell r="K37">
            <v>57921.3</v>
          </cell>
          <cell r="L37">
            <v>379763.29</v>
          </cell>
          <cell r="M37">
            <v>4.7398621065045816</v>
          </cell>
          <cell r="N37">
            <v>6.5917833823192939</v>
          </cell>
          <cell r="Q37">
            <v>6.5565394768418521</v>
          </cell>
          <cell r="R37" t="e">
            <v>#N/A</v>
          </cell>
          <cell r="S37">
            <v>1.3585760200622102E-3</v>
          </cell>
          <cell r="T37">
            <v>1.9320428519821027E-2</v>
          </cell>
          <cell r="U37">
            <v>0</v>
          </cell>
          <cell r="W37">
            <v>6.4394629962986781E-3</v>
          </cell>
          <cell r="X37">
            <v>0.12735607965624399</v>
          </cell>
          <cell r="Y37">
            <v>0</v>
          </cell>
          <cell r="Z37">
            <v>0</v>
          </cell>
          <cell r="AA37">
            <v>1.5428880869934087E-2</v>
          </cell>
          <cell r="AB37">
            <v>0.1011600665072129</v>
          </cell>
        </row>
        <row r="38">
          <cell r="B38" t="str">
            <v>CHAOS CROSS</v>
          </cell>
          <cell r="C38">
            <v>754</v>
          </cell>
          <cell r="G38">
            <v>3543.8</v>
          </cell>
          <cell r="K38">
            <v>754</v>
          </cell>
          <cell r="L38">
            <v>3543.8</v>
          </cell>
          <cell r="M38">
            <v>4.7</v>
          </cell>
          <cell r="Q38">
            <v>4.7</v>
          </cell>
          <cell r="R38" t="e">
            <v>#N/A</v>
          </cell>
          <cell r="S38">
            <v>9.2929902851030259E-4</v>
          </cell>
          <cell r="T38">
            <v>0</v>
          </cell>
          <cell r="U38">
            <v>0</v>
          </cell>
          <cell r="W38">
            <v>4.3677054339984226E-3</v>
          </cell>
          <cell r="X38">
            <v>0</v>
          </cell>
          <cell r="Y38">
            <v>0</v>
          </cell>
          <cell r="Z38">
            <v>0</v>
          </cell>
          <cell r="AA38">
            <v>2.0084798124231156E-4</v>
          </cell>
          <cell r="AB38">
            <v>9.4398551183886442E-4</v>
          </cell>
        </row>
        <row r="39">
          <cell r="B39" t="str">
            <v>CHAOS DENIM</v>
          </cell>
          <cell r="C39">
            <v>415.5</v>
          </cell>
          <cell r="G39">
            <v>1983.45</v>
          </cell>
          <cell r="K39">
            <v>415.5</v>
          </cell>
          <cell r="L39">
            <v>1983.45</v>
          </cell>
          <cell r="M39">
            <v>4.7736462093862819</v>
          </cell>
          <cell r="Q39">
            <v>4.7736462093862819</v>
          </cell>
          <cell r="R39" t="e">
            <v>#N/A</v>
          </cell>
          <cell r="S39">
            <v>5.1210045934486838E-4</v>
          </cell>
          <cell r="T39">
            <v>0</v>
          </cell>
          <cell r="U39">
            <v>0</v>
          </cell>
          <cell r="W39">
            <v>2.4445864165766047E-3</v>
          </cell>
          <cell r="X39">
            <v>0</v>
          </cell>
          <cell r="Y39">
            <v>0</v>
          </cell>
          <cell r="Z39">
            <v>0</v>
          </cell>
          <cell r="AA39">
            <v>1.1067949098962926E-4</v>
          </cell>
          <cell r="AB39">
            <v>5.2834473261944681E-4</v>
          </cell>
        </row>
        <row r="40">
          <cell r="B40" t="str">
            <v>CHRONIC</v>
          </cell>
          <cell r="C40">
            <v>2638.2</v>
          </cell>
          <cell r="D40">
            <v>17796.099999999999</v>
          </cell>
          <cell r="G40">
            <v>13713.9</v>
          </cell>
          <cell r="H40">
            <v>119161</v>
          </cell>
          <cell r="K40">
            <v>20434.3</v>
          </cell>
          <cell r="L40">
            <v>132874.9</v>
          </cell>
          <cell r="M40">
            <v>5.1982033204457583</v>
          </cell>
          <cell r="N40">
            <v>6.695905282618102</v>
          </cell>
          <cell r="Q40">
            <v>6.502542294083967</v>
          </cell>
          <cell r="R40" t="e">
            <v>#N/A</v>
          </cell>
          <cell r="S40">
            <v>3.2515606061218568E-3</v>
          </cell>
          <cell r="T40">
            <v>6.0512905538919548E-3</v>
          </cell>
          <cell r="U40">
            <v>0</v>
          </cell>
          <cell r="W40">
            <v>1.6902273139373258E-2</v>
          </cell>
          <cell r="X40">
            <v>4.051886838646216E-2</v>
          </cell>
          <cell r="Y40">
            <v>0</v>
          </cell>
          <cell r="Z40">
            <v>0</v>
          </cell>
          <cell r="AA40">
            <v>5.4432200306362959E-3</v>
          </cell>
          <cell r="AB40">
            <v>3.5394768465217538E-2</v>
          </cell>
        </row>
        <row r="41">
          <cell r="B41" t="str">
            <v>CHRONIC 10</v>
          </cell>
          <cell r="C41">
            <v>1404</v>
          </cell>
          <cell r="D41">
            <v>1638</v>
          </cell>
          <cell r="G41">
            <v>9966.2000000000007</v>
          </cell>
          <cell r="H41">
            <v>11849.69</v>
          </cell>
          <cell r="K41">
            <v>3042</v>
          </cell>
          <cell r="L41">
            <v>21815.89</v>
          </cell>
          <cell r="M41">
            <v>7.0984330484330487</v>
          </cell>
          <cell r="N41">
            <v>7.2342429792429792</v>
          </cell>
          <cell r="Q41">
            <v>7.171561472715319</v>
          </cell>
          <cell r="R41" t="e">
            <v>#N/A</v>
          </cell>
          <cell r="S41">
            <v>1.7304188806743566E-3</v>
          </cell>
          <cell r="T41">
            <v>5.5697674924702731E-4</v>
          </cell>
          <cell r="U41">
            <v>0</v>
          </cell>
          <cell r="W41">
            <v>1.2283262570211378E-2</v>
          </cell>
          <cell r="X41">
            <v>4.029305137841885E-3</v>
          </cell>
          <cell r="Y41">
            <v>0</v>
          </cell>
          <cell r="Z41">
            <v>0</v>
          </cell>
          <cell r="AA41">
            <v>8.1031771742587767E-4</v>
          </cell>
          <cell r="AB41">
            <v>5.8112433229500432E-3</v>
          </cell>
        </row>
        <row r="42">
          <cell r="B42" t="str">
            <v>COMANDO 08</v>
          </cell>
          <cell r="C42">
            <v>12860.2</v>
          </cell>
          <cell r="D42">
            <v>73454.399999999994</v>
          </cell>
          <cell r="G42">
            <v>59235.69</v>
          </cell>
          <cell r="H42">
            <v>370642.26</v>
          </cell>
          <cell r="K42">
            <v>86314.6</v>
          </cell>
          <cell r="L42">
            <v>429877.95</v>
          </cell>
          <cell r="M42">
            <v>4.6061250991430924</v>
          </cell>
          <cell r="N42">
            <v>5.0458823433313738</v>
          </cell>
          <cell r="Q42">
            <v>4.9803619549879157</v>
          </cell>
          <cell r="R42">
            <v>0</v>
          </cell>
          <cell r="S42">
            <v>1.5850094650461798E-2</v>
          </cell>
          <cell r="T42">
            <v>2.4977040860739218E-2</v>
          </cell>
          <cell r="U42">
            <v>0</v>
          </cell>
          <cell r="W42">
            <v>7.300751879328575E-2</v>
          </cell>
          <cell r="X42">
            <v>0.12603120946787028</v>
          </cell>
          <cell r="Y42">
            <v>0</v>
          </cell>
          <cell r="Z42">
            <v>0</v>
          </cell>
          <cell r="AA42">
            <v>2.2992192522198446E-2</v>
          </cell>
          <cell r="AB42">
            <v>0.11450944089931479</v>
          </cell>
        </row>
        <row r="43">
          <cell r="B43" t="str">
            <v>COMANDO 12 2X1</v>
          </cell>
          <cell r="C43">
            <v>30161.9</v>
          </cell>
          <cell r="D43">
            <v>108127.3</v>
          </cell>
          <cell r="G43">
            <v>162752.71</v>
          </cell>
          <cell r="H43">
            <v>613341.86</v>
          </cell>
          <cell r="K43">
            <v>138289.20000000001</v>
          </cell>
          <cell r="L43">
            <v>776094.57</v>
          </cell>
          <cell r="M43">
            <v>5.3959700814603853</v>
          </cell>
          <cell r="N43">
            <v>5.67240521126487</v>
          </cell>
          <cell r="Q43">
            <v>5.612112659556928</v>
          </cell>
          <cell r="R43" t="e">
            <v>#N/A</v>
          </cell>
          <cell r="S43">
            <v>3.7174302875364586E-2</v>
          </cell>
          <cell r="T43">
            <v>3.6767028118960987E-2</v>
          </cell>
          <cell r="U43">
            <v>0</v>
          </cell>
          <cell r="W43">
            <v>0.20059142611461409</v>
          </cell>
          <cell r="X43">
            <v>0.20855748190471632</v>
          </cell>
          <cell r="Y43">
            <v>0</v>
          </cell>
          <cell r="Z43">
            <v>0</v>
          </cell>
          <cell r="AA43">
            <v>3.6837011468984451E-2</v>
          </cell>
          <cell r="AB43">
            <v>0.20673345840533139</v>
          </cell>
        </row>
        <row r="44">
          <cell r="B44" t="str">
            <v>COMANDO CROSS 12</v>
          </cell>
          <cell r="C44">
            <v>223</v>
          </cell>
          <cell r="G44">
            <v>1070.4000000000001</v>
          </cell>
          <cell r="K44">
            <v>223</v>
          </cell>
          <cell r="L44">
            <v>1070.4000000000001</v>
          </cell>
          <cell r="M44">
            <v>4.8000000000000007</v>
          </cell>
          <cell r="Q44">
            <v>4.8000000000000007</v>
          </cell>
          <cell r="R44" t="e">
            <v>#N/A</v>
          </cell>
          <cell r="S44">
            <v>2.7484573389628312E-4</v>
          </cell>
          <cell r="T44">
            <v>0</v>
          </cell>
          <cell r="U44">
            <v>0</v>
          </cell>
          <cell r="W44">
            <v>1.3192595227021593E-3</v>
          </cell>
          <cell r="X44">
            <v>0</v>
          </cell>
          <cell r="Y44">
            <v>0</v>
          </cell>
          <cell r="Z44">
            <v>0</v>
          </cell>
          <cell r="AA44">
            <v>5.9401989147261911E-5</v>
          </cell>
          <cell r="AB44">
            <v>2.8512954790685721E-4</v>
          </cell>
        </row>
        <row r="45">
          <cell r="B45" t="str">
            <v>COMANDO CROSS PE</v>
          </cell>
          <cell r="C45">
            <v>162.30000000000001</v>
          </cell>
          <cell r="G45">
            <v>730.35</v>
          </cell>
          <cell r="K45">
            <v>162.30000000000001</v>
          </cell>
          <cell r="L45">
            <v>730.35</v>
          </cell>
          <cell r="M45">
            <v>4.5</v>
          </cell>
          <cell r="Q45">
            <v>4.5</v>
          </cell>
          <cell r="R45" t="e">
            <v>#N/A</v>
          </cell>
          <cell r="S45">
            <v>2.0003346462496303E-4</v>
          </cell>
          <cell r="T45">
            <v>0</v>
          </cell>
          <cell r="U45">
            <v>0</v>
          </cell>
          <cell r="W45">
            <v>9.0015059081233369E-4</v>
          </cell>
          <cell r="X45">
            <v>0</v>
          </cell>
          <cell r="Y45">
            <v>0</v>
          </cell>
          <cell r="Z45">
            <v>0</v>
          </cell>
          <cell r="AA45">
            <v>4.3232927527356992E-5</v>
          </cell>
          <cell r="AB45">
            <v>1.9454817387310646E-4</v>
          </cell>
        </row>
        <row r="46">
          <cell r="B46" t="str">
            <v>COMANDO PE</v>
          </cell>
          <cell r="C46">
            <v>416</v>
          </cell>
          <cell r="D46">
            <v>51305.2</v>
          </cell>
          <cell r="G46">
            <v>1872</v>
          </cell>
          <cell r="H46">
            <v>230364.6</v>
          </cell>
          <cell r="K46">
            <v>51721.2</v>
          </cell>
          <cell r="L46">
            <v>232236.6</v>
          </cell>
          <cell r="M46">
            <v>4.5</v>
          </cell>
          <cell r="N46">
            <v>4.4900828765895078</v>
          </cell>
          <cell r="Q46">
            <v>4.4901626412380224</v>
          </cell>
          <cell r="R46" t="e">
            <v>#N/A</v>
          </cell>
          <cell r="S46">
            <v>5.1271670538499453E-4</v>
          </cell>
          <cell r="T46">
            <v>1.7445545491739062E-2</v>
          </cell>
          <cell r="U46">
            <v>0</v>
          </cell>
          <cell r="W46">
            <v>2.3072251742324752E-3</v>
          </cell>
          <cell r="X46">
            <v>7.8331945085220844E-2</v>
          </cell>
          <cell r="Y46">
            <v>0</v>
          </cell>
          <cell r="Z46">
            <v>0</v>
          </cell>
          <cell r="AA46">
            <v>1.3777319107997142E-2</v>
          </cell>
          <cell r="AB46">
            <v>6.1862403555143525E-2</v>
          </cell>
        </row>
        <row r="47">
          <cell r="B47" t="str">
            <v>COMFORT 08</v>
          </cell>
          <cell r="C47">
            <v>5186</v>
          </cell>
          <cell r="G47">
            <v>23337</v>
          </cell>
          <cell r="K47">
            <v>5186</v>
          </cell>
          <cell r="L47">
            <v>23337</v>
          </cell>
          <cell r="M47">
            <v>4.5</v>
          </cell>
          <cell r="Q47">
            <v>4.5</v>
          </cell>
          <cell r="R47" t="e">
            <v>#N/A</v>
          </cell>
          <cell r="S47">
            <v>6.3917039281888985E-3</v>
          </cell>
          <cell r="T47">
            <v>0</v>
          </cell>
          <cell r="U47">
            <v>0</v>
          </cell>
          <cell r="W47">
            <v>2.8762667676850043E-2</v>
          </cell>
          <cell r="X47">
            <v>0</v>
          </cell>
          <cell r="Y47">
            <v>0</v>
          </cell>
          <cell r="Z47">
            <v>0</v>
          </cell>
          <cell r="AA47">
            <v>1.3814292184650236E-3</v>
          </cell>
          <cell r="AB47">
            <v>6.2164314830926064E-3</v>
          </cell>
        </row>
        <row r="48">
          <cell r="B48" t="str">
            <v>COMFORT 10</v>
          </cell>
          <cell r="C48">
            <v>10790.5</v>
          </cell>
          <cell r="D48">
            <v>1882.6</v>
          </cell>
          <cell r="G48">
            <v>61311.37</v>
          </cell>
          <cell r="H48">
            <v>11793.79</v>
          </cell>
          <cell r="K48">
            <v>12673.1</v>
          </cell>
          <cell r="L48">
            <v>73105.16</v>
          </cell>
          <cell r="M48">
            <v>5.6819767387980171</v>
          </cell>
          <cell r="N48">
            <v>6.2646287049824716</v>
          </cell>
          <cell r="Q48">
            <v>5.7685301938752165</v>
          </cell>
          <cell r="R48" t="e">
            <v>#N/A</v>
          </cell>
          <cell r="S48">
            <v>1.3299205791963422E-2</v>
          </cell>
          <cell r="T48">
            <v>6.4014922352408641E-4</v>
          </cell>
          <cell r="U48">
            <v>0</v>
          </cell>
          <cell r="W48">
            <v>7.5565777954424027E-2</v>
          </cell>
          <cell r="X48">
            <v>4.0102972011612321E-3</v>
          </cell>
          <cell r="Y48">
            <v>0</v>
          </cell>
          <cell r="Z48">
            <v>0</v>
          </cell>
          <cell r="AA48">
            <v>3.375817707005224E-3</v>
          </cell>
          <cell r="AB48">
            <v>1.9473506371878235E-2</v>
          </cell>
        </row>
        <row r="49">
          <cell r="B49" t="str">
            <v>COMFORT 12</v>
          </cell>
          <cell r="C49">
            <v>3620.3</v>
          </cell>
          <cell r="G49">
            <v>20044.419999999998</v>
          </cell>
          <cell r="K49">
            <v>3620.3</v>
          </cell>
          <cell r="L49">
            <v>20044.419999999998</v>
          </cell>
          <cell r="M49">
            <v>5.5366737563185362</v>
          </cell>
          <cell r="Q49">
            <v>5.5366737563185362</v>
          </cell>
          <cell r="R49" t="e">
            <v>#N/A</v>
          </cell>
          <cell r="S49">
            <v>4.46199107813773E-3</v>
          </cell>
          <cell r="T49">
            <v>0</v>
          </cell>
          <cell r="U49">
            <v>0</v>
          </cell>
          <cell r="W49">
            <v>2.4704588903252622E-2</v>
          </cell>
          <cell r="X49">
            <v>0</v>
          </cell>
          <cell r="Y49">
            <v>0</v>
          </cell>
          <cell r="Z49">
            <v>0</v>
          </cell>
          <cell r="AA49">
            <v>9.6436332425933768E-4</v>
          </cell>
          <cell r="AB49">
            <v>5.3393651089827781E-3</v>
          </cell>
        </row>
        <row r="50">
          <cell r="B50" t="str">
            <v>COVER DENIM</v>
          </cell>
          <cell r="C50">
            <v>2593.6</v>
          </cell>
          <cell r="D50">
            <v>1328.8</v>
          </cell>
          <cell r="G50">
            <v>19596.79</v>
          </cell>
          <cell r="H50">
            <v>10440.719999999999</v>
          </cell>
          <cell r="K50">
            <v>3922.4</v>
          </cell>
          <cell r="L50">
            <v>30037.51</v>
          </cell>
          <cell r="M50">
            <v>7.5558258790869841</v>
          </cell>
          <cell r="N50">
            <v>7.8572546658639375</v>
          </cell>
          <cell r="Q50">
            <v>7.6579415663879251</v>
          </cell>
          <cell r="R50" t="e">
            <v>#N/A</v>
          </cell>
          <cell r="S50">
            <v>3.1965914593426003E-3</v>
          </cell>
          <cell r="T50">
            <v>4.5183803687390105E-4</v>
          </cell>
          <cell r="U50">
            <v>0</v>
          </cell>
          <cell r="W50">
            <v>2.4152888473369247E-2</v>
          </cell>
          <cell r="X50">
            <v>3.5502065234422607E-3</v>
          </cell>
          <cell r="Y50">
            <v>0</v>
          </cell>
          <cell r="Z50">
            <v>0</v>
          </cell>
          <cell r="AA50">
            <v>1.0448357050727359E-3</v>
          </cell>
          <cell r="AB50">
            <v>8.0012907759227387E-3</v>
          </cell>
        </row>
        <row r="51">
          <cell r="B51" t="str">
            <v>CROSS PLUG</v>
          </cell>
          <cell r="C51">
            <v>414</v>
          </cell>
          <cell r="D51">
            <v>195</v>
          </cell>
          <cell r="G51">
            <v>2194.2199999999998</v>
          </cell>
          <cell r="H51">
            <v>1016.1</v>
          </cell>
          <cell r="K51">
            <v>609</v>
          </cell>
          <cell r="L51">
            <v>3210.32</v>
          </cell>
          <cell r="M51">
            <v>5.3000483091787434</v>
          </cell>
          <cell r="N51">
            <v>5.2107692307692313</v>
          </cell>
          <cell r="Q51">
            <v>5.2714614121510674</v>
          </cell>
          <cell r="R51" t="e">
            <v>#N/A</v>
          </cell>
          <cell r="S51">
            <v>5.1025172122448972E-4</v>
          </cell>
          <cell r="T51">
            <v>6.6306755862741346E-5</v>
          </cell>
          <cell r="U51">
            <v>0</v>
          </cell>
          <cell r="W51">
            <v>2.7043587723314002E-3</v>
          </cell>
          <cell r="X51">
            <v>3.4550920324169992E-4</v>
          </cell>
          <cell r="Y51">
            <v>0</v>
          </cell>
          <cell r="Z51">
            <v>0</v>
          </cell>
          <cell r="AA51">
            <v>1.6222336946494396E-4</v>
          </cell>
          <cell r="AB51">
            <v>8.5515423228357779E-4</v>
          </cell>
        </row>
        <row r="52">
          <cell r="B52" t="str">
            <v>DESTINY</v>
          </cell>
          <cell r="C52">
            <v>1253.4000000000001</v>
          </cell>
          <cell r="G52">
            <v>6893.7</v>
          </cell>
          <cell r="K52">
            <v>1253.4000000000001</v>
          </cell>
          <cell r="L52">
            <v>6893.7</v>
          </cell>
          <cell r="M52">
            <v>5.4999999999999991</v>
          </cell>
          <cell r="Q52">
            <v>5.4999999999999991</v>
          </cell>
          <cell r="R52" t="e">
            <v>#N/A</v>
          </cell>
          <cell r="S52">
            <v>1.5448055733883466E-3</v>
          </cell>
          <cell r="T52">
            <v>0</v>
          </cell>
          <cell r="U52">
            <v>0</v>
          </cell>
          <cell r="W52">
            <v>8.4964306536359051E-3</v>
          </cell>
          <cell r="X52">
            <v>0</v>
          </cell>
          <cell r="Y52">
            <v>0</v>
          </cell>
          <cell r="Z52">
            <v>0</v>
          </cell>
          <cell r="AA52">
            <v>3.3387647173622461E-4</v>
          </cell>
          <cell r="AB52">
            <v>1.8363205945492352E-3</v>
          </cell>
        </row>
        <row r="53">
          <cell r="B53" t="str">
            <v>DRY WASH BROKEN</v>
          </cell>
          <cell r="C53">
            <v>112.5</v>
          </cell>
          <cell r="G53">
            <v>528.75</v>
          </cell>
          <cell r="K53">
            <v>112.5</v>
          </cell>
          <cell r="L53">
            <v>528.75</v>
          </cell>
          <cell r="M53">
            <v>4.7</v>
          </cell>
          <cell r="Q53">
            <v>4.7</v>
          </cell>
          <cell r="R53" t="e">
            <v>#N/A</v>
          </cell>
          <cell r="S53">
            <v>1.3865535902839396E-4</v>
          </cell>
          <cell r="T53">
            <v>0</v>
          </cell>
          <cell r="U53">
            <v>0</v>
          </cell>
          <cell r="W53">
            <v>6.5168018743345165E-4</v>
          </cell>
          <cell r="X53">
            <v>0</v>
          </cell>
          <cell r="Y53">
            <v>0</v>
          </cell>
          <cell r="Z53">
            <v>0</v>
          </cell>
          <cell r="AA53">
            <v>2.9967371206578316E-5</v>
          </cell>
          <cell r="AB53">
            <v>1.408466446709181E-4</v>
          </cell>
        </row>
        <row r="54">
          <cell r="B54" t="str">
            <v>E-BLUES</v>
          </cell>
          <cell r="C54">
            <v>667.1</v>
          </cell>
          <cell r="D54">
            <v>52532.7</v>
          </cell>
          <cell r="G54">
            <v>3588.61</v>
          </cell>
          <cell r="H54">
            <v>296931.20000000001</v>
          </cell>
          <cell r="K54">
            <v>53199.8</v>
          </cell>
          <cell r="L54">
            <v>300519.81</v>
          </cell>
          <cell r="M54">
            <v>5.3794183780542646</v>
          </cell>
          <cell r="N54">
            <v>5.6523117981752327</v>
          </cell>
          <cell r="Q54">
            <v>5.6488898454505465</v>
          </cell>
          <cell r="R54" t="e">
            <v>#N/A</v>
          </cell>
          <cell r="S54">
            <v>8.2219546673636989E-4</v>
          </cell>
          <cell r="T54">
            <v>1.7862938019028884E-2</v>
          </cell>
          <cell r="U54">
            <v>0</v>
          </cell>
          <cell r="W54">
            <v>4.4229334041145322E-3</v>
          </cell>
          <cell r="X54">
            <v>0.10096689531502988</v>
          </cell>
          <cell r="Y54">
            <v>0</v>
          </cell>
          <cell r="Z54">
            <v>0</v>
          </cell>
          <cell r="AA54">
            <v>1.4171183597473113E-2</v>
          </cell>
          <cell r="AB54">
            <v>8.0051455121781218E-2</v>
          </cell>
        </row>
        <row r="55">
          <cell r="B55" t="str">
            <v>E-DENIM</v>
          </cell>
          <cell r="C55">
            <v>2352.3000000000002</v>
          </cell>
          <cell r="G55">
            <v>10585.35</v>
          </cell>
          <cell r="K55">
            <v>2352.3000000000002</v>
          </cell>
          <cell r="L55">
            <v>10585.35</v>
          </cell>
          <cell r="M55">
            <v>4.5</v>
          </cell>
          <cell r="Q55">
            <v>4.5</v>
          </cell>
          <cell r="R55" t="e">
            <v>#N/A</v>
          </cell>
          <cell r="S55">
            <v>2.8991911203776989E-3</v>
          </cell>
          <cell r="T55">
            <v>0</v>
          </cell>
          <cell r="U55">
            <v>0</v>
          </cell>
          <cell r="W55">
            <v>1.3046360041699645E-2</v>
          </cell>
          <cell r="X55">
            <v>0</v>
          </cell>
          <cell r="Y55">
            <v>0</v>
          </cell>
          <cell r="Z55">
            <v>0</v>
          </cell>
          <cell r="AA55">
            <v>6.2659775368208159E-4</v>
          </cell>
          <cell r="AB55">
            <v>2.8196898915693672E-3</v>
          </cell>
        </row>
        <row r="56">
          <cell r="B56" t="str">
            <v>EXCEL 06</v>
          </cell>
          <cell r="C56">
            <v>13418.2</v>
          </cell>
          <cell r="D56">
            <v>51631.7</v>
          </cell>
          <cell r="G56">
            <v>56411.99</v>
          </cell>
          <cell r="H56">
            <v>226233.92</v>
          </cell>
          <cell r="K56">
            <v>65049.9</v>
          </cell>
          <cell r="L56">
            <v>282645.90999999997</v>
          </cell>
          <cell r="M56">
            <v>4.204139899539431</v>
          </cell>
          <cell r="N56">
            <v>4.3816864445679693</v>
          </cell>
          <cell r="Q56">
            <v>4.3450629439860782</v>
          </cell>
          <cell r="R56" t="e">
            <v>#N/A</v>
          </cell>
          <cell r="S56">
            <v>1.6537825231242632E-2</v>
          </cell>
          <cell r="T56">
            <v>1.7556566803478474E-2</v>
          </cell>
          <cell r="U56">
            <v>0</v>
          </cell>
          <cell r="W56">
            <v>6.9527330906277066E-2</v>
          </cell>
          <cell r="X56">
            <v>7.692737077595363E-2</v>
          </cell>
          <cell r="Y56">
            <v>0</v>
          </cell>
          <cell r="Z56">
            <v>0</v>
          </cell>
          <cell r="AA56">
            <v>1.7327773335562659E-2</v>
          </cell>
          <cell r="AB56">
            <v>7.5290265822143349E-2</v>
          </cell>
        </row>
        <row r="57">
          <cell r="B57" t="str">
            <v>EXCEL 08</v>
          </cell>
          <cell r="C57">
            <v>3292.5</v>
          </cell>
          <cell r="D57">
            <v>105797.4</v>
          </cell>
          <cell r="G57">
            <v>14367.52</v>
          </cell>
          <cell r="H57">
            <v>461694.85</v>
          </cell>
          <cell r="K57">
            <v>109089.9</v>
          </cell>
          <cell r="L57">
            <v>476062.37</v>
          </cell>
          <cell r="M57">
            <v>4.3637114654517841</v>
          </cell>
          <cell r="N57">
            <v>4.3639527058320908</v>
          </cell>
          <cell r="Q57">
            <v>4.363945424828513</v>
          </cell>
          <cell r="R57" t="e">
            <v>#N/A</v>
          </cell>
          <cell r="S57">
            <v>4.057980174230996E-3</v>
          </cell>
          <cell r="T57">
            <v>3.5974781398527132E-2</v>
          </cell>
          <cell r="U57">
            <v>0</v>
          </cell>
          <cell r="W57">
            <v>1.7707854612867825E-2</v>
          </cell>
          <cell r="X57">
            <v>0.15699224462582045</v>
          </cell>
          <cell r="Y57">
            <v>0</v>
          </cell>
          <cell r="Z57">
            <v>0</v>
          </cell>
          <cell r="AA57">
            <v>2.9059000250564515E-2</v>
          </cell>
          <cell r="AB57">
            <v>0.12681189119354164</v>
          </cell>
        </row>
        <row r="58">
          <cell r="B58" t="str">
            <v>EXCEL 12</v>
          </cell>
          <cell r="C58">
            <v>3165.1</v>
          </cell>
          <cell r="D58">
            <v>74622.3</v>
          </cell>
          <cell r="G58">
            <v>14384.25</v>
          </cell>
          <cell r="H58">
            <v>410233.06</v>
          </cell>
          <cell r="K58">
            <v>77787.399999999994</v>
          </cell>
          <cell r="L58">
            <v>424617.31</v>
          </cell>
          <cell r="M58">
            <v>4.5446431392373068</v>
          </cell>
          <cell r="N58">
            <v>5.4974593385623329</v>
          </cell>
          <cell r="Q58">
            <v>5.4586900963395104</v>
          </cell>
          <cell r="R58">
            <v>0</v>
          </cell>
          <cell r="S58">
            <v>3.900960683206842E-3</v>
          </cell>
          <cell r="T58">
            <v>2.5374167323160224E-2</v>
          </cell>
          <cell r="U58">
            <v>0</v>
          </cell>
          <cell r="W58">
            <v>1.7728474205370451E-2</v>
          </cell>
          <cell r="X58">
            <v>0.13949345310895037</v>
          </cell>
          <cell r="Y58">
            <v>0</v>
          </cell>
          <cell r="Z58">
            <v>0</v>
          </cell>
          <cell r="AA58">
            <v>2.0720745697729689E-2</v>
          </cell>
          <cell r="AB58">
            <v>0.11310812932896656</v>
          </cell>
        </row>
        <row r="59">
          <cell r="B59" t="str">
            <v>EXCEL 13</v>
          </cell>
          <cell r="C59">
            <v>2457.8000000000002</v>
          </cell>
          <cell r="D59">
            <v>193005.7</v>
          </cell>
          <cell r="G59">
            <v>11112.35</v>
          </cell>
          <cell r="H59">
            <v>1125426.08</v>
          </cell>
          <cell r="K59">
            <v>195463.5</v>
          </cell>
          <cell r="L59">
            <v>1136538.43</v>
          </cell>
          <cell r="M59">
            <v>4.5212588493774915</v>
          </cell>
          <cell r="N59">
            <v>5.831051000048185</v>
          </cell>
          <cell r="Q59">
            <v>5.8145813924338814</v>
          </cell>
          <cell r="R59" t="e">
            <v>#N/A</v>
          </cell>
          <cell r="S59">
            <v>3.0292190348443263E-3</v>
          </cell>
          <cell r="T59">
            <v>6.5628624769320507E-2</v>
          </cell>
          <cell r="U59">
            <v>0</v>
          </cell>
          <cell r="W59">
            <v>1.3695883367992654E-2</v>
          </cell>
          <cell r="X59">
            <v>0.38268385809293343</v>
          </cell>
          <cell r="Y59">
            <v>0</v>
          </cell>
          <cell r="Z59">
            <v>0</v>
          </cell>
          <cell r="AA59">
            <v>5.2066908994106854E-2</v>
          </cell>
          <cell r="AB59">
            <v>0.30274728019868202</v>
          </cell>
        </row>
        <row r="60">
          <cell r="B60" t="str">
            <v>EXCEL 14</v>
          </cell>
          <cell r="C60">
            <v>3102.8</v>
          </cell>
          <cell r="D60">
            <v>1607.9</v>
          </cell>
          <cell r="G60">
            <v>21293.7</v>
          </cell>
          <cell r="H60">
            <v>10926.46</v>
          </cell>
          <cell r="K60">
            <v>4710.7</v>
          </cell>
          <cell r="L60">
            <v>32220.16</v>
          </cell>
          <cell r="M60">
            <v>6.8627368828155211</v>
          </cell>
          <cell r="N60">
            <v>6.795484793830461</v>
          </cell>
          <cell r="Q60">
            <v>6.8397817734094719</v>
          </cell>
          <cell r="R60" t="e">
            <v>#N/A</v>
          </cell>
          <cell r="S60">
            <v>3.824176426607118E-3</v>
          </cell>
          <cell r="T60">
            <v>5.4674170641898364E-4</v>
          </cell>
          <cell r="U60">
            <v>0</v>
          </cell>
          <cell r="W60">
            <v>2.6244316609270332E-2</v>
          </cell>
          <cell r="X60">
            <v>3.7153749521231217E-3</v>
          </cell>
          <cell r="Y60">
            <v>0</v>
          </cell>
          <cell r="Z60">
            <v>0</v>
          </cell>
          <cell r="AA60">
            <v>1.254820404825142E-3</v>
          </cell>
          <cell r="AB60">
            <v>8.5826977338253011E-3</v>
          </cell>
        </row>
        <row r="61">
          <cell r="B61" t="str">
            <v>EXCEL SOFT 12</v>
          </cell>
          <cell r="C61">
            <v>46.5</v>
          </cell>
          <cell r="G61">
            <v>232.5</v>
          </cell>
          <cell r="K61">
            <v>46.5</v>
          </cell>
          <cell r="L61">
            <v>232.5</v>
          </cell>
          <cell r="M61">
            <v>5</v>
          </cell>
          <cell r="Q61">
            <v>5</v>
          </cell>
          <cell r="R61" t="e">
            <v>#N/A</v>
          </cell>
          <cell r="S61">
            <v>5.7310881731736166E-5</v>
          </cell>
          <cell r="T61">
            <v>0</v>
          </cell>
          <cell r="U61">
            <v>0</v>
          </cell>
          <cell r="W61">
            <v>2.8655440865868085E-4</v>
          </cell>
          <cell r="X61">
            <v>0</v>
          </cell>
          <cell r="Y61">
            <v>0</v>
          </cell>
          <cell r="Z61">
            <v>0</v>
          </cell>
          <cell r="AA61">
            <v>1.2386513432052372E-5</v>
          </cell>
          <cell r="AB61">
            <v>6.1932567160261859E-5</v>
          </cell>
        </row>
        <row r="62">
          <cell r="B62" t="str">
            <v>FLAT COMFORT</v>
          </cell>
          <cell r="C62">
            <v>22337.9</v>
          </cell>
          <cell r="D62">
            <v>20367</v>
          </cell>
          <cell r="E62">
            <v>1.5</v>
          </cell>
          <cell r="G62">
            <v>120510.52</v>
          </cell>
          <cell r="H62">
            <v>115206.73</v>
          </cell>
          <cell r="I62">
            <v>6.72</v>
          </cell>
          <cell r="K62">
            <v>42706.400000000001</v>
          </cell>
          <cell r="L62">
            <v>235723.97</v>
          </cell>
          <cell r="M62">
            <v>5.3948902985508935</v>
          </cell>
          <cell r="N62">
            <v>5.6565390091815191</v>
          </cell>
          <cell r="O62">
            <v>4.4799999999999995</v>
          </cell>
          <cell r="Q62">
            <v>5.5196403817694772</v>
          </cell>
          <cell r="R62" t="e">
            <v>#N/A</v>
          </cell>
          <cell r="S62">
            <v>2.7531284839469882E-2</v>
          </cell>
          <cell r="T62">
            <v>6.9254856238792463E-3</v>
          </cell>
          <cell r="U62">
            <v>8.1433224755700329E-4</v>
          </cell>
          <cell r="W62">
            <v>0.14852826148709736</v>
          </cell>
          <cell r="X62">
            <v>3.9174279588998766E-2</v>
          </cell>
          <cell r="Y62">
            <v>3.6482084690553744E-3</v>
          </cell>
          <cell r="Z62">
            <v>0</v>
          </cell>
          <cell r="AA62">
            <v>1.1375987037303257E-2</v>
          </cell>
          <cell r="AB62">
            <v>6.2791357433585174E-2</v>
          </cell>
        </row>
        <row r="63">
          <cell r="B63" t="str">
            <v>GUETO</v>
          </cell>
          <cell r="C63">
            <v>2953.7</v>
          </cell>
          <cell r="D63">
            <v>1.5</v>
          </cell>
          <cell r="G63">
            <v>17333.349999999999</v>
          </cell>
          <cell r="H63">
            <v>10.01</v>
          </cell>
          <cell r="K63">
            <v>2955.2</v>
          </cell>
          <cell r="L63">
            <v>17343.36</v>
          </cell>
          <cell r="M63">
            <v>5.8683515590615158</v>
          </cell>
          <cell r="N63">
            <v>6.6733333333333329</v>
          </cell>
          <cell r="Q63">
            <v>5.8687601515971854</v>
          </cell>
          <cell r="R63">
            <v>0</v>
          </cell>
          <cell r="S63">
            <v>3.6404118574414864E-3</v>
          </cell>
          <cell r="T63">
            <v>5.1005196817493341E-7</v>
          </cell>
          <cell r="U63">
            <v>0</v>
          </cell>
          <cell r="W63">
            <v>2.1363216599242774E-2</v>
          </cell>
          <cell r="X63">
            <v>3.4037468009540552E-6</v>
          </cell>
          <cell r="Y63">
            <v>0</v>
          </cell>
          <cell r="Z63">
            <v>0</v>
          </cell>
          <cell r="AA63">
            <v>7.8719622568604655E-4</v>
          </cell>
          <cell r="AB63">
            <v>4.6198658407939752E-3</v>
          </cell>
        </row>
        <row r="64">
          <cell r="B64" t="str">
            <v>GUETO 10</v>
          </cell>
          <cell r="C64">
            <v>6671.6</v>
          </cell>
          <cell r="D64">
            <v>4646.7</v>
          </cell>
          <cell r="G64">
            <v>41627.96</v>
          </cell>
          <cell r="H64">
            <v>35781.89</v>
          </cell>
          <cell r="K64">
            <v>11318.3</v>
          </cell>
          <cell r="L64">
            <v>77409.850000000006</v>
          </cell>
          <cell r="M64">
            <v>6.239576713232208</v>
          </cell>
          <cell r="N64">
            <v>7.7004949749284437</v>
          </cell>
          <cell r="Q64">
            <v>6.8393530830601774</v>
          </cell>
          <cell r="R64">
            <v>0</v>
          </cell>
          <cell r="S64">
            <v>8.2226941626118502E-3</v>
          </cell>
          <cell r="T64">
            <v>1.5800389870123087E-3</v>
          </cell>
          <cell r="U64">
            <v>0</v>
          </cell>
          <cell r="W64">
            <v>5.1306131017063314E-2</v>
          </cell>
          <cell r="X64">
            <v>1.2167082279679312E-2</v>
          </cell>
          <cell r="Y64">
            <v>0</v>
          </cell>
          <cell r="Z64">
            <v>0</v>
          </cell>
          <cell r="AA64">
            <v>3.0149306446881365E-3</v>
          </cell>
          <cell r="AB64">
            <v>2.0620175199960414E-2</v>
          </cell>
        </row>
        <row r="65">
          <cell r="B65" t="str">
            <v>GUETO 12</v>
          </cell>
          <cell r="C65">
            <v>2060.6999999999998</v>
          </cell>
          <cell r="D65">
            <v>19333</v>
          </cell>
          <cell r="E65">
            <v>110</v>
          </cell>
          <cell r="G65">
            <v>16408.23</v>
          </cell>
          <cell r="H65">
            <v>145395.46</v>
          </cell>
          <cell r="I65">
            <v>928.4</v>
          </cell>
          <cell r="K65">
            <v>21503.7</v>
          </cell>
          <cell r="L65">
            <v>162732.09</v>
          </cell>
          <cell r="M65">
            <v>7.9624545057504736</v>
          </cell>
          <cell r="N65">
            <v>7.5205844928360825</v>
          </cell>
          <cell r="O65">
            <v>8.44</v>
          </cell>
          <cell r="Q65">
            <v>7.5676320819207854</v>
          </cell>
          <cell r="R65">
            <v>0</v>
          </cell>
          <cell r="S65">
            <v>2.5397964297761014E-3</v>
          </cell>
          <cell r="T65">
            <v>6.5738898004839919E-3</v>
          </cell>
          <cell r="U65">
            <v>5.9717698154180238E-2</v>
          </cell>
          <cell r="W65">
            <v>2.0223013525959684E-2</v>
          </cell>
          <cell r="X65">
            <v>4.94394936911332E-2</v>
          </cell>
          <cell r="Y65">
            <v>0.5040173724212812</v>
          </cell>
          <cell r="Z65">
            <v>0</v>
          </cell>
          <cell r="AA65">
            <v>5.7280832019102066E-3</v>
          </cell>
          <cell r="AB65">
            <v>4.3348026206687214E-2</v>
          </cell>
        </row>
        <row r="66">
          <cell r="B66" t="str">
            <v>GUETO COMFORT</v>
          </cell>
          <cell r="C66">
            <v>46101.9</v>
          </cell>
          <cell r="D66">
            <v>42853.9</v>
          </cell>
          <cell r="E66">
            <v>332.7</v>
          </cell>
          <cell r="G66">
            <v>417936.16</v>
          </cell>
          <cell r="H66">
            <v>382270.05</v>
          </cell>
          <cell r="I66">
            <v>2927.76</v>
          </cell>
          <cell r="K66">
            <v>89288.5</v>
          </cell>
          <cell r="L66">
            <v>803133.97</v>
          </cell>
          <cell r="M66">
            <v>9.0654866719159077</v>
          </cell>
          <cell r="N66">
            <v>8.9203094700832359</v>
          </cell>
          <cell r="O66">
            <v>8.8000000000000007</v>
          </cell>
          <cell r="Q66">
            <v>8.9948198256214411</v>
          </cell>
          <cell r="R66">
            <v>0</v>
          </cell>
          <cell r="S66">
            <v>5.6820226634587696E-2</v>
          </cell>
          <cell r="T66">
            <v>1.4571810692647853E-2</v>
          </cell>
          <cell r="U66">
            <v>0.18061889250814331</v>
          </cell>
          <cell r="W66">
            <v>0.51510300725109603</v>
          </cell>
          <cell r="X66">
            <v>0.12998506091788681</v>
          </cell>
          <cell r="Y66">
            <v>1.5894462540716612</v>
          </cell>
          <cell r="Z66">
            <v>0</v>
          </cell>
          <cell r="AA66">
            <v>2.3784369990920606E-2</v>
          </cell>
          <cell r="AB66">
            <v>0.21393612273424831</v>
          </cell>
        </row>
        <row r="67">
          <cell r="B67" t="str">
            <v>IMPACTO DENIM</v>
          </cell>
          <cell r="C67">
            <v>7662</v>
          </cell>
          <cell r="D67">
            <v>4569.8999999999996</v>
          </cell>
          <cell r="E67">
            <v>215.5</v>
          </cell>
          <cell r="G67">
            <v>41907.15</v>
          </cell>
          <cell r="H67">
            <v>26322.62</v>
          </cell>
          <cell r="I67">
            <v>1241.28</v>
          </cell>
          <cell r="K67">
            <v>12447.4</v>
          </cell>
          <cell r="L67">
            <v>69471.05</v>
          </cell>
          <cell r="M67">
            <v>5.4694792482380583</v>
          </cell>
          <cell r="N67">
            <v>5.7599991247073241</v>
          </cell>
          <cell r="O67">
            <v>5.76</v>
          </cell>
          <cell r="Q67">
            <v>5.5811695615148551</v>
          </cell>
          <cell r="R67" t="e">
            <v>#N/A</v>
          </cell>
          <cell r="S67">
            <v>9.4433543188938186E-3</v>
          </cell>
          <cell r="T67">
            <v>1.5539243262417521E-3</v>
          </cell>
          <cell r="U67">
            <v>0.11699239956568946</v>
          </cell>
          <cell r="W67">
            <v>5.1650230480948987E-2</v>
          </cell>
          <cell r="X67">
            <v>8.950602759013911E-3</v>
          </cell>
          <cell r="Y67">
            <v>0.67387622149837134</v>
          </cell>
          <cell r="Z67">
            <v>0</v>
          </cell>
          <cell r="AA67">
            <v>3.315696500949004E-3</v>
          </cell>
          <cell r="AB67">
            <v>1.8505464386317894E-2</v>
          </cell>
        </row>
        <row r="68">
          <cell r="B68" t="str">
            <v>JUST DENIM</v>
          </cell>
          <cell r="D68">
            <v>585.5</v>
          </cell>
          <cell r="H68">
            <v>3993.11</v>
          </cell>
          <cell r="K68">
            <v>585.5</v>
          </cell>
          <cell r="L68">
            <v>3993.11</v>
          </cell>
          <cell r="N68">
            <v>6.82</v>
          </cell>
          <cell r="Q68">
            <v>6.82</v>
          </cell>
          <cell r="R68" t="e">
            <v>#N/A</v>
          </cell>
          <cell r="S68">
            <v>0</v>
          </cell>
          <cell r="T68">
            <v>1.9909028491094902E-4</v>
          </cell>
          <cell r="U68">
            <v>0</v>
          </cell>
          <cell r="W68">
            <v>0</v>
          </cell>
          <cell r="X68">
            <v>1.3577957430926724E-3</v>
          </cell>
          <cell r="Y68">
            <v>0</v>
          </cell>
          <cell r="Z68">
            <v>0</v>
          </cell>
          <cell r="AA68">
            <v>1.5596351859068093E-4</v>
          </cell>
          <cell r="AB68">
            <v>1.063671196788444E-3</v>
          </cell>
        </row>
        <row r="69">
          <cell r="B69" t="str">
            <v>LIBER</v>
          </cell>
          <cell r="C69">
            <v>743.7</v>
          </cell>
          <cell r="D69">
            <v>1285.7</v>
          </cell>
          <cell r="G69">
            <v>3795.44</v>
          </cell>
          <cell r="H69">
            <v>6465.49</v>
          </cell>
          <cell r="K69">
            <v>2029.4</v>
          </cell>
          <cell r="L69">
            <v>10260.93</v>
          </cell>
          <cell r="M69">
            <v>5.1034556945004708</v>
          </cell>
          <cell r="N69">
            <v>5.028770319670218</v>
          </cell>
          <cell r="Q69">
            <v>5.0561397457376565</v>
          </cell>
          <cell r="R69" t="e">
            <v>#N/A</v>
          </cell>
          <cell r="S69">
            <v>9.1660436008370299E-4</v>
          </cell>
          <cell r="T69">
            <v>4.3718254365500799E-4</v>
          </cell>
          <cell r="U69">
            <v>0</v>
          </cell>
          <cell r="W69">
            <v>4.6778497410731338E-3</v>
          </cell>
          <cell r="X69">
            <v>2.1984905998102336E-3</v>
          </cell>
          <cell r="Y69">
            <v>0</v>
          </cell>
          <cell r="Z69">
            <v>0</v>
          </cell>
          <cell r="AA69">
            <v>5.4058473890337814E-4</v>
          </cell>
          <cell r="AB69">
            <v>2.7332719843085836E-3</v>
          </cell>
        </row>
        <row r="70">
          <cell r="B70" t="str">
            <v>LUCKY COMFORT</v>
          </cell>
          <cell r="C70">
            <v>1042.0999999999999</v>
          </cell>
          <cell r="G70">
            <v>4897.87</v>
          </cell>
          <cell r="K70">
            <v>1042.0999999999999</v>
          </cell>
          <cell r="L70">
            <v>4897.87</v>
          </cell>
          <cell r="M70">
            <v>4.7</v>
          </cell>
          <cell r="Q70">
            <v>4.7</v>
          </cell>
          <cell r="R70" t="e">
            <v>#N/A</v>
          </cell>
          <cell r="S70">
            <v>1.2843799968310162E-3</v>
          </cell>
          <cell r="T70">
            <v>0</v>
          </cell>
          <cell r="U70">
            <v>0</v>
          </cell>
          <cell r="W70">
            <v>6.0365859851057762E-3</v>
          </cell>
          <cell r="X70">
            <v>0</v>
          </cell>
          <cell r="Y70">
            <v>0</v>
          </cell>
          <cell r="Z70">
            <v>0</v>
          </cell>
          <cell r="AA70">
            <v>2.775910891944468E-4</v>
          </cell>
          <cell r="AB70">
            <v>1.3046781192138999E-3</v>
          </cell>
        </row>
        <row r="71">
          <cell r="B71" t="str">
            <v>LUCKY DENIM</v>
          </cell>
          <cell r="C71">
            <v>349</v>
          </cell>
          <cell r="G71">
            <v>1570.5</v>
          </cell>
          <cell r="K71">
            <v>349</v>
          </cell>
          <cell r="L71">
            <v>1570.5</v>
          </cell>
          <cell r="M71">
            <v>4.5</v>
          </cell>
          <cell r="Q71">
            <v>4.5</v>
          </cell>
          <cell r="R71" t="e">
            <v>#N/A</v>
          </cell>
          <cell r="S71">
            <v>4.3013973600808435E-4</v>
          </cell>
          <cell r="T71">
            <v>0</v>
          </cell>
          <cell r="U71">
            <v>0</v>
          </cell>
          <cell r="W71">
            <v>1.9356288120363795E-3</v>
          </cell>
          <cell r="X71">
            <v>0</v>
          </cell>
          <cell r="Y71">
            <v>0</v>
          </cell>
          <cell r="Z71">
            <v>0</v>
          </cell>
          <cell r="AA71">
            <v>9.296544489862963E-5</v>
          </cell>
          <cell r="AB71">
            <v>4.1834450204383334E-4</v>
          </cell>
        </row>
        <row r="72">
          <cell r="B72" t="str">
            <v>MADRID</v>
          </cell>
          <cell r="C72">
            <v>912.5</v>
          </cell>
          <cell r="G72">
            <v>4106.25</v>
          </cell>
          <cell r="K72">
            <v>912.5</v>
          </cell>
          <cell r="L72">
            <v>4106.25</v>
          </cell>
          <cell r="M72">
            <v>4.5</v>
          </cell>
          <cell r="Q72">
            <v>4.5</v>
          </cell>
          <cell r="R72" t="e">
            <v>#N/A</v>
          </cell>
          <cell r="S72">
            <v>1.1246490232303065E-3</v>
          </cell>
          <cell r="T72">
            <v>0</v>
          </cell>
          <cell r="U72">
            <v>0</v>
          </cell>
          <cell r="W72">
            <v>5.0609206045363793E-3</v>
          </cell>
          <cell r="X72">
            <v>0</v>
          </cell>
          <cell r="Y72">
            <v>0</v>
          </cell>
          <cell r="Z72">
            <v>0</v>
          </cell>
          <cell r="AA72">
            <v>2.4306867756446857E-4</v>
          </cell>
          <cell r="AB72">
            <v>1.0938090490401086E-3</v>
          </cell>
        </row>
        <row r="73">
          <cell r="B73" t="str">
            <v>MAGIC 14</v>
          </cell>
          <cell r="C73">
            <v>200</v>
          </cell>
          <cell r="D73">
            <v>52.6</v>
          </cell>
          <cell r="G73">
            <v>1414</v>
          </cell>
          <cell r="H73">
            <v>360.84</v>
          </cell>
          <cell r="K73">
            <v>252.6</v>
          </cell>
          <cell r="L73">
            <v>1774.84</v>
          </cell>
          <cell r="M73">
            <v>7.07</v>
          </cell>
          <cell r="N73">
            <v>6.8600760456273759</v>
          </cell>
          <cell r="Q73">
            <v>7.0262866191607278</v>
          </cell>
          <cell r="R73">
            <v>0</v>
          </cell>
          <cell r="S73">
            <v>2.4649841605047814E-4</v>
          </cell>
          <cell r="T73">
            <v>1.7885822350667667E-5</v>
          </cell>
          <cell r="U73">
            <v>0</v>
          </cell>
          <cell r="W73">
            <v>1.7427438014768805E-3</v>
          </cell>
          <cell r="X73">
            <v>1.2269810146416199E-4</v>
          </cell>
          <cell r="Y73">
            <v>0</v>
          </cell>
          <cell r="Z73">
            <v>0</v>
          </cell>
          <cell r="AA73">
            <v>6.728673748250385E-5</v>
          </cell>
          <cell r="AB73">
            <v>4.7277590322029742E-4</v>
          </cell>
        </row>
        <row r="74">
          <cell r="B74" t="str">
            <v>MAGMA COMFORT</v>
          </cell>
          <cell r="C74">
            <v>49</v>
          </cell>
          <cell r="G74">
            <v>230.3</v>
          </cell>
          <cell r="K74">
            <v>49</v>
          </cell>
          <cell r="L74">
            <v>230.3</v>
          </cell>
          <cell r="M74">
            <v>4.7</v>
          </cell>
          <cell r="Q74">
            <v>4.7</v>
          </cell>
          <cell r="R74" t="e">
            <v>#N/A</v>
          </cell>
          <cell r="S74">
            <v>6.0392111932367143E-5</v>
          </cell>
          <cell r="T74">
            <v>0</v>
          </cell>
          <cell r="U74">
            <v>0</v>
          </cell>
          <cell r="W74">
            <v>2.8384292608212556E-4</v>
          </cell>
          <cell r="X74">
            <v>0</v>
          </cell>
          <cell r="Y74">
            <v>0</v>
          </cell>
          <cell r="Z74">
            <v>0</v>
          </cell>
          <cell r="AA74">
            <v>1.3052455014420778E-5</v>
          </cell>
          <cell r="AB74">
            <v>6.134653856777766E-5</v>
          </cell>
        </row>
        <row r="75">
          <cell r="B75" t="str">
            <v>MAGNETIC</v>
          </cell>
          <cell r="C75">
            <v>798.3</v>
          </cell>
          <cell r="D75">
            <v>1194.5</v>
          </cell>
          <cell r="G75">
            <v>3977.51</v>
          </cell>
          <cell r="H75">
            <v>7967.32</v>
          </cell>
          <cell r="K75">
            <v>1992.8</v>
          </cell>
          <cell r="L75">
            <v>11944.83</v>
          </cell>
          <cell r="M75">
            <v>4.9824752599273463</v>
          </cell>
          <cell r="N75">
            <v>6.6700041858518206</v>
          </cell>
          <cell r="Q75">
            <v>5.9939933761541546</v>
          </cell>
          <cell r="R75" t="e">
            <v>#N/A</v>
          </cell>
          <cell r="S75">
            <v>9.8389842766548352E-4</v>
          </cell>
          <cell r="T75">
            <v>4.0617138398997202E-4</v>
          </cell>
          <cell r="U75">
            <v>0</v>
          </cell>
          <cell r="W75">
            <v>4.902249574124687E-3</v>
          </cell>
          <cell r="X75">
            <v>2.7091648313863404E-3</v>
          </cell>
          <cell r="Y75">
            <v>0</v>
          </cell>
          <cell r="Z75">
            <v>0</v>
          </cell>
          <cell r="AA75">
            <v>5.308353541375046E-4</v>
          </cell>
          <cell r="AB75">
            <v>3.1818235965286475E-3</v>
          </cell>
        </row>
        <row r="76">
          <cell r="B76" t="str">
            <v>MARLIN DENIM</v>
          </cell>
          <cell r="C76">
            <v>798.1</v>
          </cell>
          <cell r="D76">
            <v>520</v>
          </cell>
          <cell r="G76">
            <v>4068.5</v>
          </cell>
          <cell r="H76">
            <v>4212</v>
          </cell>
          <cell r="K76">
            <v>1318.1</v>
          </cell>
          <cell r="L76">
            <v>8280.5</v>
          </cell>
          <cell r="M76">
            <v>5.0977321137702045</v>
          </cell>
          <cell r="N76">
            <v>8.1</v>
          </cell>
          <cell r="Q76">
            <v>6.2821485471512029</v>
          </cell>
          <cell r="R76" t="e">
            <v>#N/A</v>
          </cell>
          <cell r="S76">
            <v>9.8365192924943314E-4</v>
          </cell>
          <cell r="T76">
            <v>1.7681801563397691E-4</v>
          </cell>
          <cell r="U76">
            <v>0</v>
          </cell>
          <cell r="W76">
            <v>5.0143940285068524E-3</v>
          </cell>
          <cell r="X76">
            <v>1.4322259266352129E-3</v>
          </cell>
          <cell r="Y76">
            <v>0</v>
          </cell>
          <cell r="Z76">
            <v>0</v>
          </cell>
          <cell r="AA76">
            <v>3.511110398879189E-4</v>
          </cell>
          <cell r="AB76">
            <v>2.2057317091206379E-3</v>
          </cell>
        </row>
        <row r="77">
          <cell r="B77" t="str">
            <v>NATURA</v>
          </cell>
          <cell r="C77">
            <v>12888.6</v>
          </cell>
          <cell r="D77">
            <v>54989</v>
          </cell>
          <cell r="E77">
            <v>1.5</v>
          </cell>
          <cell r="G77">
            <v>75024.929999999993</v>
          </cell>
          <cell r="H77">
            <v>338191.35</v>
          </cell>
          <cell r="I77">
            <v>6.89</v>
          </cell>
          <cell r="K77">
            <v>67879.100000000006</v>
          </cell>
          <cell r="L77">
            <v>413223.17</v>
          </cell>
          <cell r="M77">
            <v>5.8210302127461473</v>
          </cell>
          <cell r="N77">
            <v>6.1501636690974557</v>
          </cell>
          <cell r="O77">
            <v>4.5933333333333328</v>
          </cell>
          <cell r="Q77">
            <v>6.0876347800722161</v>
          </cell>
          <cell r="R77" t="e">
            <v>#N/A</v>
          </cell>
          <cell r="S77">
            <v>1.5885097425540964E-2</v>
          </cell>
          <cell r="T77">
            <v>1.8698165118647608E-2</v>
          </cell>
          <cell r="U77">
            <v>8.1433224755700329E-4</v>
          </cell>
          <cell r="W77">
            <v>9.246763204649E-2</v>
          </cell>
          <cell r="X77">
            <v>0.11499677579149184</v>
          </cell>
          <cell r="Y77">
            <v>3.7404994571118349E-3</v>
          </cell>
          <cell r="Z77">
            <v>0</v>
          </cell>
          <cell r="AA77">
            <v>1.8081406105497338E-2</v>
          </cell>
          <cell r="AB77">
            <v>0.11007299668043571</v>
          </cell>
        </row>
        <row r="78">
          <cell r="B78" t="str">
            <v>N-DENIM OURO</v>
          </cell>
          <cell r="C78">
            <v>1260.0999999999999</v>
          </cell>
          <cell r="D78">
            <v>2624.8</v>
          </cell>
          <cell r="G78">
            <v>17730.8</v>
          </cell>
          <cell r="H78">
            <v>40245.699999999997</v>
          </cell>
          <cell r="K78">
            <v>3884.9</v>
          </cell>
          <cell r="L78">
            <v>57976.5</v>
          </cell>
          <cell r="M78">
            <v>14.070946750257917</v>
          </cell>
          <cell r="N78">
            <v>15.332863456263333</v>
          </cell>
          <cell r="Q78">
            <v>14.923550155731164</v>
          </cell>
          <cell r="R78" t="e">
            <v>#N/A</v>
          </cell>
          <cell r="S78">
            <v>1.5530632703260375E-3</v>
          </cell>
          <cell r="T78">
            <v>8.9252293737704358E-4</v>
          </cell>
          <cell r="U78">
            <v>0</v>
          </cell>
          <cell r="W78">
            <v>2.185307057653909E-2</v>
          </cell>
          <cell r="X78">
            <v>1.3684932330385279E-2</v>
          </cell>
          <cell r="Y78">
            <v>0</v>
          </cell>
          <cell r="Z78">
            <v>0</v>
          </cell>
          <cell r="AA78">
            <v>1.0348465813372098E-3</v>
          </cell>
          <cell r="AB78">
            <v>1.544358486007278E-2</v>
          </cell>
        </row>
        <row r="79">
          <cell r="B79" t="str">
            <v>N-DENIM PRATA</v>
          </cell>
          <cell r="C79">
            <v>3233.7</v>
          </cell>
          <cell r="D79">
            <v>2591.1999999999998</v>
          </cell>
          <cell r="G79">
            <v>37984.07</v>
          </cell>
          <cell r="H79">
            <v>31015.43</v>
          </cell>
          <cell r="K79">
            <v>5824.9</v>
          </cell>
          <cell r="L79">
            <v>68999.5</v>
          </cell>
          <cell r="M79">
            <v>11.746318458731485</v>
          </cell>
          <cell r="N79">
            <v>11.969523772769374</v>
          </cell>
          <cell r="Q79">
            <v>11.845611083452077</v>
          </cell>
          <cell r="R79" t="e">
            <v>#N/A</v>
          </cell>
          <cell r="S79">
            <v>3.9855096399121553E-3</v>
          </cell>
          <cell r="T79">
            <v>8.81097773289925E-4</v>
          </cell>
          <cell r="U79">
            <v>0</v>
          </cell>
          <cell r="W79">
            <v>4.6815065450752424E-2</v>
          </cell>
          <cell r="X79">
            <v>1.0546320743527918E-2</v>
          </cell>
          <cell r="Y79">
            <v>0</v>
          </cell>
          <cell r="Z79">
            <v>0</v>
          </cell>
          <cell r="AA79">
            <v>1.5516172492550937E-3</v>
          </cell>
          <cell r="AB79">
            <v>1.8379854485051562E-2</v>
          </cell>
        </row>
        <row r="80">
          <cell r="B80" t="str">
            <v>NOVO QUEST</v>
          </cell>
          <cell r="C80">
            <v>5541.7</v>
          </cell>
          <cell r="D80">
            <v>29627.9</v>
          </cell>
          <cell r="G80">
            <v>36084.379999999997</v>
          </cell>
          <cell r="H80">
            <v>165400.01999999999</v>
          </cell>
          <cell r="K80">
            <v>35169.599999999999</v>
          </cell>
          <cell r="L80">
            <v>201484.4</v>
          </cell>
          <cell r="M80">
            <v>6.5114279011855567</v>
          </cell>
          <cell r="N80">
            <v>5.5825765579065676</v>
          </cell>
          <cell r="Q80">
            <v>5.7289363541240164</v>
          </cell>
          <cell r="R80" t="e">
            <v>#N/A</v>
          </cell>
          <cell r="S80">
            <v>6.8301013611346733E-3</v>
          </cell>
          <cell r="T80">
            <v>1.0074512471926741E-2</v>
          </cell>
          <cell r="U80">
            <v>0</v>
          </cell>
          <cell r="W80">
            <v>4.447371257081776E-2</v>
          </cell>
          <cell r="X80">
            <v>5.6241737158115576E-2</v>
          </cell>
          <cell r="Y80">
            <v>0</v>
          </cell>
          <cell r="Z80">
            <v>0</v>
          </cell>
          <cell r="AA80">
            <v>9.3683596301055716E-3</v>
          </cell>
          <cell r="AB80">
            <v>5.3670736063419634E-2</v>
          </cell>
        </row>
        <row r="81">
          <cell r="B81" t="str">
            <v>PLUG COMFORT</v>
          </cell>
          <cell r="C81">
            <v>319</v>
          </cell>
          <cell r="D81">
            <v>2593.6999999999998</v>
          </cell>
          <cell r="G81">
            <v>1658.69</v>
          </cell>
          <cell r="H81">
            <v>13026.81</v>
          </cell>
          <cell r="K81">
            <v>2912.7</v>
          </cell>
          <cell r="L81">
            <v>14685.5</v>
          </cell>
          <cell r="M81">
            <v>5.1996551724137934</v>
          </cell>
          <cell r="N81">
            <v>5.0224813972317541</v>
          </cell>
          <cell r="Q81">
            <v>5.0418855357572019</v>
          </cell>
          <cell r="R81" t="e">
            <v>#N/A</v>
          </cell>
          <cell r="S81">
            <v>3.9316497360051265E-4</v>
          </cell>
          <cell r="T81">
            <v>8.8194785990354985E-4</v>
          </cell>
          <cell r="U81">
            <v>0</v>
          </cell>
          <cell r="W81">
            <v>2.044322288593838E-3</v>
          </cell>
          <cell r="X81">
            <v>4.4295667196939366E-3</v>
          </cell>
          <cell r="Y81">
            <v>0</v>
          </cell>
          <cell r="Z81">
            <v>0</v>
          </cell>
          <cell r="AA81">
            <v>7.7587521878578363E-4</v>
          </cell>
          <cell r="AB81">
            <v>3.911874043148497E-3</v>
          </cell>
        </row>
        <row r="82">
          <cell r="B82" t="str">
            <v>PLUG DENIM</v>
          </cell>
          <cell r="C82">
            <v>339.9</v>
          </cell>
          <cell r="D82">
            <v>584.4</v>
          </cell>
          <cell r="G82">
            <v>1678.56</v>
          </cell>
          <cell r="H82">
            <v>2824.82</v>
          </cell>
          <cell r="K82">
            <v>924.3</v>
          </cell>
          <cell r="L82">
            <v>4503.38</v>
          </cell>
          <cell r="M82">
            <v>4.9383936451897616</v>
          </cell>
          <cell r="N82">
            <v>4.8337097878165647</v>
          </cell>
          <cell r="Q82">
            <v>4.8722059937249815</v>
          </cell>
          <cell r="R82" t="e">
            <v>#N/A</v>
          </cell>
          <cell r="S82">
            <v>4.1892405807778758E-4</v>
          </cell>
          <cell r="T82">
            <v>1.9871624680095406E-4</v>
          </cell>
          <cell r="U82">
            <v>0</v>
          </cell>
          <cell r="W82">
            <v>2.0688119062284528E-3</v>
          </cell>
          <cell r="X82">
            <v>9.6053666715994373E-4</v>
          </cell>
          <cell r="Y82">
            <v>0</v>
          </cell>
          <cell r="Z82">
            <v>0</v>
          </cell>
          <cell r="AA82">
            <v>2.4621192183324746E-4</v>
          </cell>
          <cell r="AB82">
            <v>1.1995952012824949E-3</v>
          </cell>
        </row>
        <row r="83">
          <cell r="B83" t="str">
            <v>POLI 4LINE</v>
          </cell>
          <cell r="C83">
            <v>8500.9</v>
          </cell>
          <cell r="G83">
            <v>40838.639999999999</v>
          </cell>
          <cell r="K83">
            <v>8500.9</v>
          </cell>
          <cell r="L83">
            <v>40838.639999999999</v>
          </cell>
          <cell r="M83">
            <v>4.8040372195885146</v>
          </cell>
          <cell r="Q83">
            <v>4.8040372195885146</v>
          </cell>
          <cell r="R83" t="e">
            <v>#N/A</v>
          </cell>
          <cell r="S83">
            <v>1.0477291925017548E-2</v>
          </cell>
          <cell r="T83">
            <v>0</v>
          </cell>
          <cell r="U83">
            <v>0</v>
          </cell>
          <cell r="W83">
            <v>5.0333300368278495E-2</v>
          </cell>
          <cell r="X83">
            <v>0</v>
          </cell>
          <cell r="Y83">
            <v>0</v>
          </cell>
          <cell r="Z83">
            <v>0</v>
          </cell>
          <cell r="AA83">
            <v>2.2644411190222364E-3</v>
          </cell>
          <cell r="AB83">
            <v>1.0878459417349488E-2</v>
          </cell>
        </row>
        <row r="84">
          <cell r="B84" t="str">
            <v>POLI 4LINE COMFORT</v>
          </cell>
          <cell r="C84">
            <v>42271.199999999997</v>
          </cell>
          <cell r="G84">
            <v>233614.41</v>
          </cell>
          <cell r="K84">
            <v>42271.199999999997</v>
          </cell>
          <cell r="L84">
            <v>233614.41</v>
          </cell>
          <cell r="M84">
            <v>5.526562056435588</v>
          </cell>
          <cell r="Q84">
            <v>5.526562056435588</v>
          </cell>
          <cell r="R84" t="e">
            <v>#N/A</v>
          </cell>
          <cell r="S84">
            <v>5.2098919222764856E-2</v>
          </cell>
          <cell r="T84">
            <v>0</v>
          </cell>
          <cell r="U84">
            <v>0</v>
          </cell>
          <cell r="W84">
            <v>0.28792791015783492</v>
          </cell>
          <cell r="X84">
            <v>0</v>
          </cell>
          <cell r="Y84">
            <v>0</v>
          </cell>
          <cell r="Z84">
            <v>0</v>
          </cell>
          <cell r="AA84">
            <v>1.1260059926644563E-2</v>
          </cell>
          <cell r="AB84">
            <v>6.2229419943784732E-2</v>
          </cell>
        </row>
        <row r="85">
          <cell r="B85" t="str">
            <v>POLI CASE</v>
          </cell>
          <cell r="C85">
            <v>604.6</v>
          </cell>
          <cell r="D85">
            <v>14459</v>
          </cell>
          <cell r="G85">
            <v>2858.9</v>
          </cell>
          <cell r="H85">
            <v>82309.820000000007</v>
          </cell>
          <cell r="K85">
            <v>15063.6</v>
          </cell>
          <cell r="L85">
            <v>85168.72</v>
          </cell>
          <cell r="M85">
            <v>4.7285808799206084</v>
          </cell>
          <cell r="N85">
            <v>5.692635728611938</v>
          </cell>
          <cell r="Q85">
            <v>5.65394195278685</v>
          </cell>
          <cell r="R85" t="e">
            <v>#N/A</v>
          </cell>
          <cell r="S85">
            <v>7.4516471172059542E-4</v>
          </cell>
          <cell r="T85">
            <v>4.9165609385609082E-3</v>
          </cell>
          <cell r="U85">
            <v>0</v>
          </cell>
          <cell r="W85">
            <v>3.5235716082335595E-3</v>
          </cell>
          <cell r="X85">
            <v>2.7988190460749671E-2</v>
          </cell>
          <cell r="Y85">
            <v>0</v>
          </cell>
          <cell r="Z85">
            <v>0</v>
          </cell>
          <cell r="AA85">
            <v>4.0125910480658944E-3</v>
          </cell>
          <cell r="AB85">
            <v>2.2686956866036716E-2</v>
          </cell>
        </row>
        <row r="86">
          <cell r="B86" t="str">
            <v>POLI CASE COMFORT</v>
          </cell>
          <cell r="C86">
            <v>3814.2</v>
          </cell>
          <cell r="D86">
            <v>12393.4</v>
          </cell>
          <cell r="G86">
            <v>24745.53</v>
          </cell>
          <cell r="H86">
            <v>94245.97</v>
          </cell>
          <cell r="K86">
            <v>16207.6</v>
          </cell>
          <cell r="L86">
            <v>118991.5</v>
          </cell>
          <cell r="M86">
            <v>6.4877379266949822</v>
          </cell>
          <cell r="N86">
            <v>7.6045290235125149</v>
          </cell>
          <cell r="Q86">
            <v>7.3417100619462472</v>
          </cell>
          <cell r="R86" t="e">
            <v>#N/A</v>
          </cell>
          <cell r="S86">
            <v>4.7009712924986685E-3</v>
          </cell>
          <cell r="T86">
            <v>4.2141853749194796E-3</v>
          </cell>
          <cell r="U86">
            <v>0</v>
          </cell>
          <cell r="W86">
            <v>3.049866974664794E-2</v>
          </cell>
          <cell r="X86">
            <v>3.2046894994037151E-2</v>
          </cell>
          <cell r="Y86">
            <v>0</v>
          </cell>
          <cell r="Z86">
            <v>0</v>
          </cell>
          <cell r="AA86">
            <v>4.3173259161576778E-3</v>
          </cell>
          <cell r="AB86">
            <v>3.1696555119356123E-2</v>
          </cell>
        </row>
        <row r="87">
          <cell r="B87" t="str">
            <v>POLI CHAOS</v>
          </cell>
          <cell r="C87">
            <v>1990</v>
          </cell>
          <cell r="G87">
            <v>9137.9</v>
          </cell>
          <cell r="K87">
            <v>1990</v>
          </cell>
          <cell r="L87">
            <v>9137.9</v>
          </cell>
          <cell r="M87">
            <v>4.5919095477386929</v>
          </cell>
          <cell r="Q87">
            <v>4.5919095477386929</v>
          </cell>
          <cell r="R87" t="e">
            <v>#N/A</v>
          </cell>
          <cell r="S87">
            <v>2.4526592397022574E-3</v>
          </cell>
          <cell r="T87">
            <v>0</v>
          </cell>
          <cell r="U87">
            <v>0</v>
          </cell>
          <cell r="W87">
            <v>1.126238938013832E-2</v>
          </cell>
          <cell r="X87">
            <v>0</v>
          </cell>
          <cell r="Y87">
            <v>0</v>
          </cell>
          <cell r="Z87">
            <v>0</v>
          </cell>
          <cell r="AA87">
            <v>5.3008949956525199E-4</v>
          </cell>
          <cell r="AB87">
            <v>2.4341230342097061E-3</v>
          </cell>
        </row>
        <row r="88">
          <cell r="B88" t="str">
            <v>POLI CHAOS COMFORT</v>
          </cell>
          <cell r="C88">
            <v>358</v>
          </cell>
          <cell r="G88">
            <v>1682.6</v>
          </cell>
          <cell r="K88">
            <v>358</v>
          </cell>
          <cell r="L88">
            <v>1682.6</v>
          </cell>
          <cell r="M88">
            <v>4.7</v>
          </cell>
          <cell r="Q88">
            <v>4.7</v>
          </cell>
          <cell r="R88" t="e">
            <v>#N/A</v>
          </cell>
          <cell r="S88">
            <v>4.4123216473035588E-4</v>
          </cell>
          <cell r="T88">
            <v>0</v>
          </cell>
          <cell r="U88">
            <v>0</v>
          </cell>
          <cell r="W88">
            <v>2.0737911742326727E-3</v>
          </cell>
          <cell r="X88">
            <v>0</v>
          </cell>
          <cell r="Y88">
            <v>0</v>
          </cell>
          <cell r="Z88">
            <v>0</v>
          </cell>
          <cell r="AA88">
            <v>9.5362834595155897E-5</v>
          </cell>
          <cell r="AB88">
            <v>4.4820532259723275E-4</v>
          </cell>
        </row>
        <row r="89">
          <cell r="B89" t="str">
            <v>POLI COLLEGE</v>
          </cell>
          <cell r="C89">
            <v>1198.5</v>
          </cell>
          <cell r="G89">
            <v>5570.35</v>
          </cell>
          <cell r="K89">
            <v>1198.5</v>
          </cell>
          <cell r="L89">
            <v>5570.35</v>
          </cell>
          <cell r="M89">
            <v>4.6477680433875683</v>
          </cell>
          <cell r="Q89">
            <v>4.6477680433875683</v>
          </cell>
          <cell r="R89" t="e">
            <v>#N/A</v>
          </cell>
          <cell r="S89">
            <v>1.4771417581824903E-3</v>
          </cell>
          <cell r="T89">
            <v>0</v>
          </cell>
          <cell r="U89">
            <v>0</v>
          </cell>
          <cell r="W89">
            <v>6.8654122592339056E-3</v>
          </cell>
          <cell r="X89">
            <v>0</v>
          </cell>
          <cell r="Y89">
            <v>0</v>
          </cell>
          <cell r="Z89">
            <v>0</v>
          </cell>
          <cell r="AA89">
            <v>3.1925239458741435E-4</v>
          </cell>
          <cell r="AB89">
            <v>1.4838110773383428E-3</v>
          </cell>
        </row>
        <row r="90">
          <cell r="B90" t="str">
            <v>POLI COLLEGE BROKEN</v>
          </cell>
          <cell r="C90">
            <v>6412.4</v>
          </cell>
          <cell r="G90">
            <v>29059.18</v>
          </cell>
          <cell r="K90">
            <v>6412.4</v>
          </cell>
          <cell r="L90">
            <v>29059.18</v>
          </cell>
          <cell r="M90">
            <v>4.5317166739442332</v>
          </cell>
          <cell r="Q90">
            <v>4.5317166739442332</v>
          </cell>
          <cell r="R90" t="e">
            <v>#N/A</v>
          </cell>
          <cell r="S90">
            <v>7.9032322154104304E-3</v>
          </cell>
          <cell r="T90">
            <v>0</v>
          </cell>
          <cell r="U90">
            <v>0</v>
          </cell>
          <cell r="W90">
            <v>3.5815209208628671E-2</v>
          </cell>
          <cell r="X90">
            <v>0</v>
          </cell>
          <cell r="Y90">
            <v>0</v>
          </cell>
          <cell r="Z90">
            <v>0</v>
          </cell>
          <cell r="AA90">
            <v>1.7081135211116693E-3</v>
          </cell>
          <cell r="AB90">
            <v>7.7406865246113466E-3</v>
          </cell>
        </row>
        <row r="91">
          <cell r="B91" t="str">
            <v>POLI COMANDO WIDE</v>
          </cell>
          <cell r="C91">
            <v>9945.5</v>
          </cell>
          <cell r="D91">
            <v>141839.79999999999</v>
          </cell>
          <cell r="G91">
            <v>61049.95</v>
          </cell>
          <cell r="H91">
            <v>864978.07</v>
          </cell>
          <cell r="K91">
            <v>151785.29999999999</v>
          </cell>
          <cell r="L91">
            <v>926028.02</v>
          </cell>
          <cell r="M91">
            <v>6.1384495500477598</v>
          </cell>
          <cell r="N91">
            <v>6.0982747437602143</v>
          </cell>
          <cell r="Q91">
            <v>6.1009071365935972</v>
          </cell>
          <cell r="R91" t="e">
            <v>#N/A</v>
          </cell>
          <cell r="S91">
            <v>1.2257749984150152E-2</v>
          </cell>
          <cell r="T91">
            <v>4.8230446103692613E-2</v>
          </cell>
          <cell r="U91">
            <v>0</v>
          </cell>
          <cell r="W91">
            <v>7.5243579874804442E-2</v>
          </cell>
          <cell r="X91">
            <v>0.2941225113544369</v>
          </cell>
          <cell r="Y91">
            <v>0</v>
          </cell>
          <cell r="Z91">
            <v>0</v>
          </cell>
          <cell r="AA91">
            <v>4.0432057144905345E-2</v>
          </cell>
          <cell r="AB91">
            <v>0.24667222598251315</v>
          </cell>
        </row>
        <row r="92">
          <cell r="B92" t="str">
            <v>POLI PRISMA</v>
          </cell>
          <cell r="C92">
            <v>801.2</v>
          </cell>
          <cell r="G92">
            <v>3741.14</v>
          </cell>
          <cell r="K92">
            <v>801.2</v>
          </cell>
          <cell r="L92">
            <v>3741.14</v>
          </cell>
          <cell r="M92">
            <v>4.6694208686969541</v>
          </cell>
          <cell r="Q92">
            <v>4.6694208686969541</v>
          </cell>
          <cell r="R92" t="e">
            <v>#N/A</v>
          </cell>
          <cell r="S92">
            <v>9.8747265469821544E-4</v>
          </cell>
          <cell r="T92">
            <v>0</v>
          </cell>
          <cell r="U92">
            <v>0</v>
          </cell>
          <cell r="W92">
            <v>4.6109254211154282E-3</v>
          </cell>
          <cell r="X92">
            <v>0</v>
          </cell>
          <cell r="Y92">
            <v>0</v>
          </cell>
          <cell r="Z92">
            <v>0</v>
          </cell>
          <cell r="AA92">
            <v>2.1342095831742709E-4</v>
          </cell>
          <cell r="AB92">
            <v>9.9655227658469693E-4</v>
          </cell>
        </row>
        <row r="93">
          <cell r="B93" t="str">
            <v>POLI PSYCHO COMFORT</v>
          </cell>
          <cell r="C93">
            <v>11691.5</v>
          </cell>
          <cell r="D93">
            <v>34050.5</v>
          </cell>
          <cell r="G93">
            <v>84657.26</v>
          </cell>
          <cell r="H93">
            <v>273979.03000000003</v>
          </cell>
          <cell r="K93">
            <v>45742</v>
          </cell>
          <cell r="L93">
            <v>358636.29</v>
          </cell>
          <cell r="M93">
            <v>7.240923748022067</v>
          </cell>
          <cell r="N93">
            <v>8.0462557084330637</v>
          </cell>
          <cell r="Q93">
            <v>7.8404155917974725</v>
          </cell>
          <cell r="R93" t="e">
            <v>#N/A</v>
          </cell>
          <cell r="S93">
            <v>1.4409681156270827E-2</v>
          </cell>
          <cell r="T93">
            <v>1.1578349694893714E-2</v>
          </cell>
          <cell r="U93">
            <v>0</v>
          </cell>
          <cell r="W93">
            <v>0.10433940248586751</v>
          </cell>
          <cell r="X93">
            <v>9.316236232677276E-2</v>
          </cell>
          <cell r="Y93">
            <v>0</v>
          </cell>
          <cell r="Z93">
            <v>0</v>
          </cell>
          <cell r="AA93">
            <v>1.2184599944278271E-2</v>
          </cell>
          <cell r="AB93">
            <v>9.5532327382933976E-2</v>
          </cell>
        </row>
        <row r="94">
          <cell r="B94" t="str">
            <v>POLI RANDOM BROKEN</v>
          </cell>
          <cell r="C94">
            <v>16387.5</v>
          </cell>
          <cell r="D94">
            <v>58829.4</v>
          </cell>
          <cell r="G94">
            <v>103451.26</v>
          </cell>
          <cell r="H94">
            <v>400728.42</v>
          </cell>
          <cell r="K94">
            <v>75216.899999999994</v>
          </cell>
          <cell r="L94">
            <v>504179.68</v>
          </cell>
          <cell r="M94">
            <v>6.3128152555301291</v>
          </cell>
          <cell r="N94">
            <v>6.8117033320074656</v>
          </cell>
          <cell r="Q94">
            <v>6.7030106266012028</v>
          </cell>
          <cell r="R94" t="e">
            <v>#N/A</v>
          </cell>
          <cell r="S94">
            <v>2.0197463965136053E-2</v>
          </cell>
          <cell r="T94">
            <v>2.0004034171033622E-2</v>
          </cell>
          <cell r="U94">
            <v>0</v>
          </cell>
          <cell r="W94">
            <v>0.12750285864213093</v>
          </cell>
          <cell r="X94">
            <v>0.13626154621642092</v>
          </cell>
          <cell r="Y94">
            <v>0</v>
          </cell>
          <cell r="Z94">
            <v>0</v>
          </cell>
          <cell r="AA94">
            <v>2.0036024562738494E-2</v>
          </cell>
          <cell r="AB94">
            <v>0.13430168555887884</v>
          </cell>
        </row>
        <row r="95">
          <cell r="B95" t="str">
            <v>POLI SKIN COMFORT</v>
          </cell>
          <cell r="C95">
            <v>54</v>
          </cell>
          <cell r="G95">
            <v>253.8</v>
          </cell>
          <cell r="K95">
            <v>54</v>
          </cell>
          <cell r="L95">
            <v>253.8</v>
          </cell>
          <cell r="M95">
            <v>4.7</v>
          </cell>
          <cell r="Q95">
            <v>4.7</v>
          </cell>
          <cell r="R95" t="e">
            <v>#N/A</v>
          </cell>
          <cell r="S95">
            <v>6.6554572333629098E-5</v>
          </cell>
          <cell r="T95">
            <v>0</v>
          </cell>
          <cell r="U95">
            <v>0</v>
          </cell>
          <cell r="W95">
            <v>3.128064899680568E-4</v>
          </cell>
          <cell r="X95">
            <v>0</v>
          </cell>
          <cell r="Y95">
            <v>0</v>
          </cell>
          <cell r="Z95">
            <v>0</v>
          </cell>
          <cell r="AA95">
            <v>1.4384338179157593E-5</v>
          </cell>
          <cell r="AB95">
            <v>6.7606389442040685E-5</v>
          </cell>
        </row>
        <row r="96">
          <cell r="B96" t="str">
            <v>POLI THERAPY</v>
          </cell>
          <cell r="C96">
            <v>1222.4000000000001</v>
          </cell>
          <cell r="D96">
            <v>22637.8</v>
          </cell>
          <cell r="G96">
            <v>7793.93</v>
          </cell>
          <cell r="H96">
            <v>157237.10999999999</v>
          </cell>
          <cell r="K96">
            <v>23860.2</v>
          </cell>
          <cell r="L96">
            <v>165031.04000000001</v>
          </cell>
          <cell r="M96">
            <v>6.3759244109947639</v>
          </cell>
          <cell r="N96">
            <v>6.9457769747943701</v>
          </cell>
          <cell r="Q96">
            <v>6.9165824259645774</v>
          </cell>
          <cell r="R96" t="e">
            <v>#N/A</v>
          </cell>
          <cell r="S96">
            <v>1.5065983189005226E-3</v>
          </cell>
          <cell r="T96">
            <v>7.697636296767005E-3</v>
          </cell>
          <cell r="U96">
            <v>0</v>
          </cell>
          <cell r="W96">
            <v>9.6059569990415167E-3</v>
          </cell>
          <cell r="X96">
            <v>5.3466064950425662E-2</v>
          </cell>
          <cell r="Y96">
            <v>0</v>
          </cell>
          <cell r="Z96">
            <v>0</v>
          </cell>
          <cell r="AA96">
            <v>6.355799737450667E-3</v>
          </cell>
          <cell r="AB96">
            <v>4.3960412767001557E-2</v>
          </cell>
        </row>
        <row r="97">
          <cell r="B97" t="str">
            <v>POLI XPRESS</v>
          </cell>
          <cell r="C97">
            <v>2450.5</v>
          </cell>
          <cell r="D97">
            <v>4150.1000000000004</v>
          </cell>
          <cell r="G97">
            <v>11237.19</v>
          </cell>
          <cell r="H97">
            <v>24049.4</v>
          </cell>
          <cell r="K97">
            <v>6600.6</v>
          </cell>
          <cell r="L97">
            <v>35286.589999999997</v>
          </cell>
          <cell r="M97">
            <v>4.5856723117731075</v>
          </cell>
          <cell r="N97">
            <v>5.7948965085178665</v>
          </cell>
          <cell r="Q97">
            <v>5.3459670333000018</v>
          </cell>
          <cell r="R97" t="e">
            <v>#N/A</v>
          </cell>
          <cell r="S97">
            <v>3.0202218426584834E-3</v>
          </cell>
          <cell r="T97">
            <v>1.4111777820818609E-3</v>
          </cell>
          <cell r="U97">
            <v>0</v>
          </cell>
          <cell r="W97">
            <v>1.3849747679291362E-2</v>
          </cell>
          <cell r="X97">
            <v>8.1776292022841621E-3</v>
          </cell>
          <cell r="Y97">
            <v>0</v>
          </cell>
          <cell r="Z97">
            <v>0</v>
          </cell>
          <cell r="AA97">
            <v>1.7582456034323632E-3</v>
          </cell>
          <cell r="AB97">
            <v>9.3995230323940821E-3</v>
          </cell>
        </row>
        <row r="98">
          <cell r="B98" t="str">
            <v>POLI XPRESS WIDE</v>
          </cell>
          <cell r="C98">
            <v>4701.3</v>
          </cell>
          <cell r="D98">
            <v>133419.1</v>
          </cell>
          <cell r="G98">
            <v>24936.240000000002</v>
          </cell>
          <cell r="H98">
            <v>789270.17</v>
          </cell>
          <cell r="K98">
            <v>138120.4</v>
          </cell>
          <cell r="L98">
            <v>814206.41</v>
          </cell>
          <cell r="M98">
            <v>5.3041158828409163</v>
          </cell>
          <cell r="N98">
            <v>5.9157209874748071</v>
          </cell>
          <cell r="Q98">
            <v>5.8949033596774996</v>
          </cell>
          <cell r="R98" t="e">
            <v>#N/A</v>
          </cell>
          <cell r="S98">
            <v>5.7943150168905649E-3</v>
          </cell>
          <cell r="T98">
            <v>4.5367116364752179E-2</v>
          </cell>
          <cell r="U98">
            <v>0</v>
          </cell>
          <cell r="W98">
            <v>3.0733718311272876E-2</v>
          </cell>
          <cell r="X98">
            <v>0.26837920242017627</v>
          </cell>
          <cell r="Y98">
            <v>0</v>
          </cell>
          <cell r="Z98">
            <v>0</v>
          </cell>
          <cell r="AA98">
            <v>3.6792047093342932E-2</v>
          </cell>
          <cell r="AB98">
            <v>0.21688556201996004</v>
          </cell>
        </row>
        <row r="99">
          <cell r="B99" t="str">
            <v>POTENCIA CROSS</v>
          </cell>
          <cell r="C99">
            <v>9649.1</v>
          </cell>
          <cell r="G99">
            <v>45377.77</v>
          </cell>
          <cell r="K99">
            <v>9649.1</v>
          </cell>
          <cell r="L99">
            <v>45377.77</v>
          </cell>
          <cell r="M99">
            <v>4.7027981884320811</v>
          </cell>
          <cell r="Q99">
            <v>4.7027981884320811</v>
          </cell>
          <cell r="R99">
            <v>0</v>
          </cell>
          <cell r="S99">
            <v>1.1892439331563344E-2</v>
          </cell>
          <cell r="T99">
            <v>0</v>
          </cell>
          <cell r="U99">
            <v>0</v>
          </cell>
          <cell r="W99">
            <v>5.5927742144514521E-2</v>
          </cell>
          <cell r="X99">
            <v>0</v>
          </cell>
          <cell r="Y99">
            <v>0</v>
          </cell>
          <cell r="Z99">
            <v>0</v>
          </cell>
          <cell r="AA99">
            <v>2.5702947689723987E-3</v>
          </cell>
          <cell r="AB99">
            <v>1.2087577583259851E-2</v>
          </cell>
        </row>
        <row r="100">
          <cell r="B100" t="str">
            <v>POTENCIA DENIM</v>
          </cell>
          <cell r="C100">
            <v>13939.3</v>
          </cell>
          <cell r="D100">
            <v>196072</v>
          </cell>
          <cell r="G100">
            <v>65190.54</v>
          </cell>
          <cell r="H100">
            <v>940876.18</v>
          </cell>
          <cell r="K100">
            <v>210011.3</v>
          </cell>
          <cell r="L100">
            <v>1006066.72</v>
          </cell>
          <cell r="M100">
            <v>4.6767441693628804</v>
          </cell>
          <cell r="N100">
            <v>4.7986259129299444</v>
          </cell>
          <cell r="Q100">
            <v>4.7905361282940495</v>
          </cell>
          <cell r="R100" t="e">
            <v>#N/A</v>
          </cell>
          <cell r="S100">
            <v>1.718007685426215E-2</v>
          </cell>
          <cell r="T100">
            <v>6.6671273002663706E-2</v>
          </cell>
          <cell r="U100">
            <v>0</v>
          </cell>
          <cell r="W100">
            <v>8.0346824257376687E-2</v>
          </cell>
          <cell r="X100">
            <v>0.3199304982786087</v>
          </cell>
          <cell r="Y100">
            <v>0</v>
          </cell>
          <cell r="Z100">
            <v>0</v>
          </cell>
          <cell r="AA100">
            <v>5.5942102974898496E-2</v>
          </cell>
          <cell r="AB100">
            <v>0.26799266539399724</v>
          </cell>
        </row>
        <row r="101">
          <cell r="B101" t="str">
            <v>PSYCHO</v>
          </cell>
          <cell r="C101">
            <v>36931.199999999997</v>
          </cell>
          <cell r="D101">
            <v>20346</v>
          </cell>
          <cell r="G101">
            <v>227145.58</v>
          </cell>
          <cell r="H101">
            <v>126015.65</v>
          </cell>
          <cell r="K101">
            <v>57277.2</v>
          </cell>
          <cell r="L101">
            <v>353161.23</v>
          </cell>
          <cell r="M101">
            <v>6.1505063469370072</v>
          </cell>
          <cell r="N101">
            <v>6.1936326550673346</v>
          </cell>
          <cell r="Q101">
            <v>6.1658256688525279</v>
          </cell>
          <cell r="R101" t="e">
            <v>#N/A</v>
          </cell>
          <cell r="S101">
            <v>4.5517411514217086E-2</v>
          </cell>
          <cell r="T101">
            <v>6.9183448963247973E-3</v>
          </cell>
          <cell r="U101">
            <v>0</v>
          </cell>
          <cell r="W101">
            <v>0.27995512841433579</v>
          </cell>
          <cell r="X101">
            <v>4.2849686868895696E-2</v>
          </cell>
          <cell r="Y101">
            <v>0</v>
          </cell>
          <cell r="Z101">
            <v>0</v>
          </cell>
          <cell r="AA101">
            <v>1.525730768065269E-2</v>
          </cell>
          <cell r="AB101">
            <v>9.4073899334949182E-2</v>
          </cell>
        </row>
        <row r="102">
          <cell r="B102" t="str">
            <v>PSYCHO 10</v>
          </cell>
          <cell r="C102">
            <v>10110.799999999999</v>
          </cell>
          <cell r="D102">
            <v>4.5</v>
          </cell>
          <cell r="G102">
            <v>54568.68</v>
          </cell>
          <cell r="H102">
            <v>20.7</v>
          </cell>
          <cell r="K102">
            <v>10115.299999999999</v>
          </cell>
          <cell r="L102">
            <v>54589.38</v>
          </cell>
          <cell r="M102">
            <v>5.3970684812279943</v>
          </cell>
          <cell r="N102">
            <v>4.5999999999999996</v>
          </cell>
          <cell r="Q102">
            <v>5.3967138888614281</v>
          </cell>
          <cell r="R102" t="e">
            <v>#N/A</v>
          </cell>
          <cell r="S102">
            <v>1.2461480925015872E-2</v>
          </cell>
          <cell r="T102">
            <v>1.5301559045248003E-6</v>
          </cell>
          <cell r="U102">
            <v>0</v>
          </cell>
          <cell r="W102">
            <v>6.7255465929827035E-2</v>
          </cell>
          <cell r="X102">
            <v>7.0387171608140813E-6</v>
          </cell>
          <cell r="Y102">
            <v>0</v>
          </cell>
          <cell r="Z102">
            <v>0</v>
          </cell>
          <cell r="AA102">
            <v>2.6944795552524591E-3</v>
          </cell>
          <cell r="AB102">
            <v>1.4541335239084109E-2</v>
          </cell>
        </row>
        <row r="103">
          <cell r="B103" t="str">
            <v>PSYCHO BROKEN</v>
          </cell>
          <cell r="C103">
            <v>37772.800000000003</v>
          </cell>
          <cell r="D103">
            <v>22401.3</v>
          </cell>
          <cell r="G103">
            <v>250386.02</v>
          </cell>
          <cell r="H103">
            <v>160182.47</v>
          </cell>
          <cell r="K103">
            <v>60174.1</v>
          </cell>
          <cell r="L103">
            <v>410568.49</v>
          </cell>
          <cell r="M103">
            <v>6.6287386690952212</v>
          </cell>
          <cell r="N103">
            <v>7.1505881355099934</v>
          </cell>
          <cell r="Q103">
            <v>6.8230100657924257</v>
          </cell>
          <cell r="R103" t="e">
            <v>#N/A</v>
          </cell>
          <cell r="S103">
            <v>4.6554676848957505E-2</v>
          </cell>
          <cell r="T103">
            <v>7.6172181031180907E-3</v>
          </cell>
          <cell r="U103">
            <v>0</v>
          </cell>
          <cell r="W103">
            <v>0.30859878665591667</v>
          </cell>
          <cell r="X103">
            <v>5.4467589393748156E-2</v>
          </cell>
          <cell r="Y103">
            <v>0</v>
          </cell>
          <cell r="Z103">
            <v>0</v>
          </cell>
          <cell r="AA103">
            <v>1.6028974148637905E-2</v>
          </cell>
          <cell r="AB103">
            <v>0.10936585196048301</v>
          </cell>
        </row>
        <row r="104">
          <cell r="B104" t="str">
            <v>PSYCHO COATING</v>
          </cell>
          <cell r="C104">
            <v>2915.5</v>
          </cell>
          <cell r="D104">
            <v>32623.8</v>
          </cell>
          <cell r="G104">
            <v>19416.46</v>
          </cell>
          <cell r="H104">
            <v>234518.55</v>
          </cell>
          <cell r="K104">
            <v>35539.300000000003</v>
          </cell>
          <cell r="L104">
            <v>253935.01</v>
          </cell>
          <cell r="M104">
            <v>6.6597358943577429</v>
          </cell>
          <cell r="N104">
            <v>7.1885724532396589</v>
          </cell>
          <cell r="Q104">
            <v>7.1451888472761134</v>
          </cell>
          <cell r="R104" t="e">
            <v>#N/A</v>
          </cell>
          <cell r="S104">
            <v>3.5933306599758453E-3</v>
          </cell>
          <cell r="T104">
            <v>1.1093222266230262E-2</v>
          </cell>
          <cell r="U104">
            <v>0</v>
          </cell>
          <cell r="W104">
            <v>2.3930633176537333E-2</v>
          </cell>
          <cell r="X104">
            <v>7.9744432000687676E-2</v>
          </cell>
          <cell r="Y104">
            <v>0</v>
          </cell>
          <cell r="Z104">
            <v>0</v>
          </cell>
          <cell r="AA104">
            <v>9.4668390713062121E-3</v>
          </cell>
          <cell r="AB104">
            <v>6.7642352951254911E-2</v>
          </cell>
        </row>
        <row r="105">
          <cell r="B105" t="str">
            <v>PSYCHO CROSS</v>
          </cell>
          <cell r="C105">
            <v>20322.5</v>
          </cell>
          <cell r="D105">
            <v>16763.900000000001</v>
          </cell>
          <cell r="G105">
            <v>122845.89</v>
          </cell>
          <cell r="H105">
            <v>109464.12</v>
          </cell>
          <cell r="K105">
            <v>37086.400000000001</v>
          </cell>
          <cell r="L105">
            <v>232310.01</v>
          </cell>
          <cell r="M105">
            <v>6.0448217492926561</v>
          </cell>
          <cell r="N105">
            <v>6.5297526231962717</v>
          </cell>
          <cell r="Q105">
            <v>6.264021582035463</v>
          </cell>
          <cell r="R105" t="e">
            <v>#N/A</v>
          </cell>
          <cell r="S105">
            <v>2.504732030092921E-2</v>
          </cell>
          <cell r="T105">
            <v>5.700306792858512E-3</v>
          </cell>
          <cell r="U105">
            <v>0</v>
          </cell>
          <cell r="W105">
            <v>0.15140658651655636</v>
          </cell>
          <cell r="X105">
            <v>3.7221593233691397E-2</v>
          </cell>
          <cell r="Y105">
            <v>0</v>
          </cell>
          <cell r="Z105">
            <v>0</v>
          </cell>
          <cell r="AA105">
            <v>9.8789503601390775E-3</v>
          </cell>
          <cell r="AB105">
            <v>6.1881958263768189E-2</v>
          </cell>
        </row>
        <row r="106">
          <cell r="B106" t="str">
            <v>PSYCHO DENIM</v>
          </cell>
          <cell r="C106">
            <v>6824.44</v>
          </cell>
          <cell r="D106">
            <v>33771.199999999997</v>
          </cell>
          <cell r="E106">
            <v>111</v>
          </cell>
          <cell r="G106">
            <v>37159.160000000003</v>
          </cell>
          <cell r="H106">
            <v>213556.56</v>
          </cell>
          <cell r="I106">
            <v>794.76</v>
          </cell>
          <cell r="K106">
            <v>40706.639999999999</v>
          </cell>
          <cell r="L106">
            <v>251510.48</v>
          </cell>
          <cell r="M106">
            <v>5.445012338008687</v>
          </cell>
          <cell r="N106">
            <v>6.3236296015539875</v>
          </cell>
          <cell r="O106">
            <v>7.16</v>
          </cell>
          <cell r="Q106">
            <v>6.1786106640096063</v>
          </cell>
          <cell r="R106" t="e">
            <v>#N/A</v>
          </cell>
          <cell r="S106">
            <v>8.4110682521576254E-3</v>
          </cell>
          <cell r="T106">
            <v>1.1483378018419541E-2</v>
          </cell>
          <cell r="U106">
            <v>6.026058631921824E-2</v>
          </cell>
          <cell r="W106">
            <v>4.5798370408831432E-2</v>
          </cell>
          <cell r="X106">
            <v>7.2616629163112179E-2</v>
          </cell>
          <cell r="Y106">
            <v>0.43146579804560259</v>
          </cell>
          <cell r="Z106">
            <v>0</v>
          </cell>
          <cell r="AA106">
            <v>1.0843297701800437E-2</v>
          </cell>
          <cell r="AB106">
            <v>6.6996514813375041E-2</v>
          </cell>
        </row>
        <row r="107">
          <cell r="B107" t="str">
            <v>QUEST</v>
          </cell>
          <cell r="C107">
            <v>443.3</v>
          </cell>
          <cell r="G107">
            <v>2066.21</v>
          </cell>
          <cell r="K107">
            <v>443.3</v>
          </cell>
          <cell r="L107">
            <v>2066.21</v>
          </cell>
          <cell r="M107">
            <v>4.6609745093616057</v>
          </cell>
          <cell r="Q107">
            <v>4.6609745093616057</v>
          </cell>
          <cell r="R107" t="e">
            <v>#N/A</v>
          </cell>
          <cell r="S107">
            <v>5.4636373917588479E-4</v>
          </cell>
          <cell r="T107">
            <v>0</v>
          </cell>
          <cell r="U107">
            <v>0</v>
          </cell>
          <cell r="W107">
            <v>2.5465874611382919E-3</v>
          </cell>
          <cell r="X107">
            <v>0</v>
          </cell>
          <cell r="Y107">
            <v>0</v>
          </cell>
          <cell r="Z107">
            <v>0</v>
          </cell>
          <cell r="AA107">
            <v>1.1808476138556594E-4</v>
          </cell>
          <cell r="AB107">
            <v>5.5039006276217045E-4</v>
          </cell>
        </row>
        <row r="108">
          <cell r="B108" t="str">
            <v>QUEST 12</v>
          </cell>
          <cell r="C108">
            <v>798.8</v>
          </cell>
          <cell r="G108">
            <v>3735.06</v>
          </cell>
          <cell r="K108">
            <v>798.8</v>
          </cell>
          <cell r="L108">
            <v>3735.06</v>
          </cell>
          <cell r="M108">
            <v>4.6758387581372061</v>
          </cell>
          <cell r="Q108">
            <v>4.6758387581372061</v>
          </cell>
          <cell r="R108" t="e">
            <v>#N/A</v>
          </cell>
          <cell r="S108">
            <v>9.8451467370560966E-4</v>
          </cell>
          <cell r="T108">
            <v>0</v>
          </cell>
          <cell r="U108">
            <v>0</v>
          </cell>
          <cell r="W108">
            <v>4.6034318692674946E-3</v>
          </cell>
          <cell r="X108">
            <v>0</v>
          </cell>
          <cell r="Y108">
            <v>0</v>
          </cell>
          <cell r="Z108">
            <v>0</v>
          </cell>
          <cell r="AA108">
            <v>2.127816543983534E-4</v>
          </cell>
          <cell r="AB108">
            <v>9.9493270665637688E-4</v>
          </cell>
        </row>
        <row r="109">
          <cell r="B109" t="str">
            <v>RANDOM 10</v>
          </cell>
          <cell r="C109">
            <v>8506.2999999999993</v>
          </cell>
          <cell r="D109">
            <v>25930.400000000001</v>
          </cell>
          <cell r="G109">
            <v>40399.83</v>
          </cell>
          <cell r="H109">
            <v>132815.16</v>
          </cell>
          <cell r="K109">
            <v>34436.699999999997</v>
          </cell>
          <cell r="L109">
            <v>173214.99</v>
          </cell>
          <cell r="M109">
            <v>4.7494010321761522</v>
          </cell>
          <cell r="N109">
            <v>5.1219865486070404</v>
          </cell>
          <cell r="Q109">
            <v>5.0299532185139695</v>
          </cell>
          <cell r="R109" t="e">
            <v>#N/A</v>
          </cell>
          <cell r="S109">
            <v>1.048394738225091E-2</v>
          </cell>
          <cell r="T109">
            <v>8.817234370375529E-3</v>
          </cell>
          <cell r="U109">
            <v>0</v>
          </cell>
          <cell r="W109">
            <v>4.9792470518542943E-2</v>
          </cell>
          <cell r="X109">
            <v>4.5161755840979124E-2</v>
          </cell>
          <cell r="Y109">
            <v>0</v>
          </cell>
          <cell r="Z109">
            <v>0</v>
          </cell>
          <cell r="AA109">
            <v>9.1731321958184488E-3</v>
          </cell>
          <cell r="AB109">
            <v>4.6140425812211124E-2</v>
          </cell>
        </row>
        <row r="110">
          <cell r="B110" t="str">
            <v>RANDOM 13</v>
          </cell>
          <cell r="C110">
            <v>187.5</v>
          </cell>
          <cell r="D110">
            <v>2946.6</v>
          </cell>
          <cell r="G110">
            <v>860.25</v>
          </cell>
          <cell r="H110">
            <v>19653.82</v>
          </cell>
          <cell r="K110">
            <v>3134.1</v>
          </cell>
          <cell r="L110">
            <v>20514.07</v>
          </cell>
          <cell r="M110">
            <v>4.5880000000000001</v>
          </cell>
          <cell r="N110">
            <v>6.6699993212516118</v>
          </cell>
          <cell r="Q110">
            <v>6.5454420726843434</v>
          </cell>
          <cell r="R110" t="e">
            <v>#N/A</v>
          </cell>
          <cell r="S110">
            <v>2.3109226504732327E-4</v>
          </cell>
          <cell r="T110">
            <v>1.0019460862828392E-3</v>
          </cell>
          <cell r="U110">
            <v>0</v>
          </cell>
          <cell r="W110">
            <v>1.0602513120371191E-3</v>
          </cell>
          <cell r="X110">
            <v>6.6829797154372463E-3</v>
          </cell>
          <cell r="Y110">
            <v>0</v>
          </cell>
          <cell r="Z110">
            <v>0</v>
          </cell>
          <cell r="AA110">
            <v>8.3485100532032985E-4</v>
          </cell>
          <cell r="AB110">
            <v>5.464468894646508E-3</v>
          </cell>
        </row>
        <row r="111">
          <cell r="B111" t="str">
            <v>RANDOM BROKEN</v>
          </cell>
          <cell r="C111">
            <v>11794</v>
          </cell>
          <cell r="D111">
            <v>67737.100000000006</v>
          </cell>
          <cell r="G111">
            <v>57536.52</v>
          </cell>
          <cell r="H111">
            <v>436883.01</v>
          </cell>
          <cell r="K111">
            <v>79531.100000000006</v>
          </cell>
          <cell r="L111">
            <v>494419.53</v>
          </cell>
          <cell r="M111">
            <v>4.8784568424622687</v>
          </cell>
          <cell r="N111">
            <v>6.449685770427136</v>
          </cell>
          <cell r="Q111">
            <v>6.2166816503229549</v>
          </cell>
          <cell r="R111" t="e">
            <v>#N/A</v>
          </cell>
          <cell r="S111">
            <v>1.4536011594496696E-2</v>
          </cell>
          <cell r="T111">
            <v>2.3032960782308192E-2</v>
          </cell>
          <cell r="U111">
            <v>0</v>
          </cell>
          <cell r="W111">
            <v>7.0913305225283288E-2</v>
          </cell>
          <cell r="X111">
            <v>0.14855535940845943</v>
          </cell>
          <cell r="Y111">
            <v>0</v>
          </cell>
          <cell r="Z111">
            <v>0</v>
          </cell>
          <cell r="AA111">
            <v>2.1185226632600009E-2</v>
          </cell>
          <cell r="AB111">
            <v>0.13170180966481765</v>
          </cell>
        </row>
        <row r="112">
          <cell r="B112" t="str">
            <v>RANDOM COMFORT</v>
          </cell>
          <cell r="C112">
            <v>1214.5999999999999</v>
          </cell>
          <cell r="D112">
            <v>446.6</v>
          </cell>
          <cell r="G112">
            <v>5557.08</v>
          </cell>
          <cell r="H112">
            <v>2500.96</v>
          </cell>
          <cell r="K112">
            <v>1661.2</v>
          </cell>
          <cell r="L112">
            <v>8058.04</v>
          </cell>
          <cell r="M112">
            <v>4.5752346451506671</v>
          </cell>
          <cell r="N112">
            <v>5.6</v>
          </cell>
          <cell r="Q112">
            <v>4.8507344088610642</v>
          </cell>
          <cell r="R112" t="e">
            <v>#N/A</v>
          </cell>
          <cell r="S112">
            <v>1.4969848806745537E-3</v>
          </cell>
          <cell r="T112">
            <v>1.518594726579502E-4</v>
          </cell>
          <cell r="U112">
            <v>0</v>
          </cell>
          <cell r="W112">
            <v>6.8490570893289552E-3</v>
          </cell>
          <cell r="X112">
            <v>8.5041304688452106E-4</v>
          </cell>
          <cell r="Y112">
            <v>0</v>
          </cell>
          <cell r="Z112">
            <v>0</v>
          </cell>
          <cell r="AA112">
            <v>4.4250486265215916E-4</v>
          </cell>
          <cell r="AB112">
            <v>2.1464735633551675E-3</v>
          </cell>
        </row>
        <row r="113">
          <cell r="B113" t="str">
            <v>RANDOM CROSS 10</v>
          </cell>
          <cell r="C113">
            <v>128</v>
          </cell>
          <cell r="G113">
            <v>576</v>
          </cell>
          <cell r="K113">
            <v>128</v>
          </cell>
          <cell r="L113">
            <v>576</v>
          </cell>
          <cell r="M113">
            <v>4.5</v>
          </cell>
          <cell r="Q113">
            <v>4.5</v>
          </cell>
          <cell r="R113" t="e">
            <v>#N/A</v>
          </cell>
          <cell r="S113">
            <v>1.5775898627230602E-4</v>
          </cell>
          <cell r="T113">
            <v>0</v>
          </cell>
          <cell r="U113">
            <v>0</v>
          </cell>
          <cell r="W113">
            <v>7.0991543822537708E-4</v>
          </cell>
          <cell r="X113">
            <v>0</v>
          </cell>
          <cell r="Y113">
            <v>0</v>
          </cell>
          <cell r="Z113">
            <v>0</v>
          </cell>
          <cell r="AA113">
            <v>3.4096209017262442E-5</v>
          </cell>
          <cell r="AB113">
            <v>1.5343294057768099E-4</v>
          </cell>
        </row>
        <row r="114">
          <cell r="B114" t="str">
            <v>RANDOM CROSS BROKEN</v>
          </cell>
          <cell r="C114">
            <v>2198.1999999999998</v>
          </cell>
          <cell r="D114">
            <v>2021.9</v>
          </cell>
          <cell r="G114">
            <v>10434.33</v>
          </cell>
          <cell r="H114">
            <v>12131.4</v>
          </cell>
          <cell r="K114">
            <v>4220.1000000000004</v>
          </cell>
          <cell r="L114">
            <v>22565.73</v>
          </cell>
          <cell r="M114">
            <v>4.7467609862614868</v>
          </cell>
          <cell r="N114">
            <v>5.9999999999999991</v>
          </cell>
          <cell r="Q114">
            <v>5.3472026729224424</v>
          </cell>
          <cell r="R114" t="e">
            <v>#N/A</v>
          </cell>
          <cell r="S114">
            <v>2.7092640908108049E-3</v>
          </cell>
          <cell r="T114">
            <v>6.8751604963526529E-4</v>
          </cell>
          <cell r="U114">
            <v>0</v>
          </cell>
          <cell r="W114">
            <v>1.2860229087739927E-2</v>
          </cell>
          <cell r="X114">
            <v>4.1250962978115913E-3</v>
          </cell>
          <cell r="Y114">
            <v>0</v>
          </cell>
          <cell r="Z114">
            <v>0</v>
          </cell>
          <cell r="AA114">
            <v>1.124136028701166E-3</v>
          </cell>
          <cell r="AB114">
            <v>6.0109831773992942E-3</v>
          </cell>
        </row>
        <row r="115">
          <cell r="B115" t="str">
            <v>RANDOM DENIM</v>
          </cell>
          <cell r="C115">
            <v>5276.6</v>
          </cell>
          <cell r="D115">
            <v>28919.8</v>
          </cell>
          <cell r="G115">
            <v>25246.14</v>
          </cell>
          <cell r="H115">
            <v>164693.18</v>
          </cell>
          <cell r="K115">
            <v>34196.400000000001</v>
          </cell>
          <cell r="L115">
            <v>189939.32</v>
          </cell>
          <cell r="M115">
            <v>4.7845468673009126</v>
          </cell>
          <cell r="N115">
            <v>5.6948243072220412</v>
          </cell>
          <cell r="Q115">
            <v>5.5543659566504076</v>
          </cell>
          <cell r="R115" t="e">
            <v>#N/A</v>
          </cell>
          <cell r="S115">
            <v>6.5033677106597658E-3</v>
          </cell>
          <cell r="T115">
            <v>9.8337339394836271E-3</v>
          </cell>
          <cell r="U115">
            <v>0</v>
          </cell>
          <cell r="W115">
            <v>3.1115667606943089E-2</v>
          </cell>
          <cell r="X115">
            <v>5.6001387069325718E-2</v>
          </cell>
          <cell r="Y115">
            <v>0</v>
          </cell>
          <cell r="Z115">
            <v>0</v>
          </cell>
          <cell r="AA115">
            <v>9.1091218909211992E-3</v>
          </cell>
          <cell r="AB115">
            <v>5.0595396525911697E-2</v>
          </cell>
        </row>
        <row r="116">
          <cell r="B116" t="str">
            <v>RETALHO</v>
          </cell>
          <cell r="D116">
            <v>53969.2</v>
          </cell>
          <cell r="H116">
            <v>91185.83</v>
          </cell>
          <cell r="K116">
            <v>53969.2</v>
          </cell>
          <cell r="L116">
            <v>91185.83</v>
          </cell>
          <cell r="N116">
            <v>1.6895901736546031</v>
          </cell>
          <cell r="Q116">
            <v>1.6895901736546031</v>
          </cell>
          <cell r="R116" t="e">
            <v>#N/A</v>
          </cell>
          <cell r="S116">
            <v>0</v>
          </cell>
          <cell r="T116">
            <v>1.8351397787217744E-2</v>
          </cell>
          <cell r="U116">
            <v>0</v>
          </cell>
          <cell r="W116">
            <v>0</v>
          </cell>
          <cell r="X116">
            <v>3.1006341374109927E-2</v>
          </cell>
          <cell r="Y116">
            <v>0</v>
          </cell>
          <cell r="Z116">
            <v>0</v>
          </cell>
          <cell r="AA116">
            <v>1.4376133778862814E-2</v>
          </cell>
          <cell r="AB116">
            <v>2.4289774367910626E-2</v>
          </cell>
        </row>
        <row r="117">
          <cell r="B117" t="str">
            <v>SKIN 10</v>
          </cell>
          <cell r="C117">
            <v>649.29999999999995</v>
          </cell>
          <cell r="D117">
            <v>45828.1</v>
          </cell>
          <cell r="G117">
            <v>3750.57</v>
          </cell>
          <cell r="H117">
            <v>262559.96000000002</v>
          </cell>
          <cell r="K117">
            <v>46477.4</v>
          </cell>
          <cell r="L117">
            <v>266310.53000000003</v>
          </cell>
          <cell r="M117">
            <v>5.7763283536115821</v>
          </cell>
          <cell r="N117">
            <v>5.7292351199373313</v>
          </cell>
          <cell r="Q117">
            <v>5.7298930232758289</v>
          </cell>
          <cell r="R117" t="e">
            <v>#N/A</v>
          </cell>
          <cell r="S117">
            <v>8.002571077078772E-4</v>
          </cell>
          <cell r="T117">
            <v>1.5583141735145111E-2</v>
          </cell>
          <cell r="U117">
            <v>0</v>
          </cell>
          <cell r="W117">
            <v>4.622547821432209E-3</v>
          </cell>
          <cell r="X117">
            <v>8.9279482907954538E-2</v>
          </cell>
          <cell r="Y117">
            <v>0</v>
          </cell>
          <cell r="Z117">
            <v>0</v>
          </cell>
          <cell r="AA117">
            <v>1.2380493320147762E-2</v>
          </cell>
          <cell r="AB117">
            <v>7.0938902299827661E-2</v>
          </cell>
        </row>
        <row r="118">
          <cell r="B118" t="str">
            <v>SKIN DENIM</v>
          </cell>
          <cell r="C118">
            <v>455.9</v>
          </cell>
          <cell r="D118">
            <v>22622.9</v>
          </cell>
          <cell r="G118">
            <v>2277.58</v>
          </cell>
          <cell r="H118">
            <v>113780.87</v>
          </cell>
          <cell r="K118">
            <v>23078.799999999999</v>
          </cell>
          <cell r="L118">
            <v>116058.45</v>
          </cell>
          <cell r="M118">
            <v>4.9957885501206407</v>
          </cell>
          <cell r="N118">
            <v>5.0294555516755137</v>
          </cell>
          <cell r="Q118">
            <v>5.0287904917066744</v>
          </cell>
          <cell r="R118" t="e">
            <v>#N/A</v>
          </cell>
          <cell r="S118">
            <v>5.6189313938706487E-4</v>
          </cell>
          <cell r="T118">
            <v>7.6925697805498017E-3</v>
          </cell>
          <cell r="U118">
            <v>0</v>
          </cell>
          <cell r="W118">
            <v>2.8070993121412399E-3</v>
          </cell>
          <cell r="X118">
            <v>3.8689437789437488E-2</v>
          </cell>
          <cell r="Y118">
            <v>0</v>
          </cell>
          <cell r="Z118">
            <v>0</v>
          </cell>
          <cell r="AA118">
            <v>6.1476530364655974E-3</v>
          </cell>
          <cell r="AB118">
            <v>3.0915259136089862E-2</v>
          </cell>
        </row>
        <row r="119">
          <cell r="B119" t="str">
            <v>SP 450</v>
          </cell>
          <cell r="C119">
            <v>45508.1</v>
          </cell>
          <cell r="D119">
            <v>73234.600000000006</v>
          </cell>
          <cell r="E119">
            <v>6</v>
          </cell>
          <cell r="G119">
            <v>284768.71000000002</v>
          </cell>
          <cell r="H119">
            <v>479586.77</v>
          </cell>
          <cell r="I119">
            <v>39.72</v>
          </cell>
          <cell r="K119">
            <v>118748.7</v>
          </cell>
          <cell r="L119">
            <v>764395.2</v>
          </cell>
          <cell r="M119">
            <v>6.2575389875648515</v>
          </cell>
          <cell r="N119">
            <v>6.5486364368754657</v>
          </cell>
          <cell r="O119">
            <v>6.62</v>
          </cell>
          <cell r="Q119">
            <v>6.437082679641966</v>
          </cell>
          <cell r="R119" t="e">
            <v>#N/A</v>
          </cell>
          <cell r="S119">
            <v>5.6088372837333818E-2</v>
          </cell>
          <cell r="T119">
            <v>2.4902301245669323E-2</v>
          </cell>
          <cell r="U119">
            <v>3.2573289902280132E-3</v>
          </cell>
          <cell r="W119">
            <v>0.35097517977868975</v>
          </cell>
          <cell r="X119">
            <v>0.16307611729943944</v>
          </cell>
          <cell r="Y119">
            <v>2.1563517915309447E-2</v>
          </cell>
          <cell r="Z119">
            <v>0</v>
          </cell>
          <cell r="AA119">
            <v>3.1631878872876502E-2</v>
          </cell>
          <cell r="AB119">
            <v>0.20361701961712597</v>
          </cell>
        </row>
        <row r="120">
          <cell r="B120" t="str">
            <v>STIP</v>
          </cell>
          <cell r="C120">
            <v>1448.5</v>
          </cell>
          <cell r="G120">
            <v>6707.35</v>
          </cell>
          <cell r="K120">
            <v>1448.5</v>
          </cell>
          <cell r="L120">
            <v>6707.35</v>
          </cell>
          <cell r="M120">
            <v>4.6305488436313427</v>
          </cell>
          <cell r="Q120">
            <v>4.6305488436313427</v>
          </cell>
          <cell r="R120" t="e">
            <v>#N/A</v>
          </cell>
          <cell r="S120">
            <v>1.7852647782455879E-3</v>
          </cell>
          <cell r="T120">
            <v>0</v>
          </cell>
          <cell r="U120">
            <v>0</v>
          </cell>
          <cell r="W120">
            <v>8.2667557544808725E-3</v>
          </cell>
          <cell r="X120">
            <v>0</v>
          </cell>
          <cell r="Y120">
            <v>0</v>
          </cell>
          <cell r="Z120">
            <v>0</v>
          </cell>
          <cell r="AA120">
            <v>3.8584655282425503E-4</v>
          </cell>
          <cell r="AB120">
            <v>1.786681308999494E-3</v>
          </cell>
        </row>
        <row r="121">
          <cell r="B121" t="str">
            <v>THERAPY</v>
          </cell>
          <cell r="C121">
            <v>262</v>
          </cell>
          <cell r="D121">
            <v>6510.9</v>
          </cell>
          <cell r="E121">
            <v>1063.8</v>
          </cell>
          <cell r="G121">
            <v>1585.1</v>
          </cell>
          <cell r="H121">
            <v>39001.71</v>
          </cell>
          <cell r="I121">
            <v>5957.28</v>
          </cell>
          <cell r="K121">
            <v>7836.7</v>
          </cell>
          <cell r="L121">
            <v>46544.09</v>
          </cell>
          <cell r="M121">
            <v>6.05</v>
          </cell>
          <cell r="N121">
            <v>5.9902179422199699</v>
          </cell>
          <cell r="O121">
            <v>5.6</v>
          </cell>
          <cell r="Q121">
            <v>5.9392461112458044</v>
          </cell>
          <cell r="R121" t="e">
            <v>#N/A</v>
          </cell>
          <cell r="S121">
            <v>3.2291292502612635E-4</v>
          </cell>
          <cell r="T121">
            <v>2.213931573060116E-3</v>
          </cell>
          <cell r="U121">
            <v>0.5775244299674267</v>
          </cell>
          <cell r="W121">
            <v>1.9536231964080645E-3</v>
          </cell>
          <cell r="X121">
            <v>1.3261932631791989E-2</v>
          </cell>
          <cell r="Y121">
            <v>3.2341368078175892</v>
          </cell>
          <cell r="Z121">
            <v>0</v>
          </cell>
          <cell r="AA121">
            <v>2.0875137594185984E-3</v>
          </cell>
          <cell r="AB121">
            <v>1.239825797779902E-2</v>
          </cell>
        </row>
        <row r="122">
          <cell r="B122" t="str">
            <v>THERAPY 10</v>
          </cell>
          <cell r="C122">
            <v>6194.3</v>
          </cell>
          <cell r="D122">
            <v>9496.7999999999993</v>
          </cell>
          <cell r="G122">
            <v>36256.79</v>
          </cell>
          <cell r="H122">
            <v>59519.28</v>
          </cell>
          <cell r="K122">
            <v>15691.1</v>
          </cell>
          <cell r="L122">
            <v>95776.07</v>
          </cell>
          <cell r="M122">
            <v>5.8532505690715659</v>
          </cell>
          <cell r="N122">
            <v>6.2672984584281028</v>
          </cell>
          <cell r="Q122">
            <v>6.1038467666384131</v>
          </cell>
          <cell r="R122" t="e">
            <v>#N/A</v>
          </cell>
          <cell r="S122">
            <v>7.6344256927073839E-3</v>
          </cell>
          <cell r="T122">
            <v>3.2292410209091385E-3</v>
          </cell>
          <cell r="U122">
            <v>0</v>
          </cell>
          <cell r="W122">
            <v>4.4686206530374077E-2</v>
          </cell>
          <cell r="X122">
            <v>2.0238617272236636E-2</v>
          </cell>
          <cell r="Y122">
            <v>0</v>
          </cell>
          <cell r="Z122">
            <v>0</v>
          </cell>
          <cell r="AA122">
            <v>4.179742385240365E-3</v>
          </cell>
          <cell r="AB122">
            <v>2.5512507043530929E-2</v>
          </cell>
        </row>
        <row r="123">
          <cell r="B123" t="str">
            <v>THERAPY COMFORT</v>
          </cell>
          <cell r="C123">
            <v>32719</v>
          </cell>
          <cell r="D123">
            <v>16902.7</v>
          </cell>
          <cell r="G123">
            <v>234329.89</v>
          </cell>
          <cell r="H123">
            <v>120992.68</v>
          </cell>
          <cell r="K123">
            <v>49621.7</v>
          </cell>
          <cell r="L123">
            <v>355322.57</v>
          </cell>
          <cell r="M123">
            <v>7.1618903389467894</v>
          </cell>
          <cell r="N123">
            <v>7.1581865619102265</v>
          </cell>
          <cell r="Q123">
            <v>7.1606287168718534</v>
          </cell>
          <cell r="R123">
            <v>0</v>
          </cell>
          <cell r="S123">
            <v>4.0325908373777974E-2</v>
          </cell>
          <cell r="T123">
            <v>5.747503601646965E-3</v>
          </cell>
          <cell r="U123">
            <v>0</v>
          </cell>
          <cell r="W123">
            <v>0.28880973359141393</v>
          </cell>
          <cell r="X123">
            <v>4.1141703045839931E-2</v>
          </cell>
          <cell r="Y123">
            <v>0</v>
          </cell>
          <cell r="Z123">
            <v>0</v>
          </cell>
          <cell r="AA123">
            <v>1.3218061367124154E-2</v>
          </cell>
          <cell r="AB123">
            <v>9.4649629806803651E-2</v>
          </cell>
        </row>
        <row r="124">
          <cell r="B124" t="str">
            <v>THERAPY CROSS</v>
          </cell>
          <cell r="C124">
            <v>7266</v>
          </cell>
          <cell r="D124">
            <v>13536.3</v>
          </cell>
          <cell r="G124">
            <v>47842.18</v>
          </cell>
          <cell r="H124">
            <v>94887.77</v>
          </cell>
          <cell r="K124">
            <v>20802.3</v>
          </cell>
          <cell r="L124">
            <v>142729.95000000001</v>
          </cell>
          <cell r="M124">
            <v>6.5843903110377102</v>
          </cell>
          <cell r="N124">
            <v>7.0098749288948978</v>
          </cell>
          <cell r="Q124">
            <v>6.8612581301106133</v>
          </cell>
          <cell r="R124" t="e">
            <v>#N/A</v>
          </cell>
          <cell r="S124">
            <v>8.9552874551138712E-3</v>
          </cell>
          <cell r="T124">
            <v>4.6028109712042339E-3</v>
          </cell>
          <cell r="U124">
            <v>0</v>
          </cell>
          <cell r="W124">
            <v>5.8965107952009328E-2</v>
          </cell>
          <cell r="X124">
            <v>3.2265129229486933E-2</v>
          </cell>
          <cell r="Y124">
            <v>0</v>
          </cell>
          <cell r="Z124">
            <v>0</v>
          </cell>
          <cell r="AA124">
            <v>5.5412466315609256E-3</v>
          </cell>
          <cell r="AB124">
            <v>3.8019923501745448E-2</v>
          </cell>
        </row>
        <row r="125">
          <cell r="B125" t="str">
            <v>THERAPY DENIM</v>
          </cell>
          <cell r="C125">
            <v>6137.8</v>
          </cell>
          <cell r="D125">
            <v>14430</v>
          </cell>
          <cell r="G125">
            <v>34102.65</v>
          </cell>
          <cell r="H125">
            <v>90490.9</v>
          </cell>
          <cell r="K125">
            <v>20567.8</v>
          </cell>
          <cell r="L125">
            <v>124593.55</v>
          </cell>
          <cell r="M125">
            <v>5.5561683339307244</v>
          </cell>
          <cell r="N125">
            <v>6.2710256410256404</v>
          </cell>
          <cell r="Q125">
            <v>6.0576994136465743</v>
          </cell>
          <cell r="R125">
            <v>0</v>
          </cell>
          <cell r="S125">
            <v>7.5647898901731242E-3</v>
          </cell>
          <cell r="T125">
            <v>4.9066999338428594E-3</v>
          </cell>
          <cell r="U125">
            <v>0</v>
          </cell>
          <cell r="W125">
            <v>4.2031246040619197E-2</v>
          </cell>
          <cell r="X125">
            <v>3.0770041097947384E-2</v>
          </cell>
          <cell r="Y125">
            <v>0</v>
          </cell>
          <cell r="Z125">
            <v>0</v>
          </cell>
          <cell r="AA125">
            <v>5.4787813111347693E-3</v>
          </cell>
          <cell r="AB125">
            <v>3.3188810335958899E-2</v>
          </cell>
        </row>
        <row r="126">
          <cell r="B126" t="str">
            <v>TIGER DENIM</v>
          </cell>
          <cell r="C126">
            <v>471.6</v>
          </cell>
          <cell r="D126">
            <v>50261.7</v>
          </cell>
          <cell r="G126">
            <v>2406.6</v>
          </cell>
          <cell r="H126">
            <v>315106.56</v>
          </cell>
          <cell r="K126">
            <v>50733.3</v>
          </cell>
          <cell r="L126">
            <v>317513.15999999997</v>
          </cell>
          <cell r="M126">
            <v>5.1030534351145036</v>
          </cell>
          <cell r="N126">
            <v>6.2693175917249118</v>
          </cell>
          <cell r="Q126">
            <v>6.2584763853327097</v>
          </cell>
          <cell r="R126" t="e">
            <v>#N/A</v>
          </cell>
          <cell r="S126">
            <v>5.8124326504702746E-4</v>
          </cell>
          <cell r="T126">
            <v>1.7090719339212034E-2</v>
          </cell>
          <cell r="U126">
            <v>0</v>
          </cell>
          <cell r="W126">
            <v>2.9661154403354032E-3</v>
          </cell>
          <cell r="X126">
            <v>0.10714714740855516</v>
          </cell>
          <cell r="Y126">
            <v>0</v>
          </cell>
          <cell r="Z126">
            <v>0</v>
          </cell>
          <cell r="AA126">
            <v>1.3514165632308443E-2</v>
          </cell>
          <cell r="AB126">
            <v>8.4578086477277284E-2</v>
          </cell>
        </row>
        <row r="127">
          <cell r="B127" t="str">
            <v>TREAT</v>
          </cell>
          <cell r="C127">
            <v>10603.4</v>
          </cell>
          <cell r="D127">
            <v>16662.7</v>
          </cell>
          <cell r="G127">
            <v>81572.039999999994</v>
          </cell>
          <cell r="H127">
            <v>131264.47</v>
          </cell>
          <cell r="K127">
            <v>27266.1</v>
          </cell>
          <cell r="L127">
            <v>212836.51</v>
          </cell>
          <cell r="M127">
            <v>7.6930079031254124</v>
          </cell>
          <cell r="N127">
            <v>7.8777431028584797</v>
          </cell>
          <cell r="Q127">
            <v>7.8059022009014862</v>
          </cell>
          <cell r="R127" t="e">
            <v>#N/A</v>
          </cell>
          <cell r="S127">
            <v>1.3068606523748199E-2</v>
          </cell>
          <cell r="T127">
            <v>5.6658952867389761E-3</v>
          </cell>
          <cell r="U127">
            <v>0</v>
          </cell>
          <cell r="W127">
            <v>0.10053689327003122</v>
          </cell>
          <cell r="X127">
            <v>4.4634467516626336E-2</v>
          </cell>
          <cell r="Y127">
            <v>0</v>
          </cell>
          <cell r="Z127">
            <v>0</v>
          </cell>
          <cell r="AA127">
            <v>7.2630519116060888E-3</v>
          </cell>
          <cell r="AB127">
            <v>5.6694672902067714E-2</v>
          </cell>
        </row>
        <row r="128">
          <cell r="B128" t="str">
            <v>TRICK</v>
          </cell>
          <cell r="C128">
            <v>44291.1</v>
          </cell>
          <cell r="D128">
            <v>22897.8</v>
          </cell>
          <cell r="G128">
            <v>295923.27</v>
          </cell>
          <cell r="H128">
            <v>156715.21</v>
          </cell>
          <cell r="K128">
            <v>67188.899999999994</v>
          </cell>
          <cell r="L128">
            <v>452638.48</v>
          </cell>
          <cell r="M128">
            <v>6.6813258194084142</v>
          </cell>
          <cell r="N128">
            <v>6.8441164653372812</v>
          </cell>
          <cell r="Q128">
            <v>6.7368044424004561</v>
          </cell>
          <cell r="R128" t="e">
            <v>#N/A</v>
          </cell>
          <cell r="S128">
            <v>5.4588429975666659E-2</v>
          </cell>
          <cell r="T128">
            <v>7.7860453045839936E-3</v>
          </cell>
          <cell r="U128">
            <v>0</v>
          </cell>
          <cell r="W128">
            <v>0.36472308663738989</v>
          </cell>
          <cell r="X128">
            <v>5.3288600868965336E-2</v>
          </cell>
          <cell r="Y128">
            <v>0</v>
          </cell>
          <cell r="Z128">
            <v>0</v>
          </cell>
          <cell r="AA128">
            <v>1.7897552953437066E-2</v>
          </cell>
          <cell r="AB128">
            <v>0.12057231424481223</v>
          </cell>
        </row>
        <row r="129">
          <cell r="B129" t="str">
            <v>VIBE COMFORT</v>
          </cell>
          <cell r="C129">
            <v>343</v>
          </cell>
          <cell r="G129">
            <v>1715</v>
          </cell>
          <cell r="K129">
            <v>343</v>
          </cell>
          <cell r="L129">
            <v>1715</v>
          </cell>
          <cell r="M129">
            <v>5</v>
          </cell>
          <cell r="Q129">
            <v>5</v>
          </cell>
          <cell r="R129" t="e">
            <v>#N/A</v>
          </cell>
          <cell r="S129">
            <v>4.2274478352657003E-4</v>
          </cell>
          <cell r="T129">
            <v>0</v>
          </cell>
          <cell r="U129">
            <v>0</v>
          </cell>
          <cell r="W129">
            <v>2.11372391763285E-3</v>
          </cell>
          <cell r="X129">
            <v>0</v>
          </cell>
          <cell r="Y129">
            <v>0</v>
          </cell>
          <cell r="Z129">
            <v>0</v>
          </cell>
          <cell r="AA129">
            <v>9.1367185100945443E-5</v>
          </cell>
          <cell r="AB129">
            <v>4.5683592550472722E-4</v>
          </cell>
        </row>
        <row r="130">
          <cell r="B130" t="str">
            <v>VIBE CROSS</v>
          </cell>
          <cell r="C130">
            <v>234</v>
          </cell>
          <cell r="G130">
            <v>1073.8</v>
          </cell>
          <cell r="K130">
            <v>234</v>
          </cell>
          <cell r="L130">
            <v>1073.8</v>
          </cell>
          <cell r="M130">
            <v>4.5888888888888886</v>
          </cell>
          <cell r="Q130">
            <v>4.5888888888888886</v>
          </cell>
          <cell r="R130" t="e">
            <v>#N/A</v>
          </cell>
          <cell r="S130">
            <v>2.8840314677905946E-4</v>
          </cell>
          <cell r="T130">
            <v>0</v>
          </cell>
          <cell r="U130">
            <v>0</v>
          </cell>
          <cell r="W130">
            <v>1.3234499957750171E-3</v>
          </cell>
          <cell r="X130">
            <v>0</v>
          </cell>
          <cell r="Y130">
            <v>0</v>
          </cell>
          <cell r="Z130">
            <v>0</v>
          </cell>
          <cell r="AA130">
            <v>6.2332132109682906E-5</v>
          </cell>
          <cell r="AB130">
            <v>2.8603522845887819E-4</v>
          </cell>
        </row>
        <row r="131">
          <cell r="B131" t="str">
            <v>VIBE CROSS COMFORT</v>
          </cell>
          <cell r="C131">
            <v>193.3</v>
          </cell>
          <cell r="G131">
            <v>869.85</v>
          </cell>
          <cell r="K131">
            <v>193.3</v>
          </cell>
          <cell r="L131">
            <v>869.85</v>
          </cell>
          <cell r="M131">
            <v>4.5</v>
          </cell>
          <cell r="Q131">
            <v>4.5</v>
          </cell>
          <cell r="R131" t="e">
            <v>#N/A</v>
          </cell>
          <cell r="S131">
            <v>2.3824071911278714E-4</v>
          </cell>
          <cell r="T131">
            <v>0</v>
          </cell>
          <cell r="U131">
            <v>0</v>
          </cell>
          <cell r="W131">
            <v>1.0720832360075422E-3</v>
          </cell>
          <cell r="X131">
            <v>0</v>
          </cell>
          <cell r="Y131">
            <v>0</v>
          </cell>
          <cell r="Z131">
            <v>0</v>
          </cell>
          <cell r="AA131">
            <v>5.1490603148725236E-5</v>
          </cell>
          <cell r="AB131">
            <v>2.3170771416926357E-4</v>
          </cell>
        </row>
        <row r="132">
          <cell r="B132" t="str">
            <v>VIBE DENIM</v>
          </cell>
          <cell r="C132">
            <v>66</v>
          </cell>
          <cell r="G132">
            <v>297</v>
          </cell>
          <cell r="K132">
            <v>66</v>
          </cell>
          <cell r="L132">
            <v>297</v>
          </cell>
          <cell r="M132">
            <v>4.5</v>
          </cell>
          <cell r="Q132">
            <v>4.5</v>
          </cell>
          <cell r="R132" t="e">
            <v>#N/A</v>
          </cell>
          <cell r="S132">
            <v>8.134447729665779E-5</v>
          </cell>
          <cell r="T132">
            <v>0</v>
          </cell>
          <cell r="U132">
            <v>0</v>
          </cell>
          <cell r="W132">
            <v>3.6605014783496007E-4</v>
          </cell>
          <cell r="X132">
            <v>0</v>
          </cell>
          <cell r="Y132">
            <v>0</v>
          </cell>
          <cell r="Z132">
            <v>0</v>
          </cell>
          <cell r="AA132">
            <v>1.7580857774525946E-5</v>
          </cell>
          <cell r="AB132">
            <v>7.9113859985366759E-5</v>
          </cell>
        </row>
        <row r="133">
          <cell r="B133" t="str">
            <v>WALL DENIM</v>
          </cell>
          <cell r="C133">
            <v>120</v>
          </cell>
          <cell r="D133">
            <v>101</v>
          </cell>
          <cell r="G133">
            <v>600</v>
          </cell>
          <cell r="H133">
            <v>575.70000000000005</v>
          </cell>
          <cell r="K133">
            <v>221</v>
          </cell>
          <cell r="L133">
            <v>1175.7</v>
          </cell>
          <cell r="M133">
            <v>5</v>
          </cell>
          <cell r="N133">
            <v>5.7</v>
          </cell>
          <cell r="Q133">
            <v>5.3199095022624441</v>
          </cell>
          <cell r="R133">
            <v>0</v>
          </cell>
          <cell r="S133">
            <v>1.4789904963028689E-4</v>
          </cell>
          <cell r="T133">
            <v>3.4343499190445517E-5</v>
          </cell>
          <cell r="U133">
            <v>0</v>
          </cell>
          <cell r="W133">
            <v>7.3949524815143447E-4</v>
          </cell>
          <cell r="X133">
            <v>1.9575794538553945E-4</v>
          </cell>
          <cell r="Y133">
            <v>0</v>
          </cell>
          <cell r="Z133">
            <v>0</v>
          </cell>
          <cell r="AA133">
            <v>5.8869235881367182E-5</v>
          </cell>
          <cell r="AB133">
            <v>3.1317900735621451E-4</v>
          </cell>
        </row>
        <row r="134">
          <cell r="B134" t="str">
            <v>WIDE COMFORT</v>
          </cell>
          <cell r="C134">
            <v>26705.4</v>
          </cell>
          <cell r="G134">
            <v>151601.44</v>
          </cell>
          <cell r="K134">
            <v>26705.4</v>
          </cell>
          <cell r="L134">
            <v>151601.44</v>
          </cell>
          <cell r="M134">
            <v>5.6768084357470769</v>
          </cell>
          <cell r="Q134">
            <v>5.6768084357470769</v>
          </cell>
          <cell r="R134" t="e">
            <v>#N/A</v>
          </cell>
          <cell r="S134">
            <v>3.2914193999972197E-2</v>
          </cell>
          <cell r="T134">
            <v>0</v>
          </cell>
          <cell r="U134">
            <v>0</v>
          </cell>
          <cell r="W134">
            <v>0.186847574154858</v>
          </cell>
          <cell r="X134">
            <v>0</v>
          </cell>
          <cell r="Y134">
            <v>0</v>
          </cell>
          <cell r="Z134">
            <v>0</v>
          </cell>
          <cell r="AA134">
            <v>7.1136945335125035E-3</v>
          </cell>
          <cell r="AB134">
            <v>4.038308113717165E-2</v>
          </cell>
        </row>
        <row r="135">
          <cell r="B135" t="str">
            <v>XPRESS 12</v>
          </cell>
          <cell r="C135">
            <v>27748.2</v>
          </cell>
          <cell r="D135">
            <v>191396</v>
          </cell>
          <cell r="G135">
            <v>154121.75</v>
          </cell>
          <cell r="H135">
            <v>1079670.5900000001</v>
          </cell>
          <cell r="K135">
            <v>219144.2</v>
          </cell>
          <cell r="L135">
            <v>1233792.3400000001</v>
          </cell>
          <cell r="M135">
            <v>5.554297215675251</v>
          </cell>
          <cell r="N135">
            <v>5.6410300633242079</v>
          </cell>
          <cell r="Q135">
            <v>5.6300478862776204</v>
          </cell>
          <cell r="R135" t="e">
            <v>#N/A</v>
          </cell>
          <cell r="S135">
            <v>3.4199436741259387E-2</v>
          </cell>
          <cell r="T135">
            <v>6.5081271000539703E-2</v>
          </cell>
          <cell r="U135">
            <v>0</v>
          </cell>
          <cell r="W135">
            <v>0.18995383626963888</v>
          </cell>
          <cell r="X135">
            <v>0.36712540627339441</v>
          </cell>
          <cell r="Y135">
            <v>0</v>
          </cell>
          <cell r="Z135">
            <v>0</v>
          </cell>
          <cell r="AA135">
            <v>5.8374894125943474E-2</v>
          </cell>
          <cell r="AB135">
            <v>0.32865344928544793</v>
          </cell>
        </row>
        <row r="136">
          <cell r="B136" t="str">
            <v>XPRESS COMFORT</v>
          </cell>
          <cell r="C136">
            <v>18596.7</v>
          </cell>
          <cell r="D136">
            <v>53414.2</v>
          </cell>
          <cell r="G136">
            <v>104008.72</v>
          </cell>
          <cell r="H136">
            <v>330880.96000000002</v>
          </cell>
          <cell r="K136">
            <v>72010.899999999994</v>
          </cell>
          <cell r="L136">
            <v>434889.68</v>
          </cell>
          <cell r="M136">
            <v>5.5928589480929407</v>
          </cell>
          <cell r="N136">
            <v>6.1946253992384053</v>
          </cell>
          <cell r="Q136">
            <v>6.0392201736126063</v>
          </cell>
          <cell r="R136" t="e">
            <v>#N/A</v>
          </cell>
          <cell r="S136">
            <v>2.2920285468829637E-2</v>
          </cell>
          <cell r="T136">
            <v>1.816267855899302E-2</v>
          </cell>
          <cell r="U136">
            <v>0</v>
          </cell>
          <cell r="W136">
            <v>0.12818992367718843</v>
          </cell>
          <cell r="X136">
            <v>0.11251098991974096</v>
          </cell>
          <cell r="Y136">
            <v>0</v>
          </cell>
          <cell r="Z136">
            <v>0</v>
          </cell>
          <cell r="AA136">
            <v>1.918202107750925E-2</v>
          </cell>
          <cell r="AB136">
            <v>0.11584444866195609</v>
          </cell>
        </row>
        <row r="137">
          <cell r="B137" t="str">
            <v>Total geral</v>
          </cell>
          <cell r="C137">
            <v>2210582.7400000002</v>
          </cell>
          <cell r="D137">
            <v>10524783.999999998</v>
          </cell>
          <cell r="E137">
            <v>22693.1</v>
          </cell>
          <cell r="F137">
            <v>0</v>
          </cell>
          <cell r="G137">
            <v>12361950.270000001</v>
          </cell>
          <cell r="H137">
            <v>58568140.220000006</v>
          </cell>
          <cell r="I137">
            <v>118684.33999999998</v>
          </cell>
          <cell r="J137">
            <v>0</v>
          </cell>
          <cell r="K137">
            <v>12758059.840000005</v>
          </cell>
          <cell r="L137">
            <v>71048774.829999998</v>
          </cell>
        </row>
        <row r="138">
          <cell r="B138" t="str">
            <v>Outros</v>
          </cell>
          <cell r="C138">
            <v>811364.24</v>
          </cell>
          <cell r="D138">
            <v>2940876.7999999998</v>
          </cell>
          <cell r="E138">
            <v>1842</v>
          </cell>
          <cell r="F138">
            <v>0</v>
          </cell>
          <cell r="G138">
            <v>4872474.46</v>
          </cell>
          <cell r="H138">
            <v>16995952.84</v>
          </cell>
          <cell r="I138">
            <v>11902.810000000001</v>
          </cell>
          <cell r="J138">
            <v>0</v>
          </cell>
          <cell r="K138">
            <v>3754083.04</v>
          </cell>
          <cell r="L138">
            <v>21880330.110000007</v>
          </cell>
          <cell r="Q138">
            <v>5.8284086624786022</v>
          </cell>
          <cell r="S138">
            <v>1.0000000000000004</v>
          </cell>
          <cell r="T138">
            <v>0.99999999999999967</v>
          </cell>
          <cell r="U138">
            <v>1</v>
          </cell>
          <cell r="V138">
            <v>0</v>
          </cell>
          <cell r="W138">
            <v>6.0052861831820445</v>
          </cell>
          <cell r="X138">
            <v>5.7792127980335675</v>
          </cell>
          <cell r="Y138">
            <v>6.4618946796959822</v>
          </cell>
          <cell r="Z138">
            <v>0</v>
          </cell>
          <cell r="AA138">
            <v>0.87097477737200013</v>
          </cell>
          <cell r="AB138">
            <v>5.1163245818877794</v>
          </cell>
        </row>
      </sheetData>
      <sheetData sheetId="1" refreshError="1">
        <row r="3">
          <cell r="C3" t="str">
            <v>Soma de metragem</v>
          </cell>
          <cell r="F3" t="str">
            <v>Soma de valor</v>
          </cell>
          <cell r="G3" t="str">
            <v>Soma de Valor Total</v>
          </cell>
          <cell r="K3" t="str">
            <v>Total Soma de Metragem</v>
          </cell>
          <cell r="L3" t="str">
            <v>Total Soma de Valor Total</v>
          </cell>
          <cell r="M3" t="str">
            <v>Preço médio</v>
          </cell>
        </row>
        <row r="4">
          <cell r="B4" t="str">
            <v>Tecido</v>
          </cell>
          <cell r="C4" t="str">
            <v>CO</v>
          </cell>
          <cell r="D4" t="str">
            <v>NO</v>
          </cell>
          <cell r="E4" t="str">
            <v>SUD</v>
          </cell>
          <cell r="F4" t="str">
            <v>SUL</v>
          </cell>
          <cell r="G4" t="str">
            <v>CO</v>
          </cell>
          <cell r="H4" t="str">
            <v>NO</v>
          </cell>
          <cell r="I4" t="str">
            <v>SUD</v>
          </cell>
          <cell r="J4" t="str">
            <v>SUL</v>
          </cell>
          <cell r="M4" t="str">
            <v>CO</v>
          </cell>
          <cell r="N4" t="str">
            <v>Nordeste</v>
          </cell>
          <cell r="O4" t="str">
            <v>Sudeste</v>
          </cell>
          <cell r="P4" t="str">
            <v>Sul</v>
          </cell>
          <cell r="Q4" t="str">
            <v>Total</v>
          </cell>
          <cell r="R4" t="str">
            <v>CO</v>
          </cell>
          <cell r="S4" t="str">
            <v>Nordeste</v>
          </cell>
          <cell r="T4" t="str">
            <v>Sudeste</v>
          </cell>
          <cell r="U4" t="str">
            <v>Sul</v>
          </cell>
        </row>
        <row r="5">
          <cell r="B5" t="str">
            <v>CHESS</v>
          </cell>
          <cell r="C5">
            <v>839</v>
          </cell>
          <cell r="D5">
            <v>2550.6</v>
          </cell>
          <cell r="G5">
            <v>4511.28</v>
          </cell>
          <cell r="H5">
            <v>17368.23</v>
          </cell>
          <cell r="K5">
            <v>3389.6</v>
          </cell>
          <cell r="L5">
            <v>21879.51</v>
          </cell>
          <cell r="M5">
            <v>5.3769725864123954</v>
          </cell>
          <cell r="N5">
            <v>6.8094683603857913</v>
          </cell>
          <cell r="O5">
            <v>0</v>
          </cell>
          <cell r="P5">
            <v>0</v>
          </cell>
          <cell r="Q5">
            <v>6.454894382818031</v>
          </cell>
          <cell r="R5">
            <v>0.24752183148454096</v>
          </cell>
          <cell r="S5">
            <v>0.75247816851545901</v>
          </cell>
          <cell r="T5">
            <v>0</v>
          </cell>
          <cell r="U5">
            <v>0</v>
          </cell>
        </row>
        <row r="6">
          <cell r="B6" t="str">
            <v>CHRONIC</v>
          </cell>
          <cell r="C6">
            <v>400.3</v>
          </cell>
          <cell r="D6">
            <v>1121</v>
          </cell>
          <cell r="G6">
            <v>2410.4499999999998</v>
          </cell>
          <cell r="H6">
            <v>7462.56</v>
          </cell>
          <cell r="K6">
            <v>1521.3</v>
          </cell>
          <cell r="L6">
            <v>9873.01</v>
          </cell>
          <cell r="M6">
            <v>6.0216087934049458</v>
          </cell>
          <cell r="N6">
            <v>6.6570561998215885</v>
          </cell>
          <cell r="O6">
            <v>0</v>
          </cell>
          <cell r="P6">
            <v>0</v>
          </cell>
          <cell r="Q6">
            <v>6.4898507855123908</v>
          </cell>
          <cell r="R6">
            <v>0.26313021757707228</v>
          </cell>
          <cell r="S6">
            <v>0.73686978242292778</v>
          </cell>
          <cell r="T6">
            <v>0</v>
          </cell>
          <cell r="U6">
            <v>0</v>
          </cell>
        </row>
        <row r="7">
          <cell r="B7" t="str">
            <v>CHRONIC 10</v>
          </cell>
          <cell r="C7">
            <v>357.8</v>
          </cell>
          <cell r="G7">
            <v>2039.46</v>
          </cell>
          <cell r="K7">
            <v>357.8</v>
          </cell>
          <cell r="L7">
            <v>2039.46</v>
          </cell>
          <cell r="M7">
            <v>5.7</v>
          </cell>
          <cell r="N7">
            <v>0</v>
          </cell>
          <cell r="O7">
            <v>0</v>
          </cell>
          <cell r="P7">
            <v>0</v>
          </cell>
          <cell r="Q7">
            <v>5.7</v>
          </cell>
          <cell r="R7">
            <v>1</v>
          </cell>
          <cell r="S7">
            <v>0</v>
          </cell>
          <cell r="T7">
            <v>0</v>
          </cell>
          <cell r="U7">
            <v>0</v>
          </cell>
        </row>
        <row r="8">
          <cell r="B8" t="str">
            <v>CHRONIC DENIM</v>
          </cell>
          <cell r="C8">
            <v>325.39999999999998</v>
          </cell>
          <cell r="D8">
            <v>10069.6</v>
          </cell>
          <cell r="G8">
            <v>2134.8000000000002</v>
          </cell>
          <cell r="H8">
            <v>75489.899999999994</v>
          </cell>
          <cell r="K8">
            <v>10395</v>
          </cell>
          <cell r="L8">
            <v>77624.7</v>
          </cell>
          <cell r="M8">
            <v>6.5605408727719743</v>
          </cell>
          <cell r="N8">
            <v>7.4968121871772455</v>
          </cell>
          <cell r="O8">
            <v>0</v>
          </cell>
          <cell r="P8">
            <v>0</v>
          </cell>
          <cell r="Q8">
            <v>7.4675036075036072</v>
          </cell>
          <cell r="R8">
            <v>3.1303511303511299E-2</v>
          </cell>
          <cell r="S8">
            <v>0.96869648869648872</v>
          </cell>
          <cell r="T8">
            <v>0</v>
          </cell>
          <cell r="U8">
            <v>0</v>
          </cell>
        </row>
        <row r="9">
          <cell r="B9" t="str">
            <v>CODE</v>
          </cell>
          <cell r="D9">
            <v>1970.9</v>
          </cell>
          <cell r="H9">
            <v>13599.21</v>
          </cell>
          <cell r="K9">
            <v>1970.9</v>
          </cell>
          <cell r="L9">
            <v>13599.21</v>
          </cell>
          <cell r="M9">
            <v>0</v>
          </cell>
          <cell r="N9">
            <v>6.8999999999999995</v>
          </cell>
          <cell r="O9">
            <v>0</v>
          </cell>
          <cell r="P9">
            <v>0</v>
          </cell>
          <cell r="Q9">
            <v>6.8999999999999995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</row>
        <row r="10">
          <cell r="B10" t="str">
            <v>COMANDO</v>
          </cell>
          <cell r="C10">
            <v>514</v>
          </cell>
          <cell r="D10">
            <v>84769.8</v>
          </cell>
          <cell r="G10">
            <v>2827</v>
          </cell>
          <cell r="H10">
            <v>476877.46</v>
          </cell>
          <cell r="K10">
            <v>85283.8</v>
          </cell>
          <cell r="L10">
            <v>479704.46</v>
          </cell>
          <cell r="M10">
            <v>5.5</v>
          </cell>
          <cell r="N10">
            <v>5.6255583946169505</v>
          </cell>
          <cell r="O10">
            <v>0</v>
          </cell>
          <cell r="P10">
            <v>0</v>
          </cell>
          <cell r="Q10">
            <v>5.624801662214864</v>
          </cell>
          <cell r="R10">
            <v>6.0269359479760516E-3</v>
          </cell>
          <cell r="S10">
            <v>0.9939730640520239</v>
          </cell>
          <cell r="T10">
            <v>0</v>
          </cell>
          <cell r="U10">
            <v>0</v>
          </cell>
        </row>
        <row r="11">
          <cell r="B11" t="str">
            <v>COMANDO 08</v>
          </cell>
          <cell r="D11">
            <v>5574.4</v>
          </cell>
          <cell r="H11">
            <v>32778.699999999997</v>
          </cell>
          <cell r="K11">
            <v>5574.4</v>
          </cell>
          <cell r="L11">
            <v>32778.699999999997</v>
          </cell>
          <cell r="M11">
            <v>0</v>
          </cell>
          <cell r="N11">
            <v>5.8802202927669347</v>
          </cell>
          <cell r="O11">
            <v>0</v>
          </cell>
          <cell r="P11">
            <v>0</v>
          </cell>
          <cell r="Q11">
            <v>5.8802202927669347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</row>
        <row r="12">
          <cell r="B12" t="str">
            <v>COMANDO 12</v>
          </cell>
          <cell r="D12">
            <v>14599.3</v>
          </cell>
          <cell r="H12">
            <v>94781.15</v>
          </cell>
          <cell r="K12">
            <v>14599.3</v>
          </cell>
          <cell r="L12">
            <v>94781.15</v>
          </cell>
          <cell r="M12">
            <v>0</v>
          </cell>
          <cell r="N12">
            <v>6.4921708575068671</v>
          </cell>
          <cell r="O12">
            <v>0</v>
          </cell>
          <cell r="P12">
            <v>0</v>
          </cell>
          <cell r="Q12">
            <v>6.4921708575068671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</row>
        <row r="13">
          <cell r="B13" t="str">
            <v>COMANDO CROSS</v>
          </cell>
          <cell r="D13">
            <v>28861.4</v>
          </cell>
          <cell r="H13">
            <v>169754.45</v>
          </cell>
          <cell r="K13">
            <v>28861.4</v>
          </cell>
          <cell r="L13">
            <v>169754.45</v>
          </cell>
          <cell r="M13">
            <v>0</v>
          </cell>
          <cell r="N13">
            <v>5.8817122523508907</v>
          </cell>
          <cell r="O13">
            <v>0</v>
          </cell>
          <cell r="P13">
            <v>0</v>
          </cell>
          <cell r="Q13">
            <v>5.8817122523508907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</row>
        <row r="14">
          <cell r="B14" t="str">
            <v>COMANDO CROSS BROKEN</v>
          </cell>
          <cell r="C14">
            <v>5</v>
          </cell>
          <cell r="D14">
            <v>4596</v>
          </cell>
          <cell r="G14">
            <v>32.549999999999997</v>
          </cell>
          <cell r="H14">
            <v>30477.96</v>
          </cell>
          <cell r="K14">
            <v>4601</v>
          </cell>
          <cell r="L14">
            <v>30510.51</v>
          </cell>
          <cell r="M14">
            <v>6.51</v>
          </cell>
          <cell r="N14">
            <v>6.6314099216710183</v>
          </cell>
          <cell r="O14">
            <v>0</v>
          </cell>
          <cell r="P14">
            <v>0</v>
          </cell>
          <cell r="Q14">
            <v>6.6312779830471635</v>
          </cell>
          <cell r="R14">
            <v>1.0867202782003911E-3</v>
          </cell>
          <cell r="S14">
            <v>0.99891327972179966</v>
          </cell>
          <cell r="T14">
            <v>0</v>
          </cell>
          <cell r="U14">
            <v>0</v>
          </cell>
        </row>
        <row r="15">
          <cell r="B15" t="str">
            <v>COMANDO CROSS PE</v>
          </cell>
          <cell r="C15">
            <v>125.8</v>
          </cell>
          <cell r="G15">
            <v>691.9</v>
          </cell>
          <cell r="K15">
            <v>125.8</v>
          </cell>
          <cell r="L15">
            <v>691.9</v>
          </cell>
          <cell r="M15">
            <v>5.5</v>
          </cell>
          <cell r="N15">
            <v>0</v>
          </cell>
          <cell r="O15">
            <v>0</v>
          </cell>
          <cell r="P15">
            <v>0</v>
          </cell>
          <cell r="Q15">
            <v>5.5</v>
          </cell>
          <cell r="R15">
            <v>1</v>
          </cell>
          <cell r="S15">
            <v>0</v>
          </cell>
          <cell r="T15">
            <v>0</v>
          </cell>
          <cell r="U15">
            <v>0</v>
          </cell>
        </row>
        <row r="16">
          <cell r="B16" t="str">
            <v>COMMANDER</v>
          </cell>
          <cell r="D16">
            <v>9505.2000000000007</v>
          </cell>
          <cell r="H16">
            <v>73125.05</v>
          </cell>
          <cell r="K16">
            <v>9505.2000000000007</v>
          </cell>
          <cell r="L16">
            <v>73125.05</v>
          </cell>
          <cell r="M16">
            <v>0</v>
          </cell>
          <cell r="N16">
            <v>7.6931626898960568</v>
          </cell>
          <cell r="O16">
            <v>0</v>
          </cell>
          <cell r="P16">
            <v>0</v>
          </cell>
          <cell r="Q16">
            <v>7.6931626898960568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</row>
        <row r="17">
          <cell r="B17" t="str">
            <v>COMMANDER COMFORT</v>
          </cell>
          <cell r="C17">
            <v>3578.2</v>
          </cell>
          <cell r="D17">
            <v>2094.9</v>
          </cell>
          <cell r="E17">
            <v>190.7</v>
          </cell>
          <cell r="G17">
            <v>28551.56</v>
          </cell>
          <cell r="H17">
            <v>17428.22</v>
          </cell>
          <cell r="I17">
            <v>1516.07</v>
          </cell>
          <cell r="K17">
            <v>5863.8</v>
          </cell>
          <cell r="L17">
            <v>47495.85</v>
          </cell>
          <cell r="M17">
            <v>7.9793080319713834</v>
          </cell>
          <cell r="N17">
            <v>8.3193565325313852</v>
          </cell>
          <cell r="O17">
            <v>7.9500262191924493</v>
          </cell>
          <cell r="P17">
            <v>0</v>
          </cell>
          <cell r="Q17">
            <v>8.0998413997748901</v>
          </cell>
          <cell r="R17">
            <v>0.61021862955762474</v>
          </cell>
          <cell r="S17">
            <v>0.35725979740100278</v>
          </cell>
          <cell r="T17">
            <v>3.2521573041372487E-2</v>
          </cell>
          <cell r="U17">
            <v>0</v>
          </cell>
        </row>
        <row r="18">
          <cell r="B18" t="str">
            <v>COMMANDER CROSS</v>
          </cell>
          <cell r="C18">
            <v>2793.4</v>
          </cell>
          <cell r="D18">
            <v>612.79999999999995</v>
          </cell>
          <cell r="G18">
            <v>21665.43</v>
          </cell>
          <cell r="H18">
            <v>4779.12</v>
          </cell>
          <cell r="K18">
            <v>3406.2</v>
          </cell>
          <cell r="L18">
            <v>26444.55</v>
          </cell>
          <cell r="M18">
            <v>7.7559354192024053</v>
          </cell>
          <cell r="N18">
            <v>7.7988250652741522</v>
          </cell>
          <cell r="O18">
            <v>0</v>
          </cell>
          <cell r="P18">
            <v>0</v>
          </cell>
          <cell r="Q18">
            <v>7.7636515765369039</v>
          </cell>
          <cell r="R18">
            <v>0.82009277200399278</v>
          </cell>
          <cell r="S18">
            <v>0.17990722799600728</v>
          </cell>
          <cell r="T18">
            <v>0</v>
          </cell>
          <cell r="U18">
            <v>0</v>
          </cell>
        </row>
        <row r="19">
          <cell r="B19" t="str">
            <v>COSMIC</v>
          </cell>
          <cell r="C19">
            <v>468.6</v>
          </cell>
          <cell r="D19">
            <v>1270.9000000000001</v>
          </cell>
          <cell r="G19">
            <v>3275.04</v>
          </cell>
          <cell r="H19">
            <v>9150.48</v>
          </cell>
          <cell r="K19">
            <v>1739.5</v>
          </cell>
          <cell r="L19">
            <v>12425.52</v>
          </cell>
          <cell r="M19">
            <v>6.9889884763124197</v>
          </cell>
          <cell r="N19">
            <v>7.1999999999999993</v>
          </cell>
          <cell r="O19">
            <v>0</v>
          </cell>
          <cell r="P19">
            <v>0</v>
          </cell>
          <cell r="Q19">
            <v>7.1431560793331421</v>
          </cell>
          <cell r="R19">
            <v>0.26938775510204083</v>
          </cell>
          <cell r="S19">
            <v>0.73061224489795928</v>
          </cell>
          <cell r="T19">
            <v>0</v>
          </cell>
          <cell r="U19">
            <v>0</v>
          </cell>
        </row>
        <row r="20">
          <cell r="B20" t="str">
            <v>COVER DENIM</v>
          </cell>
          <cell r="C20">
            <v>361.5</v>
          </cell>
          <cell r="G20">
            <v>1988.25</v>
          </cell>
          <cell r="K20">
            <v>361.5</v>
          </cell>
          <cell r="L20">
            <v>1988.25</v>
          </cell>
          <cell r="M20">
            <v>5.5</v>
          </cell>
          <cell r="N20">
            <v>0</v>
          </cell>
          <cell r="O20">
            <v>0</v>
          </cell>
          <cell r="P20">
            <v>0</v>
          </cell>
          <cell r="Q20">
            <v>5.5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</row>
        <row r="21">
          <cell r="B21" t="str">
            <v>DECK DENIM</v>
          </cell>
          <cell r="D21">
            <v>19883.7</v>
          </cell>
          <cell r="H21">
            <v>125684.46</v>
          </cell>
          <cell r="K21">
            <v>19883.7</v>
          </cell>
          <cell r="L21">
            <v>125684.46</v>
          </cell>
          <cell r="M21">
            <v>0</v>
          </cell>
          <cell r="N21">
            <v>6.3209794957678902</v>
          </cell>
          <cell r="O21">
            <v>0</v>
          </cell>
          <cell r="P21">
            <v>0</v>
          </cell>
          <cell r="Q21">
            <v>6.3209794957678902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</row>
        <row r="22">
          <cell r="B22" t="str">
            <v>DONE</v>
          </cell>
          <cell r="C22">
            <v>333.9</v>
          </cell>
          <cell r="D22">
            <v>130.69999999999999</v>
          </cell>
          <cell r="G22">
            <v>2421.42</v>
          </cell>
          <cell r="H22">
            <v>901.83</v>
          </cell>
          <cell r="K22">
            <v>464.6</v>
          </cell>
          <cell r="L22">
            <v>3323.25</v>
          </cell>
          <cell r="M22">
            <v>7.2519317160826606</v>
          </cell>
          <cell r="N22">
            <v>6.9000000000000012</v>
          </cell>
          <cell r="O22">
            <v>0</v>
          </cell>
          <cell r="P22">
            <v>0</v>
          </cell>
          <cell r="Q22">
            <v>7.1529272492466633</v>
          </cell>
          <cell r="R22">
            <v>0.71868273783900116</v>
          </cell>
          <cell r="S22">
            <v>0.28131726216099867</v>
          </cell>
          <cell r="T22">
            <v>0</v>
          </cell>
          <cell r="U22">
            <v>0</v>
          </cell>
        </row>
        <row r="23">
          <cell r="B23" t="str">
            <v>EXCEL 06</v>
          </cell>
          <cell r="C23">
            <v>502</v>
          </cell>
          <cell r="D23">
            <v>1461</v>
          </cell>
          <cell r="G23">
            <v>2595.8000000000002</v>
          </cell>
          <cell r="H23">
            <v>7338.5</v>
          </cell>
          <cell r="K23">
            <v>1963</v>
          </cell>
          <cell r="L23">
            <v>9934.2999999999993</v>
          </cell>
          <cell r="M23">
            <v>5.1709163346613547</v>
          </cell>
          <cell r="N23">
            <v>5.0229295003422312</v>
          </cell>
          <cell r="O23">
            <v>0</v>
          </cell>
          <cell r="P23">
            <v>0</v>
          </cell>
          <cell r="Q23">
            <v>5.0607743250127353</v>
          </cell>
          <cell r="R23">
            <v>0.25573102394294445</v>
          </cell>
          <cell r="S23">
            <v>0.74426897605705555</v>
          </cell>
          <cell r="T23">
            <v>0</v>
          </cell>
          <cell r="U23">
            <v>0</v>
          </cell>
        </row>
        <row r="24">
          <cell r="B24" t="str">
            <v>EXCEL 08</v>
          </cell>
          <cell r="C24">
            <v>1021.5</v>
          </cell>
          <cell r="D24">
            <v>3326.6</v>
          </cell>
          <cell r="G24">
            <v>4596.75</v>
          </cell>
          <cell r="H24">
            <v>17931.64</v>
          </cell>
          <cell r="K24">
            <v>4348.1000000000004</v>
          </cell>
          <cell r="L24">
            <v>22528.39</v>
          </cell>
          <cell r="M24">
            <v>4.5</v>
          </cell>
          <cell r="N24">
            <v>5.3903805687488724</v>
          </cell>
          <cell r="O24">
            <v>0</v>
          </cell>
          <cell r="P24">
            <v>0</v>
          </cell>
          <cell r="Q24">
            <v>5.1812032841930948</v>
          </cell>
          <cell r="R24">
            <v>0.23493019939743795</v>
          </cell>
          <cell r="S24">
            <v>0.76506980060256191</v>
          </cell>
          <cell r="T24">
            <v>0</v>
          </cell>
          <cell r="U24">
            <v>0</v>
          </cell>
        </row>
        <row r="25">
          <cell r="B25" t="str">
            <v>EXCEL 10</v>
          </cell>
          <cell r="D25">
            <v>15479</v>
          </cell>
          <cell r="H25">
            <v>92874</v>
          </cell>
          <cell r="K25">
            <v>15479</v>
          </cell>
          <cell r="L25">
            <v>92874</v>
          </cell>
          <cell r="M25">
            <v>0</v>
          </cell>
          <cell r="N25">
            <v>6</v>
          </cell>
          <cell r="O25">
            <v>0</v>
          </cell>
          <cell r="P25">
            <v>0</v>
          </cell>
          <cell r="Q25">
            <v>6</v>
          </cell>
          <cell r="R25">
            <v>0</v>
          </cell>
          <cell r="S25">
            <v>1</v>
          </cell>
          <cell r="T25">
            <v>0</v>
          </cell>
          <cell r="U25">
            <v>0</v>
          </cell>
        </row>
        <row r="26">
          <cell r="B26" t="str">
            <v>EXITUS</v>
          </cell>
          <cell r="D26">
            <v>1903.9</v>
          </cell>
          <cell r="H26">
            <v>12375.35</v>
          </cell>
          <cell r="K26">
            <v>1903.9</v>
          </cell>
          <cell r="L26">
            <v>12375.35</v>
          </cell>
          <cell r="M26">
            <v>0</v>
          </cell>
          <cell r="N26">
            <v>6.5</v>
          </cell>
          <cell r="O26">
            <v>0</v>
          </cell>
          <cell r="P26">
            <v>0</v>
          </cell>
          <cell r="Q26">
            <v>6.5</v>
          </cell>
          <cell r="R26">
            <v>0</v>
          </cell>
          <cell r="S26">
            <v>1</v>
          </cell>
          <cell r="T26">
            <v>0</v>
          </cell>
          <cell r="U26">
            <v>0</v>
          </cell>
        </row>
        <row r="27">
          <cell r="B27" t="str">
            <v>FICTION BROKEN</v>
          </cell>
          <cell r="C27">
            <v>583.1</v>
          </cell>
          <cell r="D27">
            <v>1882.6</v>
          </cell>
          <cell r="G27">
            <v>4472.0600000000004</v>
          </cell>
          <cell r="H27">
            <v>14417.47</v>
          </cell>
          <cell r="K27">
            <v>2465.6999999999998</v>
          </cell>
          <cell r="L27">
            <v>18889.53</v>
          </cell>
          <cell r="M27">
            <v>7.6694563539701601</v>
          </cell>
          <cell r="N27">
            <v>7.6582757888027198</v>
          </cell>
          <cell r="O27">
            <v>0</v>
          </cell>
          <cell r="P27">
            <v>0</v>
          </cell>
          <cell r="Q27">
            <v>7.6609198199294317</v>
          </cell>
          <cell r="R27">
            <v>0.23648456827675712</v>
          </cell>
          <cell r="S27">
            <v>0.76351543172324288</v>
          </cell>
          <cell r="T27">
            <v>0</v>
          </cell>
          <cell r="U27">
            <v>0</v>
          </cell>
        </row>
        <row r="28">
          <cell r="B28" t="str">
            <v>FICTION COMFORT</v>
          </cell>
          <cell r="C28">
            <v>36.5</v>
          </cell>
          <cell r="D28">
            <v>1673.8</v>
          </cell>
          <cell r="E28">
            <v>227.9</v>
          </cell>
          <cell r="G28">
            <v>275.7</v>
          </cell>
          <cell r="H28">
            <v>13327.49</v>
          </cell>
          <cell r="I28">
            <v>1709.25</v>
          </cell>
          <cell r="K28">
            <v>1938.2</v>
          </cell>
          <cell r="L28">
            <v>15312.44</v>
          </cell>
          <cell r="M28">
            <v>7.5534246575342463</v>
          </cell>
          <cell r="N28">
            <v>7.9624148643804515</v>
          </cell>
          <cell r="O28">
            <v>7.5</v>
          </cell>
          <cell r="P28">
            <v>0</v>
          </cell>
          <cell r="Q28">
            <v>7.9003405221339387</v>
          </cell>
          <cell r="R28">
            <v>1.8831905892064803E-2</v>
          </cell>
          <cell r="S28">
            <v>0.86358476937364559</v>
          </cell>
          <cell r="T28">
            <v>0.11758332473428955</v>
          </cell>
          <cell r="U28">
            <v>0</v>
          </cell>
        </row>
        <row r="29">
          <cell r="B29" t="str">
            <v>FINE COMFORT</v>
          </cell>
          <cell r="C29">
            <v>5</v>
          </cell>
          <cell r="D29">
            <v>60</v>
          </cell>
          <cell r="E29">
            <v>145</v>
          </cell>
          <cell r="G29">
            <v>46.8</v>
          </cell>
          <cell r="H29">
            <v>527.29999999999995</v>
          </cell>
          <cell r="I29">
            <v>1290.5</v>
          </cell>
          <cell r="K29">
            <v>210</v>
          </cell>
          <cell r="L29">
            <v>1864.6</v>
          </cell>
          <cell r="M29">
            <v>9.36</v>
          </cell>
          <cell r="N29">
            <v>8.7883333333333322</v>
          </cell>
          <cell r="O29">
            <v>8.9</v>
          </cell>
          <cell r="P29">
            <v>0</v>
          </cell>
          <cell r="Q29">
            <v>8.8790476190476184</v>
          </cell>
          <cell r="R29">
            <v>2.3809523809523808E-2</v>
          </cell>
          <cell r="S29">
            <v>0.2857142857142857</v>
          </cell>
          <cell r="T29">
            <v>0.69047619047619047</v>
          </cell>
          <cell r="U29">
            <v>0</v>
          </cell>
        </row>
        <row r="30">
          <cell r="B30" t="str">
            <v>FIT</v>
          </cell>
          <cell r="C30">
            <v>43246.8</v>
          </cell>
          <cell r="D30">
            <v>290245.8</v>
          </cell>
          <cell r="E30">
            <v>15</v>
          </cell>
          <cell r="G30">
            <v>256672.79</v>
          </cell>
          <cell r="H30">
            <v>1752681.57</v>
          </cell>
          <cell r="I30">
            <v>114</v>
          </cell>
          <cell r="K30">
            <v>333507.59999999998</v>
          </cell>
          <cell r="L30">
            <v>2009468.36</v>
          </cell>
          <cell r="M30">
            <v>5.9350701092335152</v>
          </cell>
          <cell r="N30">
            <v>6.0386113080706085</v>
          </cell>
          <cell r="O30">
            <v>7.6</v>
          </cell>
          <cell r="P30">
            <v>0</v>
          </cell>
          <cell r="Q30">
            <v>6.0252550766459301</v>
          </cell>
          <cell r="R30">
            <v>0.12967260716097626</v>
          </cell>
          <cell r="S30">
            <v>0.87028241635273085</v>
          </cell>
          <cell r="T30">
            <v>4.4976486292966044E-5</v>
          </cell>
          <cell r="U30">
            <v>0</v>
          </cell>
        </row>
        <row r="31">
          <cell r="B31" t="str">
            <v>FLASH COMFORT</v>
          </cell>
          <cell r="D31">
            <v>3141.9</v>
          </cell>
          <cell r="H31">
            <v>27962.91</v>
          </cell>
          <cell r="K31">
            <v>3141.9</v>
          </cell>
          <cell r="L31">
            <v>27962.91</v>
          </cell>
          <cell r="M31">
            <v>0</v>
          </cell>
          <cell r="N31">
            <v>8.9</v>
          </cell>
          <cell r="O31">
            <v>0</v>
          </cell>
          <cell r="P31">
            <v>0</v>
          </cell>
          <cell r="Q31">
            <v>8.9</v>
          </cell>
          <cell r="R31">
            <v>0</v>
          </cell>
          <cell r="S31">
            <v>1</v>
          </cell>
          <cell r="T31">
            <v>0</v>
          </cell>
          <cell r="U31">
            <v>0</v>
          </cell>
        </row>
        <row r="32">
          <cell r="B32" t="str">
            <v>FRAME BLUE</v>
          </cell>
          <cell r="D32">
            <v>5</v>
          </cell>
          <cell r="H32">
            <v>37.5</v>
          </cell>
          <cell r="K32">
            <v>5</v>
          </cell>
          <cell r="L32">
            <v>37.5</v>
          </cell>
          <cell r="M32">
            <v>0</v>
          </cell>
          <cell r="N32">
            <v>7.5</v>
          </cell>
          <cell r="O32">
            <v>0</v>
          </cell>
          <cell r="P32">
            <v>0</v>
          </cell>
          <cell r="Q32">
            <v>7.5</v>
          </cell>
          <cell r="R32">
            <v>0</v>
          </cell>
          <cell r="S32">
            <v>1</v>
          </cell>
          <cell r="T32">
            <v>0</v>
          </cell>
          <cell r="U32">
            <v>0</v>
          </cell>
        </row>
        <row r="33">
          <cell r="B33" t="str">
            <v>FRAME GREY</v>
          </cell>
          <cell r="C33">
            <v>50</v>
          </cell>
          <cell r="D33">
            <v>5</v>
          </cell>
          <cell r="E33">
            <v>119.8</v>
          </cell>
          <cell r="G33">
            <v>360</v>
          </cell>
          <cell r="H33">
            <v>36</v>
          </cell>
          <cell r="I33">
            <v>862.56</v>
          </cell>
          <cell r="K33">
            <v>174.8</v>
          </cell>
          <cell r="L33">
            <v>1258.56</v>
          </cell>
          <cell r="M33">
            <v>7.2</v>
          </cell>
          <cell r="N33">
            <v>7.2</v>
          </cell>
          <cell r="O33">
            <v>7.1999999999999993</v>
          </cell>
          <cell r="P33">
            <v>0</v>
          </cell>
          <cell r="Q33">
            <v>7.1999999999999993</v>
          </cell>
          <cell r="R33">
            <v>0.28604118993135008</v>
          </cell>
          <cell r="S33">
            <v>2.860411899313501E-2</v>
          </cell>
          <cell r="T33">
            <v>0.68535469107551483</v>
          </cell>
          <cell r="U33">
            <v>0</v>
          </cell>
        </row>
        <row r="34">
          <cell r="B34" t="str">
            <v>FREEZE COMFORT</v>
          </cell>
          <cell r="D34">
            <v>2016.8</v>
          </cell>
          <cell r="H34">
            <v>17942.82</v>
          </cell>
          <cell r="K34">
            <v>2016.8</v>
          </cell>
          <cell r="L34">
            <v>17942.82</v>
          </cell>
          <cell r="M34">
            <v>0</v>
          </cell>
          <cell r="N34">
            <v>8.8966779055930179</v>
          </cell>
          <cell r="O34">
            <v>0</v>
          </cell>
          <cell r="P34">
            <v>0</v>
          </cell>
          <cell r="Q34">
            <v>8.8966779055930179</v>
          </cell>
          <cell r="R34">
            <v>0</v>
          </cell>
          <cell r="S34">
            <v>1</v>
          </cell>
          <cell r="T34">
            <v>0</v>
          </cell>
          <cell r="U34">
            <v>0</v>
          </cell>
        </row>
        <row r="35">
          <cell r="B35" t="str">
            <v>GUETO 10</v>
          </cell>
          <cell r="C35">
            <v>130</v>
          </cell>
          <cell r="G35">
            <v>741</v>
          </cell>
          <cell r="K35">
            <v>130</v>
          </cell>
          <cell r="L35">
            <v>741</v>
          </cell>
          <cell r="M35">
            <v>5.7</v>
          </cell>
          <cell r="N35">
            <v>0</v>
          </cell>
          <cell r="O35">
            <v>0</v>
          </cell>
          <cell r="P35">
            <v>0</v>
          </cell>
          <cell r="Q35">
            <v>5.7</v>
          </cell>
          <cell r="R35">
            <v>1</v>
          </cell>
          <cell r="S35">
            <v>0</v>
          </cell>
          <cell r="T35">
            <v>0</v>
          </cell>
          <cell r="U35">
            <v>0</v>
          </cell>
        </row>
        <row r="36">
          <cell r="B36" t="str">
            <v>GUETO 12</v>
          </cell>
          <cell r="C36">
            <v>330</v>
          </cell>
          <cell r="D36">
            <v>120</v>
          </cell>
          <cell r="G36">
            <v>2240.6999999999998</v>
          </cell>
          <cell r="H36">
            <v>1087.2</v>
          </cell>
          <cell r="K36">
            <v>450</v>
          </cell>
          <cell r="L36">
            <v>3327.9</v>
          </cell>
          <cell r="M36">
            <v>6.7899999999999991</v>
          </cell>
          <cell r="N36">
            <v>9.06</v>
          </cell>
          <cell r="O36">
            <v>0</v>
          </cell>
          <cell r="P36">
            <v>0</v>
          </cell>
          <cell r="Q36">
            <v>7.3953333333333333</v>
          </cell>
          <cell r="R36">
            <v>0.73333333333333328</v>
          </cell>
          <cell r="S36">
            <v>0.26666666666666666</v>
          </cell>
          <cell r="T36">
            <v>0</v>
          </cell>
          <cell r="U36">
            <v>0</v>
          </cell>
        </row>
        <row r="37">
          <cell r="B37" t="str">
            <v>GUETO COMFORT</v>
          </cell>
          <cell r="C37">
            <v>3881</v>
          </cell>
          <cell r="D37">
            <v>3754.8</v>
          </cell>
          <cell r="G37">
            <v>34599.129999999997</v>
          </cell>
          <cell r="H37">
            <v>40584.81</v>
          </cell>
          <cell r="K37">
            <v>7635.8</v>
          </cell>
          <cell r="L37">
            <v>75183.94</v>
          </cell>
          <cell r="M37">
            <v>8.9150038649832517</v>
          </cell>
          <cell r="N37">
            <v>10.808780760626398</v>
          </cell>
          <cell r="O37">
            <v>0</v>
          </cell>
          <cell r="P37">
            <v>0</v>
          </cell>
          <cell r="Q37">
            <v>9.8462426988658684</v>
          </cell>
          <cell r="R37">
            <v>0.50826370517823938</v>
          </cell>
          <cell r="S37">
            <v>0.49173629482176068</v>
          </cell>
          <cell r="T37">
            <v>0</v>
          </cell>
          <cell r="U37">
            <v>0</v>
          </cell>
        </row>
        <row r="38">
          <cell r="B38" t="str">
            <v>INSANE DENIM</v>
          </cell>
          <cell r="C38">
            <v>1112.0999999999999</v>
          </cell>
          <cell r="D38">
            <v>1012.1</v>
          </cell>
          <cell r="G38">
            <v>8008.9</v>
          </cell>
          <cell r="H38">
            <v>9658.41</v>
          </cell>
          <cell r="K38">
            <v>2124.1999999999998</v>
          </cell>
          <cell r="L38">
            <v>17667.310000000001</v>
          </cell>
          <cell r="M38">
            <v>7.2016005754878165</v>
          </cell>
          <cell r="N38">
            <v>9.5429404209070245</v>
          </cell>
          <cell r="O38">
            <v>0</v>
          </cell>
          <cell r="P38">
            <v>0</v>
          </cell>
          <cell r="Q38">
            <v>8.3171594011863306</v>
          </cell>
          <cell r="R38">
            <v>0.52353827323227564</v>
          </cell>
          <cell r="S38">
            <v>0.47646172676772436</v>
          </cell>
          <cell r="T38">
            <v>0</v>
          </cell>
          <cell r="U38">
            <v>0</v>
          </cell>
        </row>
        <row r="39">
          <cell r="B39" t="str">
            <v>KAN</v>
          </cell>
          <cell r="C39">
            <v>5</v>
          </cell>
          <cell r="D39">
            <v>106.7</v>
          </cell>
          <cell r="G39">
            <v>32</v>
          </cell>
          <cell r="H39">
            <v>682.88</v>
          </cell>
          <cell r="K39">
            <v>111.7</v>
          </cell>
          <cell r="L39">
            <v>714.88</v>
          </cell>
          <cell r="M39">
            <v>6.4</v>
          </cell>
          <cell r="N39">
            <v>6.3999999999999995</v>
          </cell>
          <cell r="O39">
            <v>0</v>
          </cell>
          <cell r="P39">
            <v>0</v>
          </cell>
          <cell r="Q39">
            <v>6.3999999999999995</v>
          </cell>
          <cell r="R39">
            <v>4.4762757385854966E-2</v>
          </cell>
          <cell r="S39">
            <v>0.955237242614145</v>
          </cell>
          <cell r="T39">
            <v>0</v>
          </cell>
          <cell r="U39">
            <v>0</v>
          </cell>
        </row>
        <row r="40">
          <cell r="B40" t="str">
            <v>LIDER CROSS</v>
          </cell>
          <cell r="D40">
            <v>6953.6</v>
          </cell>
          <cell r="H40">
            <v>41273.07</v>
          </cell>
          <cell r="K40">
            <v>6953.6</v>
          </cell>
          <cell r="L40">
            <v>41273.07</v>
          </cell>
          <cell r="M40">
            <v>0</v>
          </cell>
          <cell r="N40">
            <v>5.9354967211228713</v>
          </cell>
          <cell r="O40">
            <v>0</v>
          </cell>
          <cell r="P40">
            <v>0</v>
          </cell>
          <cell r="Q40">
            <v>5.9354967211228713</v>
          </cell>
          <cell r="R40">
            <v>0</v>
          </cell>
          <cell r="S40">
            <v>1</v>
          </cell>
          <cell r="T40">
            <v>0</v>
          </cell>
          <cell r="U40">
            <v>0</v>
          </cell>
        </row>
        <row r="41">
          <cell r="B41" t="str">
            <v>LIDER DENIM</v>
          </cell>
          <cell r="D41">
            <v>5</v>
          </cell>
          <cell r="H41">
            <v>29.5</v>
          </cell>
          <cell r="K41">
            <v>5</v>
          </cell>
          <cell r="L41">
            <v>29.5</v>
          </cell>
          <cell r="M41">
            <v>0</v>
          </cell>
          <cell r="N41">
            <v>5.9</v>
          </cell>
          <cell r="O41">
            <v>0</v>
          </cell>
          <cell r="P41">
            <v>0</v>
          </cell>
          <cell r="Q41">
            <v>5.9</v>
          </cell>
          <cell r="R41">
            <v>0</v>
          </cell>
          <cell r="S41">
            <v>1</v>
          </cell>
          <cell r="T41">
            <v>0</v>
          </cell>
          <cell r="U41">
            <v>0</v>
          </cell>
        </row>
        <row r="42">
          <cell r="B42" t="str">
            <v>LINX 10</v>
          </cell>
          <cell r="C42">
            <v>861.5</v>
          </cell>
          <cell r="D42">
            <v>6351.6</v>
          </cell>
          <cell r="E42">
            <v>205.5</v>
          </cell>
          <cell r="G42">
            <v>4809.6499999999996</v>
          </cell>
          <cell r="H42">
            <v>38431.54</v>
          </cell>
          <cell r="I42">
            <v>1237.1099999999999</v>
          </cell>
          <cell r="K42">
            <v>7418.6</v>
          </cell>
          <cell r="L42">
            <v>44478.3</v>
          </cell>
          <cell r="M42">
            <v>5.5828786999419613</v>
          </cell>
          <cell r="N42">
            <v>6.0506864412116634</v>
          </cell>
          <cell r="O42">
            <v>6.02</v>
          </cell>
          <cell r="P42">
            <v>0</v>
          </cell>
          <cell r="Q42">
            <v>5.995511282452215</v>
          </cell>
          <cell r="R42">
            <v>0.11612703205456555</v>
          </cell>
          <cell r="S42">
            <v>0.85617232361901163</v>
          </cell>
          <cell r="T42">
            <v>2.7700644326422774E-2</v>
          </cell>
          <cell r="U42">
            <v>0</v>
          </cell>
        </row>
        <row r="43">
          <cell r="B43" t="str">
            <v>LINX BROKEN</v>
          </cell>
          <cell r="C43">
            <v>1717</v>
          </cell>
          <cell r="D43">
            <v>552.4</v>
          </cell>
          <cell r="G43">
            <v>9211.0499999999993</v>
          </cell>
          <cell r="H43">
            <v>3839.18</v>
          </cell>
          <cell r="K43">
            <v>2269.4</v>
          </cell>
          <cell r="L43">
            <v>13050.23</v>
          </cell>
          <cell r="M43">
            <v>5.364618520675597</v>
          </cell>
          <cell r="N43">
            <v>6.95</v>
          </cell>
          <cell r="O43">
            <v>0</v>
          </cell>
          <cell r="P43">
            <v>0</v>
          </cell>
          <cell r="Q43">
            <v>5.7505199612232305</v>
          </cell>
          <cell r="R43">
            <v>0.75658764431127168</v>
          </cell>
          <cell r="S43">
            <v>0.24341235568872827</v>
          </cell>
          <cell r="T43">
            <v>0</v>
          </cell>
          <cell r="U43">
            <v>0</v>
          </cell>
        </row>
        <row r="44">
          <cell r="B44" t="str">
            <v>LINX COMFORT</v>
          </cell>
          <cell r="C44">
            <v>1554.6</v>
          </cell>
          <cell r="D44">
            <v>4824.3</v>
          </cell>
          <cell r="G44">
            <v>8550.2999999999993</v>
          </cell>
          <cell r="H44">
            <v>30681.25</v>
          </cell>
          <cell r="K44">
            <v>6378.9</v>
          </cell>
          <cell r="L44">
            <v>39231.550000000003</v>
          </cell>
          <cell r="M44">
            <v>5.5</v>
          </cell>
          <cell r="N44">
            <v>6.3597309454221334</v>
          </cell>
          <cell r="O44">
            <v>0</v>
          </cell>
          <cell r="P44">
            <v>0</v>
          </cell>
          <cell r="Q44">
            <v>6.1502061483954922</v>
          </cell>
          <cell r="R44">
            <v>0.24370973051780087</v>
          </cell>
          <cell r="S44">
            <v>0.75629026948219924</v>
          </cell>
          <cell r="T44">
            <v>0</v>
          </cell>
          <cell r="U44">
            <v>0</v>
          </cell>
        </row>
        <row r="45">
          <cell r="B45" t="str">
            <v>LINX CROSS</v>
          </cell>
          <cell r="C45">
            <v>5778.2</v>
          </cell>
          <cell r="D45">
            <v>69497.100000000006</v>
          </cell>
          <cell r="G45">
            <v>38246.42</v>
          </cell>
          <cell r="H45">
            <v>484296.91</v>
          </cell>
          <cell r="K45">
            <v>75275.3</v>
          </cell>
          <cell r="L45">
            <v>522543.33</v>
          </cell>
          <cell r="M45">
            <v>6.6190889896507565</v>
          </cell>
          <cell r="N45">
            <v>6.9685916390755862</v>
          </cell>
          <cell r="O45">
            <v>0</v>
          </cell>
          <cell r="P45">
            <v>0</v>
          </cell>
          <cell r="Q45">
            <v>6.9417635001122546</v>
          </cell>
          <cell r="R45">
            <v>7.6760902978799145E-2</v>
          </cell>
          <cell r="S45">
            <v>0.92323909702120088</v>
          </cell>
          <cell r="T45">
            <v>0</v>
          </cell>
          <cell r="U45">
            <v>0</v>
          </cell>
        </row>
        <row r="46">
          <cell r="B46" t="str">
            <v>LINX DENIM</v>
          </cell>
          <cell r="C46">
            <v>667.3</v>
          </cell>
          <cell r="D46">
            <v>3723</v>
          </cell>
          <cell r="G46">
            <v>3403.23</v>
          </cell>
          <cell r="H46">
            <v>25933.56</v>
          </cell>
          <cell r="K46">
            <v>4390.3</v>
          </cell>
          <cell r="L46">
            <v>29336.79</v>
          </cell>
          <cell r="M46">
            <v>5.1000000000000005</v>
          </cell>
          <cell r="N46">
            <v>6.9657695406929898</v>
          </cell>
          <cell r="O46">
            <v>0</v>
          </cell>
          <cell r="P46">
            <v>0</v>
          </cell>
          <cell r="Q46">
            <v>6.6821834498781403</v>
          </cell>
          <cell r="R46">
            <v>0.15199416896339657</v>
          </cell>
          <cell r="S46">
            <v>0.84800583103660343</v>
          </cell>
          <cell r="T46">
            <v>0</v>
          </cell>
          <cell r="U46">
            <v>0</v>
          </cell>
        </row>
        <row r="47">
          <cell r="B47" t="str">
            <v>MAGIC 14</v>
          </cell>
          <cell r="D47">
            <v>2084.5</v>
          </cell>
          <cell r="H47">
            <v>16238.26</v>
          </cell>
          <cell r="K47">
            <v>2084.5</v>
          </cell>
          <cell r="L47">
            <v>16238.26</v>
          </cell>
          <cell r="M47">
            <v>0</v>
          </cell>
          <cell r="N47">
            <v>7.7900023986567524</v>
          </cell>
          <cell r="O47">
            <v>0</v>
          </cell>
          <cell r="P47">
            <v>0</v>
          </cell>
          <cell r="Q47">
            <v>7.7900023986567524</v>
          </cell>
          <cell r="R47">
            <v>0</v>
          </cell>
          <cell r="S47">
            <v>1</v>
          </cell>
          <cell r="T47">
            <v>0</v>
          </cell>
          <cell r="U47">
            <v>0</v>
          </cell>
        </row>
        <row r="48">
          <cell r="B48" t="str">
            <v>MOLD</v>
          </cell>
          <cell r="D48">
            <v>189387.1</v>
          </cell>
          <cell r="H48">
            <v>1114667.75</v>
          </cell>
          <cell r="K48">
            <v>189387.1</v>
          </cell>
          <cell r="L48">
            <v>1114667.75</v>
          </cell>
          <cell r="M48">
            <v>0</v>
          </cell>
          <cell r="N48">
            <v>5.8856582628911891</v>
          </cell>
          <cell r="O48">
            <v>0</v>
          </cell>
          <cell r="P48">
            <v>0</v>
          </cell>
          <cell r="Q48">
            <v>5.8856582628911891</v>
          </cell>
          <cell r="R48">
            <v>0</v>
          </cell>
          <cell r="S48">
            <v>1</v>
          </cell>
          <cell r="T48">
            <v>0</v>
          </cell>
          <cell r="U48">
            <v>0</v>
          </cell>
        </row>
        <row r="49">
          <cell r="B49" t="str">
            <v>NEBBIA</v>
          </cell>
          <cell r="C49">
            <v>597.20000000000005</v>
          </cell>
          <cell r="G49">
            <v>3702.64</v>
          </cell>
          <cell r="K49">
            <v>597.20000000000005</v>
          </cell>
          <cell r="L49">
            <v>3702.64</v>
          </cell>
          <cell r="M49">
            <v>6.1999999999999993</v>
          </cell>
          <cell r="N49">
            <v>0</v>
          </cell>
          <cell r="O49">
            <v>0</v>
          </cell>
          <cell r="P49">
            <v>0</v>
          </cell>
          <cell r="Q49">
            <v>6.1999999999999993</v>
          </cell>
          <cell r="R49">
            <v>1</v>
          </cell>
          <cell r="S49">
            <v>0</v>
          </cell>
          <cell r="T49">
            <v>0</v>
          </cell>
          <cell r="U49">
            <v>0</v>
          </cell>
        </row>
        <row r="50">
          <cell r="B50" t="str">
            <v>NEBBIA COMFORT</v>
          </cell>
          <cell r="C50">
            <v>521.79999999999995</v>
          </cell>
          <cell r="G50">
            <v>3339.52</v>
          </cell>
          <cell r="K50">
            <v>521.79999999999995</v>
          </cell>
          <cell r="L50">
            <v>3339.52</v>
          </cell>
          <cell r="M50">
            <v>6.4</v>
          </cell>
          <cell r="N50">
            <v>0</v>
          </cell>
          <cell r="O50">
            <v>0</v>
          </cell>
          <cell r="P50">
            <v>0</v>
          </cell>
          <cell r="Q50">
            <v>6.4</v>
          </cell>
          <cell r="R50">
            <v>1</v>
          </cell>
          <cell r="S50">
            <v>0</v>
          </cell>
          <cell r="T50">
            <v>0</v>
          </cell>
          <cell r="U50">
            <v>0</v>
          </cell>
        </row>
        <row r="51">
          <cell r="B51" t="str">
            <v>NEBBIA DENIM</v>
          </cell>
          <cell r="C51">
            <v>8430.1</v>
          </cell>
          <cell r="D51">
            <v>9626</v>
          </cell>
          <cell r="G51">
            <v>56174.22</v>
          </cell>
          <cell r="H51">
            <v>72304.479999999996</v>
          </cell>
          <cell r="K51">
            <v>18056.099999999999</v>
          </cell>
          <cell r="L51">
            <v>128478.7</v>
          </cell>
          <cell r="M51">
            <v>6.663529495498274</v>
          </cell>
          <cell r="N51">
            <v>7.5113733638063573</v>
          </cell>
          <cell r="O51">
            <v>0</v>
          </cell>
          <cell r="P51">
            <v>0</v>
          </cell>
          <cell r="Q51">
            <v>7.1155288240539214</v>
          </cell>
          <cell r="R51">
            <v>0.46688376781253987</v>
          </cell>
          <cell r="S51">
            <v>0.53311623218746018</v>
          </cell>
          <cell r="T51">
            <v>0</v>
          </cell>
          <cell r="U51">
            <v>0</v>
          </cell>
        </row>
        <row r="52">
          <cell r="B52" t="str">
            <v>NEBBIA GLOSS</v>
          </cell>
          <cell r="C52">
            <v>743.5</v>
          </cell>
          <cell r="G52">
            <v>6557.67</v>
          </cell>
          <cell r="K52">
            <v>743.5</v>
          </cell>
          <cell r="L52">
            <v>6557.67</v>
          </cell>
          <cell r="M52">
            <v>8.82</v>
          </cell>
          <cell r="N52">
            <v>0</v>
          </cell>
          <cell r="O52">
            <v>0</v>
          </cell>
          <cell r="P52">
            <v>0</v>
          </cell>
          <cell r="Q52">
            <v>8.82</v>
          </cell>
          <cell r="R52">
            <v>1</v>
          </cell>
          <cell r="S52">
            <v>0</v>
          </cell>
          <cell r="T52">
            <v>0</v>
          </cell>
          <cell r="U52">
            <v>0</v>
          </cell>
        </row>
        <row r="53">
          <cell r="B53" t="str">
            <v>NEBBIA SOFT</v>
          </cell>
          <cell r="C53">
            <v>2332.6</v>
          </cell>
          <cell r="D53">
            <v>12333.1</v>
          </cell>
          <cell r="E53">
            <v>15</v>
          </cell>
          <cell r="G53">
            <v>16953.91</v>
          </cell>
          <cell r="H53">
            <v>88052.71</v>
          </cell>
          <cell r="I53">
            <v>111</v>
          </cell>
          <cell r="K53">
            <v>14680.7</v>
          </cell>
          <cell r="L53">
            <v>105117.62</v>
          </cell>
          <cell r="M53">
            <v>7.2682457343736608</v>
          </cell>
          <cell r="N53">
            <v>7.1395439913728103</v>
          </cell>
          <cell r="O53">
            <v>7.4</v>
          </cell>
          <cell r="P53">
            <v>0</v>
          </cell>
          <cell r="Q53">
            <v>7.1602593881763124</v>
          </cell>
          <cell r="R53">
            <v>0.15888888132037299</v>
          </cell>
          <cell r="S53">
            <v>0.84008936903553644</v>
          </cell>
          <cell r="T53">
            <v>1.0217496440905406E-3</v>
          </cell>
          <cell r="U53">
            <v>0</v>
          </cell>
        </row>
        <row r="54">
          <cell r="B54" t="str">
            <v>NOVITA</v>
          </cell>
          <cell r="C54">
            <v>740.3</v>
          </cell>
          <cell r="D54">
            <v>1769.1</v>
          </cell>
          <cell r="G54">
            <v>5020.55</v>
          </cell>
          <cell r="H54">
            <v>14548.76</v>
          </cell>
          <cell r="K54">
            <v>2509.4</v>
          </cell>
          <cell r="L54">
            <v>19569.310000000001</v>
          </cell>
          <cell r="M54">
            <v>6.7817776577063356</v>
          </cell>
          <cell r="N54">
            <v>8.2238200214798489</v>
          </cell>
          <cell r="O54">
            <v>0</v>
          </cell>
          <cell r="P54">
            <v>0</v>
          </cell>
          <cell r="Q54">
            <v>7.7984020084482353</v>
          </cell>
          <cell r="R54">
            <v>0.2950107595441141</v>
          </cell>
          <cell r="S54">
            <v>0.70498924045588585</v>
          </cell>
          <cell r="T54">
            <v>0</v>
          </cell>
          <cell r="U54">
            <v>0</v>
          </cell>
        </row>
        <row r="55">
          <cell r="B55" t="str">
            <v>OCEANUM</v>
          </cell>
          <cell r="D55">
            <v>27.3</v>
          </cell>
          <cell r="H55">
            <v>199.29</v>
          </cell>
          <cell r="K55">
            <v>27.3</v>
          </cell>
          <cell r="L55">
            <v>199.29</v>
          </cell>
          <cell r="M55">
            <v>0</v>
          </cell>
          <cell r="N55">
            <v>7.3</v>
          </cell>
          <cell r="O55">
            <v>0</v>
          </cell>
          <cell r="P55">
            <v>0</v>
          </cell>
          <cell r="Q55">
            <v>7.3</v>
          </cell>
          <cell r="R55">
            <v>0</v>
          </cell>
          <cell r="S55">
            <v>1</v>
          </cell>
          <cell r="T55">
            <v>0</v>
          </cell>
          <cell r="U55">
            <v>0</v>
          </cell>
        </row>
        <row r="56">
          <cell r="B56" t="str">
            <v>OCEANUM COMFORT</v>
          </cell>
          <cell r="C56">
            <v>33.5</v>
          </cell>
          <cell r="D56">
            <v>3226.2</v>
          </cell>
          <cell r="G56">
            <v>266.32</v>
          </cell>
          <cell r="H56">
            <v>25632.77</v>
          </cell>
          <cell r="K56">
            <v>3259.7</v>
          </cell>
          <cell r="L56">
            <v>25899.09</v>
          </cell>
          <cell r="M56">
            <v>7.9498507462686563</v>
          </cell>
          <cell r="N56">
            <v>7.9451893868947998</v>
          </cell>
          <cell r="O56">
            <v>0</v>
          </cell>
          <cell r="P56">
            <v>0</v>
          </cell>
          <cell r="Q56">
            <v>7.9452372917753173</v>
          </cell>
          <cell r="R56">
            <v>1.0277019357609597E-2</v>
          </cell>
          <cell r="S56">
            <v>0.98972298064239039</v>
          </cell>
          <cell r="T56">
            <v>0</v>
          </cell>
          <cell r="U56">
            <v>0</v>
          </cell>
        </row>
        <row r="57">
          <cell r="B57" t="str">
            <v>POLI CHRONIC COMFORT</v>
          </cell>
          <cell r="C57">
            <v>2125</v>
          </cell>
          <cell r="D57">
            <v>71707.7</v>
          </cell>
          <cell r="E57">
            <v>34</v>
          </cell>
          <cell r="G57">
            <v>16684.830000000002</v>
          </cell>
          <cell r="H57">
            <v>578059.55000000005</v>
          </cell>
          <cell r="I57">
            <v>271.32</v>
          </cell>
          <cell r="K57">
            <v>73866.7</v>
          </cell>
          <cell r="L57">
            <v>595015.69999999995</v>
          </cell>
          <cell r="M57">
            <v>7.851684705882354</v>
          </cell>
          <cell r="N57">
            <v>8.0613316282630745</v>
          </cell>
          <cell r="O57">
            <v>7.9799999999999995</v>
          </cell>
          <cell r="P57">
            <v>0</v>
          </cell>
          <cell r="Q57">
            <v>8.0552630617043945</v>
          </cell>
          <cell r="R57">
            <v>2.876803755954984E-2</v>
          </cell>
          <cell r="S57">
            <v>0.97077167383949736</v>
          </cell>
          <cell r="T57">
            <v>4.6028860095279745E-4</v>
          </cell>
          <cell r="U57">
            <v>0</v>
          </cell>
        </row>
        <row r="58">
          <cell r="B58" t="str">
            <v>POLI COMANDO COMFORT</v>
          </cell>
          <cell r="C58">
            <v>5319.3</v>
          </cell>
          <cell r="D58">
            <v>31719.200000000001</v>
          </cell>
          <cell r="G58">
            <v>35667.879999999997</v>
          </cell>
          <cell r="H58">
            <v>221181.99</v>
          </cell>
          <cell r="K58">
            <v>37038.5</v>
          </cell>
          <cell r="L58">
            <v>256849.87</v>
          </cell>
          <cell r="M58">
            <v>6.7053710074633877</v>
          </cell>
          <cell r="N58">
            <v>6.9731263714091147</v>
          </cell>
          <cell r="O58">
            <v>0</v>
          </cell>
          <cell r="P58">
            <v>0</v>
          </cell>
          <cell r="Q58">
            <v>6.9346725704334675</v>
          </cell>
          <cell r="R58">
            <v>0.14361542719062598</v>
          </cell>
          <cell r="S58">
            <v>0.85638457280937408</v>
          </cell>
          <cell r="T58">
            <v>0</v>
          </cell>
          <cell r="U58">
            <v>0</v>
          </cell>
        </row>
        <row r="59">
          <cell r="B59" t="str">
            <v>POLI LIDER</v>
          </cell>
          <cell r="C59">
            <v>223.8</v>
          </cell>
          <cell r="D59">
            <v>2224.1999999999998</v>
          </cell>
          <cell r="G59">
            <v>1230.9000000000001</v>
          </cell>
          <cell r="H59">
            <v>13176.25</v>
          </cell>
          <cell r="K59">
            <v>2448</v>
          </cell>
          <cell r="L59">
            <v>14407.15</v>
          </cell>
          <cell r="M59">
            <v>5.5</v>
          </cell>
          <cell r="N59">
            <v>5.9240401043071671</v>
          </cell>
          <cell r="O59">
            <v>0</v>
          </cell>
          <cell r="P59">
            <v>0</v>
          </cell>
          <cell r="Q59">
            <v>5.8852736928104576</v>
          </cell>
          <cell r="R59">
            <v>9.1421568627450989E-2</v>
          </cell>
          <cell r="S59">
            <v>0.9085784313725489</v>
          </cell>
          <cell r="T59">
            <v>0</v>
          </cell>
          <cell r="U59">
            <v>0</v>
          </cell>
        </row>
        <row r="60">
          <cell r="B60" t="str">
            <v>POLI LIDER COMFORT</v>
          </cell>
          <cell r="C60">
            <v>15607.3</v>
          </cell>
          <cell r="D60">
            <v>24020.6</v>
          </cell>
          <cell r="G60">
            <v>94288.78</v>
          </cell>
          <cell r="H60">
            <v>145138.04999999999</v>
          </cell>
          <cell r="K60">
            <v>39627.9</v>
          </cell>
          <cell r="L60">
            <v>239426.83</v>
          </cell>
          <cell r="M60">
            <v>6.0413255335644216</v>
          </cell>
          <cell r="N60">
            <v>6.0422325004371249</v>
          </cell>
          <cell r="O60">
            <v>0</v>
          </cell>
          <cell r="P60">
            <v>0</v>
          </cell>
          <cell r="Q60">
            <v>6.0418752949310957</v>
          </cell>
          <cell r="R60">
            <v>0.39384625478513874</v>
          </cell>
          <cell r="S60">
            <v>0.60615374521486121</v>
          </cell>
          <cell r="T60">
            <v>0</v>
          </cell>
          <cell r="U60">
            <v>0</v>
          </cell>
        </row>
        <row r="61">
          <cell r="B61" t="str">
            <v>POLI LINX COMFORT</v>
          </cell>
          <cell r="C61">
            <v>11378.3</v>
          </cell>
          <cell r="D61">
            <v>14478.6</v>
          </cell>
          <cell r="G61">
            <v>75985.78</v>
          </cell>
          <cell r="H61">
            <v>105288.75</v>
          </cell>
          <cell r="K61">
            <v>25856.9</v>
          </cell>
          <cell r="L61">
            <v>181274.53</v>
          </cell>
          <cell r="M61">
            <v>6.6781311795259404</v>
          </cell>
          <cell r="N61">
            <v>7.2720256102109317</v>
          </cell>
          <cell r="O61">
            <v>0</v>
          </cell>
          <cell r="P61">
            <v>0</v>
          </cell>
          <cell r="Q61">
            <v>7.0106830285146318</v>
          </cell>
          <cell r="R61">
            <v>0.4400488844370361</v>
          </cell>
          <cell r="S61">
            <v>0.55995111556296384</v>
          </cell>
          <cell r="T61">
            <v>0</v>
          </cell>
          <cell r="U61">
            <v>0</v>
          </cell>
        </row>
        <row r="62">
          <cell r="B62" t="str">
            <v>POLI NEBBIA COMFORT</v>
          </cell>
          <cell r="C62">
            <v>3074.1</v>
          </cell>
          <cell r="D62">
            <v>13343.2</v>
          </cell>
          <cell r="E62">
            <v>130</v>
          </cell>
          <cell r="G62">
            <v>22206.97</v>
          </cell>
          <cell r="H62">
            <v>97432.93</v>
          </cell>
          <cell r="I62">
            <v>936</v>
          </cell>
          <cell r="K62">
            <v>16547.3</v>
          </cell>
          <cell r="L62">
            <v>120575.9</v>
          </cell>
          <cell r="M62">
            <v>7.2238931719852975</v>
          </cell>
          <cell r="N62">
            <v>7.302066220996462</v>
          </cell>
          <cell r="O62">
            <v>7.2</v>
          </cell>
          <cell r="P62">
            <v>0</v>
          </cell>
          <cell r="Q62">
            <v>7.2867416436518342</v>
          </cell>
          <cell r="R62">
            <v>0.18577653151873719</v>
          </cell>
          <cell r="S62">
            <v>0.80636720190000799</v>
          </cell>
          <cell r="T62">
            <v>7.8562665812549476E-3</v>
          </cell>
          <cell r="U62">
            <v>0</v>
          </cell>
        </row>
        <row r="63">
          <cell r="B63" t="str">
            <v>POLI PSYCHO COMFORT</v>
          </cell>
          <cell r="C63">
            <v>744.5</v>
          </cell>
          <cell r="D63">
            <v>4166.2</v>
          </cell>
          <cell r="G63">
            <v>4764.8</v>
          </cell>
          <cell r="H63">
            <v>32423.35</v>
          </cell>
          <cell r="K63">
            <v>4910.7</v>
          </cell>
          <cell r="L63">
            <v>37188.15</v>
          </cell>
          <cell r="M63">
            <v>6.4</v>
          </cell>
          <cell r="N63">
            <v>7.7824756372713741</v>
          </cell>
          <cell r="O63">
            <v>0</v>
          </cell>
          <cell r="P63">
            <v>0</v>
          </cell>
          <cell r="Q63">
            <v>7.5728816665648484</v>
          </cell>
          <cell r="R63">
            <v>0.15160771376789461</v>
          </cell>
          <cell r="S63">
            <v>0.84839228623210539</v>
          </cell>
          <cell r="T63">
            <v>0</v>
          </cell>
          <cell r="U63">
            <v>0</v>
          </cell>
        </row>
        <row r="64">
          <cell r="B64" t="str">
            <v>POLI THERAPY COMFORT</v>
          </cell>
          <cell r="C64">
            <v>3052.6</v>
          </cell>
          <cell r="D64">
            <v>13939.3</v>
          </cell>
          <cell r="G64">
            <v>19445.52</v>
          </cell>
          <cell r="H64">
            <v>108065.95</v>
          </cell>
          <cell r="K64">
            <v>16991.900000000001</v>
          </cell>
          <cell r="L64">
            <v>127511.47</v>
          </cell>
          <cell r="M64">
            <v>6.3701500360348557</v>
          </cell>
          <cell r="N64">
            <v>7.7526095284555181</v>
          </cell>
          <cell r="O64">
            <v>0</v>
          </cell>
          <cell r="P64">
            <v>0</v>
          </cell>
          <cell r="Q64">
            <v>7.5042502604181989</v>
          </cell>
          <cell r="R64">
            <v>0.17965030396836137</v>
          </cell>
          <cell r="S64">
            <v>0.82034969603163854</v>
          </cell>
          <cell r="T64">
            <v>0</v>
          </cell>
          <cell r="U64">
            <v>0</v>
          </cell>
        </row>
        <row r="65">
          <cell r="B65" t="str">
            <v>POLI XPRESS COMFORT</v>
          </cell>
          <cell r="C65">
            <v>2256</v>
          </cell>
          <cell r="D65">
            <v>39099</v>
          </cell>
          <cell r="G65">
            <v>12728.65</v>
          </cell>
          <cell r="H65">
            <v>260929.21</v>
          </cell>
          <cell r="K65">
            <v>41355</v>
          </cell>
          <cell r="L65">
            <v>273657.86</v>
          </cell>
          <cell r="M65">
            <v>5.6421320921985814</v>
          </cell>
          <cell r="N65">
            <v>6.6735520090027878</v>
          </cell>
          <cell r="O65">
            <v>0</v>
          </cell>
          <cell r="P65">
            <v>0</v>
          </cell>
          <cell r="Q65">
            <v>6.6172859388223912</v>
          </cell>
          <cell r="R65">
            <v>5.4552049328980778E-2</v>
          </cell>
          <cell r="S65">
            <v>0.94544795067101928</v>
          </cell>
          <cell r="T65">
            <v>0</v>
          </cell>
          <cell r="U65">
            <v>0</v>
          </cell>
        </row>
        <row r="66">
          <cell r="B66" t="str">
            <v>POTENCIA CROSS</v>
          </cell>
          <cell r="D66">
            <v>1208</v>
          </cell>
          <cell r="H66">
            <v>7127.2</v>
          </cell>
          <cell r="K66">
            <v>1208</v>
          </cell>
          <cell r="L66">
            <v>7127.2</v>
          </cell>
          <cell r="M66">
            <v>0</v>
          </cell>
          <cell r="N66">
            <v>5.8999999999999995</v>
          </cell>
          <cell r="O66">
            <v>0</v>
          </cell>
          <cell r="P66">
            <v>0</v>
          </cell>
          <cell r="Q66">
            <v>5.8999999999999995</v>
          </cell>
          <cell r="R66">
            <v>0</v>
          </cell>
          <cell r="S66">
            <v>1</v>
          </cell>
          <cell r="T66">
            <v>0</v>
          </cell>
          <cell r="U66">
            <v>0</v>
          </cell>
        </row>
        <row r="67">
          <cell r="B67" t="str">
            <v>POTENCIA DENIM</v>
          </cell>
          <cell r="D67">
            <v>1448.9</v>
          </cell>
          <cell r="H67">
            <v>8672.98</v>
          </cell>
          <cell r="K67">
            <v>1448.9</v>
          </cell>
          <cell r="L67">
            <v>8672.98</v>
          </cell>
          <cell r="M67">
            <v>0</v>
          </cell>
          <cell r="N67">
            <v>5.9859065497963968</v>
          </cell>
          <cell r="O67">
            <v>0</v>
          </cell>
          <cell r="P67">
            <v>0</v>
          </cell>
          <cell r="Q67">
            <v>5.9859065497963968</v>
          </cell>
          <cell r="R67">
            <v>0</v>
          </cell>
          <cell r="S67">
            <v>1</v>
          </cell>
          <cell r="T67">
            <v>0</v>
          </cell>
          <cell r="U67">
            <v>0</v>
          </cell>
        </row>
        <row r="68">
          <cell r="B68" t="str">
            <v>PSYCHO</v>
          </cell>
          <cell r="C68">
            <v>380.5</v>
          </cell>
          <cell r="G68">
            <v>2168.85</v>
          </cell>
          <cell r="K68">
            <v>380.5</v>
          </cell>
          <cell r="L68">
            <v>2168.85</v>
          </cell>
          <cell r="M68">
            <v>5.7</v>
          </cell>
          <cell r="N68">
            <v>0</v>
          </cell>
          <cell r="O68">
            <v>0</v>
          </cell>
          <cell r="P68">
            <v>0</v>
          </cell>
          <cell r="Q68">
            <v>5.7</v>
          </cell>
          <cell r="R68">
            <v>1</v>
          </cell>
          <cell r="S68">
            <v>0</v>
          </cell>
          <cell r="T68">
            <v>0</v>
          </cell>
          <cell r="U68">
            <v>0</v>
          </cell>
        </row>
        <row r="69">
          <cell r="B69" t="str">
            <v>PSYCHO BROKEN</v>
          </cell>
          <cell r="C69">
            <v>12361.8</v>
          </cell>
          <cell r="G69">
            <v>80884.72</v>
          </cell>
          <cell r="K69">
            <v>12361.8</v>
          </cell>
          <cell r="L69">
            <v>80884.72</v>
          </cell>
          <cell r="M69">
            <v>6.5431183161028335</v>
          </cell>
          <cell r="N69">
            <v>0</v>
          </cell>
          <cell r="O69">
            <v>0</v>
          </cell>
          <cell r="P69">
            <v>0</v>
          </cell>
          <cell r="Q69">
            <v>6.5431183161028335</v>
          </cell>
          <cell r="R69">
            <v>1</v>
          </cell>
          <cell r="S69">
            <v>0</v>
          </cell>
          <cell r="T69">
            <v>0</v>
          </cell>
          <cell r="U69">
            <v>0</v>
          </cell>
        </row>
        <row r="70">
          <cell r="B70" t="str">
            <v>PSYCHO COATING</v>
          </cell>
          <cell r="C70">
            <v>90.4</v>
          </cell>
          <cell r="E70">
            <v>326.60000000000002</v>
          </cell>
          <cell r="G70">
            <v>497.2</v>
          </cell>
          <cell r="I70">
            <v>2586.67</v>
          </cell>
          <cell r="K70">
            <v>417</v>
          </cell>
          <cell r="L70">
            <v>3083.87</v>
          </cell>
          <cell r="M70">
            <v>5.4999999999999991</v>
          </cell>
          <cell r="N70">
            <v>0</v>
          </cell>
          <cell r="O70">
            <v>7.9199938763012856</v>
          </cell>
          <cell r="P70">
            <v>0</v>
          </cell>
          <cell r="Q70">
            <v>7.3953717026378891</v>
          </cell>
          <cell r="R70">
            <v>0.21678657074340529</v>
          </cell>
          <cell r="S70">
            <v>0</v>
          </cell>
          <cell r="T70">
            <v>0.78321342925659476</v>
          </cell>
          <cell r="U70">
            <v>0</v>
          </cell>
        </row>
        <row r="71">
          <cell r="B71" t="str">
            <v>PSYCHO CROSS</v>
          </cell>
          <cell r="C71">
            <v>821.6</v>
          </cell>
          <cell r="G71">
            <v>4806.72</v>
          </cell>
          <cell r="K71">
            <v>821.6</v>
          </cell>
          <cell r="L71">
            <v>4806.72</v>
          </cell>
          <cell r="M71">
            <v>5.8504381694255114</v>
          </cell>
          <cell r="N71">
            <v>0</v>
          </cell>
          <cell r="O71">
            <v>0</v>
          </cell>
          <cell r="P71">
            <v>0</v>
          </cell>
          <cell r="Q71">
            <v>5.8504381694255114</v>
          </cell>
          <cell r="R71">
            <v>1</v>
          </cell>
          <cell r="S71">
            <v>0</v>
          </cell>
          <cell r="T71">
            <v>0</v>
          </cell>
          <cell r="U71">
            <v>0</v>
          </cell>
        </row>
        <row r="72">
          <cell r="B72" t="str">
            <v>PSYCHO CROSS OVER</v>
          </cell>
          <cell r="C72">
            <v>5657.9</v>
          </cell>
          <cell r="D72">
            <v>1795.7</v>
          </cell>
          <cell r="G72">
            <v>39256.5</v>
          </cell>
          <cell r="H72">
            <v>12408.95</v>
          </cell>
          <cell r="K72">
            <v>7453.6</v>
          </cell>
          <cell r="L72">
            <v>51665.45</v>
          </cell>
          <cell r="M72">
            <v>6.9383516852542471</v>
          </cell>
          <cell r="N72">
            <v>6.9103692153477754</v>
          </cell>
          <cell r="O72">
            <v>0</v>
          </cell>
          <cell r="P72">
            <v>0</v>
          </cell>
          <cell r="Q72">
            <v>6.9316102286143604</v>
          </cell>
          <cell r="R72">
            <v>0.75908285928947072</v>
          </cell>
          <cell r="S72">
            <v>0.24091714071052914</v>
          </cell>
          <cell r="T72">
            <v>0</v>
          </cell>
          <cell r="U72">
            <v>0</v>
          </cell>
        </row>
        <row r="73">
          <cell r="B73" t="str">
            <v>PSYCHO DENIM</v>
          </cell>
          <cell r="C73">
            <v>7775.6</v>
          </cell>
          <cell r="D73">
            <v>50</v>
          </cell>
          <cell r="G73">
            <v>51292.25</v>
          </cell>
          <cell r="H73">
            <v>345</v>
          </cell>
          <cell r="K73">
            <v>7825.6</v>
          </cell>
          <cell r="L73">
            <v>51637.25</v>
          </cell>
          <cell r="M73">
            <v>6.596564895313545</v>
          </cell>
          <cell r="N73">
            <v>6.9</v>
          </cell>
          <cell r="O73">
            <v>0</v>
          </cell>
          <cell r="P73">
            <v>0</v>
          </cell>
          <cell r="Q73">
            <v>6.5985036291146999</v>
          </cell>
          <cell r="R73">
            <v>0.99361071355551012</v>
          </cell>
          <cell r="S73">
            <v>6.389286444489879E-3</v>
          </cell>
          <cell r="T73">
            <v>0</v>
          </cell>
          <cell r="U73">
            <v>0</v>
          </cell>
        </row>
        <row r="74">
          <cell r="B74" t="str">
            <v>PYXIS</v>
          </cell>
          <cell r="C74">
            <v>5877.7</v>
          </cell>
          <cell r="D74">
            <v>517.79999999999995</v>
          </cell>
          <cell r="G74">
            <v>31506.35</v>
          </cell>
          <cell r="H74">
            <v>3329.45</v>
          </cell>
          <cell r="K74">
            <v>6395.5</v>
          </cell>
          <cell r="L74">
            <v>34835.800000000003</v>
          </cell>
          <cell r="M74">
            <v>5.3603195127345726</v>
          </cell>
          <cell r="N74">
            <v>6.4299922750096563</v>
          </cell>
          <cell r="O74">
            <v>0</v>
          </cell>
          <cell r="P74">
            <v>0</v>
          </cell>
          <cell r="Q74">
            <v>5.4469236181690253</v>
          </cell>
          <cell r="R74">
            <v>0.91903682276600729</v>
          </cell>
          <cell r="S74">
            <v>8.0963177233992642E-2</v>
          </cell>
          <cell r="T74">
            <v>0</v>
          </cell>
          <cell r="U74">
            <v>0</v>
          </cell>
        </row>
        <row r="75">
          <cell r="B75" t="str">
            <v>RANDOM 10</v>
          </cell>
          <cell r="C75">
            <v>214.1</v>
          </cell>
          <cell r="G75">
            <v>1091.9100000000001</v>
          </cell>
          <cell r="K75">
            <v>214.1</v>
          </cell>
          <cell r="L75">
            <v>1091.9100000000001</v>
          </cell>
          <cell r="M75">
            <v>5.1000000000000005</v>
          </cell>
          <cell r="N75">
            <v>0</v>
          </cell>
          <cell r="O75">
            <v>0</v>
          </cell>
          <cell r="P75">
            <v>0</v>
          </cell>
          <cell r="Q75">
            <v>5.1000000000000005</v>
          </cell>
          <cell r="R75">
            <v>1</v>
          </cell>
          <cell r="S75">
            <v>0</v>
          </cell>
          <cell r="T75">
            <v>0</v>
          </cell>
          <cell r="U75">
            <v>0</v>
          </cell>
        </row>
        <row r="76">
          <cell r="B76" t="str">
            <v>RANDOM CROSS</v>
          </cell>
          <cell r="C76">
            <v>495.8</v>
          </cell>
          <cell r="G76">
            <v>2576.58</v>
          </cell>
          <cell r="K76">
            <v>495.8</v>
          </cell>
          <cell r="L76">
            <v>2576.58</v>
          </cell>
          <cell r="M76">
            <v>5.1968132311415891</v>
          </cell>
          <cell r="N76">
            <v>0</v>
          </cell>
          <cell r="O76">
            <v>0</v>
          </cell>
          <cell r="P76">
            <v>0</v>
          </cell>
          <cell r="Q76">
            <v>5.1968132311415891</v>
          </cell>
          <cell r="R76">
            <v>1</v>
          </cell>
          <cell r="S76">
            <v>0</v>
          </cell>
          <cell r="T76">
            <v>0</v>
          </cell>
          <cell r="U76">
            <v>0</v>
          </cell>
        </row>
        <row r="77">
          <cell r="B77" t="str">
            <v>RANGER DENIM</v>
          </cell>
          <cell r="D77">
            <v>180.5</v>
          </cell>
          <cell r="H77">
            <v>1392.12</v>
          </cell>
          <cell r="K77">
            <v>180.5</v>
          </cell>
          <cell r="L77">
            <v>1392.12</v>
          </cell>
          <cell r="M77">
            <v>0</v>
          </cell>
          <cell r="N77">
            <v>7.7125761772853183</v>
          </cell>
          <cell r="O77">
            <v>0</v>
          </cell>
          <cell r="P77">
            <v>0</v>
          </cell>
          <cell r="Q77">
            <v>7.7125761772853183</v>
          </cell>
          <cell r="R77">
            <v>0</v>
          </cell>
          <cell r="S77">
            <v>1</v>
          </cell>
          <cell r="T77">
            <v>0</v>
          </cell>
          <cell r="U77">
            <v>0</v>
          </cell>
        </row>
        <row r="78">
          <cell r="B78" t="str">
            <v>RETALHO</v>
          </cell>
          <cell r="D78">
            <v>1803.56</v>
          </cell>
          <cell r="H78">
            <v>3414.71</v>
          </cell>
          <cell r="K78">
            <v>1803.56</v>
          </cell>
          <cell r="L78">
            <v>3414.71</v>
          </cell>
          <cell r="M78">
            <v>0</v>
          </cell>
          <cell r="N78">
            <v>1.8933165517088426</v>
          </cell>
          <cell r="O78">
            <v>0</v>
          </cell>
          <cell r="P78">
            <v>0</v>
          </cell>
          <cell r="Q78">
            <v>1.8933165517088426</v>
          </cell>
          <cell r="R78">
            <v>0</v>
          </cell>
          <cell r="S78">
            <v>1</v>
          </cell>
          <cell r="T78">
            <v>0</v>
          </cell>
          <cell r="U78">
            <v>0</v>
          </cell>
        </row>
        <row r="79">
          <cell r="B79" t="str">
            <v>SKIN CROSS</v>
          </cell>
          <cell r="C79">
            <v>6128.8</v>
          </cell>
          <cell r="G79">
            <v>36621.07</v>
          </cell>
          <cell r="K79">
            <v>6128.8</v>
          </cell>
          <cell r="L79">
            <v>36621.07</v>
          </cell>
          <cell r="M79">
            <v>5.9752431144759166</v>
          </cell>
          <cell r="N79">
            <v>0</v>
          </cell>
          <cell r="O79">
            <v>0</v>
          </cell>
          <cell r="P79">
            <v>0</v>
          </cell>
          <cell r="Q79">
            <v>5.9752431144759166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</row>
        <row r="80">
          <cell r="B80" t="str">
            <v>SKIN DENIM</v>
          </cell>
          <cell r="D80">
            <v>3109.6</v>
          </cell>
          <cell r="H80">
            <v>18471.02</v>
          </cell>
          <cell r="K80">
            <v>3109.6</v>
          </cell>
          <cell r="L80">
            <v>18471.02</v>
          </cell>
          <cell r="M80">
            <v>0</v>
          </cell>
          <cell r="N80">
            <v>5.9399987136609216</v>
          </cell>
          <cell r="O80">
            <v>0</v>
          </cell>
          <cell r="P80">
            <v>0</v>
          </cell>
          <cell r="Q80">
            <v>5.9399987136609216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</row>
        <row r="81">
          <cell r="B81" t="str">
            <v>SP 450</v>
          </cell>
          <cell r="C81">
            <v>350.4</v>
          </cell>
          <cell r="D81">
            <v>240</v>
          </cell>
          <cell r="G81">
            <v>1787.04</v>
          </cell>
          <cell r="H81">
            <v>1963.2</v>
          </cell>
          <cell r="K81">
            <v>590.4</v>
          </cell>
          <cell r="L81">
            <v>3750.24</v>
          </cell>
          <cell r="M81">
            <v>5.1000000000000005</v>
          </cell>
          <cell r="N81">
            <v>8.18</v>
          </cell>
          <cell r="O81">
            <v>0</v>
          </cell>
          <cell r="P81">
            <v>0</v>
          </cell>
          <cell r="Q81">
            <v>6.3520325203252028</v>
          </cell>
          <cell r="R81">
            <v>0.5934959349593496</v>
          </cell>
          <cell r="S81">
            <v>0.4065040650406504</v>
          </cell>
          <cell r="T81">
            <v>0</v>
          </cell>
          <cell r="U81">
            <v>0</v>
          </cell>
        </row>
        <row r="82">
          <cell r="B82" t="str">
            <v>TEXAS DENIM</v>
          </cell>
          <cell r="D82">
            <v>18352.2</v>
          </cell>
          <cell r="H82">
            <v>117414.86</v>
          </cell>
          <cell r="K82">
            <v>18352.2</v>
          </cell>
          <cell r="L82">
            <v>117414.86</v>
          </cell>
          <cell r="M82">
            <v>0</v>
          </cell>
          <cell r="N82">
            <v>6.3978629265156215</v>
          </cell>
          <cell r="O82">
            <v>0</v>
          </cell>
          <cell r="P82">
            <v>0</v>
          </cell>
          <cell r="Q82">
            <v>6.3978629265156215</v>
          </cell>
          <cell r="R82">
            <v>0</v>
          </cell>
          <cell r="S82">
            <v>1</v>
          </cell>
          <cell r="T82">
            <v>0</v>
          </cell>
          <cell r="U82">
            <v>0</v>
          </cell>
        </row>
        <row r="83">
          <cell r="B83" t="str">
            <v>THERAPY</v>
          </cell>
          <cell r="C83">
            <v>1269</v>
          </cell>
          <cell r="G83">
            <v>7233.3</v>
          </cell>
          <cell r="K83">
            <v>1269</v>
          </cell>
          <cell r="L83">
            <v>7233.3</v>
          </cell>
          <cell r="M83">
            <v>5.7</v>
          </cell>
          <cell r="N83">
            <v>0</v>
          </cell>
          <cell r="O83">
            <v>0</v>
          </cell>
          <cell r="P83">
            <v>0</v>
          </cell>
          <cell r="Q83">
            <v>5.7</v>
          </cell>
          <cell r="R83">
            <v>1</v>
          </cell>
          <cell r="S83">
            <v>0</v>
          </cell>
          <cell r="T83">
            <v>0</v>
          </cell>
          <cell r="U83">
            <v>0</v>
          </cell>
        </row>
        <row r="84">
          <cell r="B84" t="str">
            <v>THERAPY COMFORT</v>
          </cell>
          <cell r="C84">
            <v>228.8</v>
          </cell>
          <cell r="D84">
            <v>459.6</v>
          </cell>
          <cell r="G84">
            <v>1761.76</v>
          </cell>
          <cell r="H84">
            <v>3401.04</v>
          </cell>
          <cell r="K84">
            <v>688.4</v>
          </cell>
          <cell r="L84">
            <v>5162.8</v>
          </cell>
          <cell r="M84">
            <v>7.6999999999999993</v>
          </cell>
          <cell r="N84">
            <v>7.3999999999999995</v>
          </cell>
          <cell r="O84">
            <v>0</v>
          </cell>
          <cell r="P84">
            <v>0</v>
          </cell>
          <cell r="Q84">
            <v>7.4997094712376526</v>
          </cell>
          <cell r="R84">
            <v>0.33236490412550845</v>
          </cell>
          <cell r="S84">
            <v>0.66763509587449166</v>
          </cell>
          <cell r="T84">
            <v>0</v>
          </cell>
          <cell r="U84">
            <v>0</v>
          </cell>
        </row>
        <row r="85">
          <cell r="B85" t="str">
            <v>THERAPY CROSS</v>
          </cell>
          <cell r="C85">
            <v>3423.7</v>
          </cell>
          <cell r="D85">
            <v>14602</v>
          </cell>
          <cell r="G85">
            <v>22883.21</v>
          </cell>
          <cell r="H85">
            <v>97221.14</v>
          </cell>
          <cell r="K85">
            <v>18025.7</v>
          </cell>
          <cell r="L85">
            <v>120104.35</v>
          </cell>
          <cell r="M85">
            <v>6.6837661010018401</v>
          </cell>
          <cell r="N85">
            <v>6.6580701273798111</v>
          </cell>
          <cell r="O85">
            <v>0</v>
          </cell>
          <cell r="P85">
            <v>0</v>
          </cell>
          <cell r="Q85">
            <v>6.662950675979296</v>
          </cell>
          <cell r="R85">
            <v>0.18993437148071918</v>
          </cell>
          <cell r="S85">
            <v>0.81006562851928077</v>
          </cell>
          <cell r="T85">
            <v>0</v>
          </cell>
          <cell r="U85">
            <v>0</v>
          </cell>
        </row>
        <row r="86">
          <cell r="B86" t="str">
            <v>THERAPY DENIM</v>
          </cell>
          <cell r="C86">
            <v>146.69999999999999</v>
          </cell>
          <cell r="D86">
            <v>7426.5</v>
          </cell>
          <cell r="G86">
            <v>865.04</v>
          </cell>
          <cell r="H86">
            <v>51911.24</v>
          </cell>
          <cell r="K86">
            <v>7573.2</v>
          </cell>
          <cell r="L86">
            <v>52776.28</v>
          </cell>
          <cell r="M86">
            <v>5.8966598500340837</v>
          </cell>
          <cell r="N86">
            <v>6.9900006732646602</v>
          </cell>
          <cell r="O86">
            <v>0</v>
          </cell>
          <cell r="P86">
            <v>0</v>
          </cell>
          <cell r="Q86">
            <v>6.9688216341837004</v>
          </cell>
          <cell r="R86">
            <v>1.9370939629218823E-2</v>
          </cell>
          <cell r="S86">
            <v>0.98062906037078124</v>
          </cell>
          <cell r="T86">
            <v>0</v>
          </cell>
          <cell r="U86">
            <v>0</v>
          </cell>
        </row>
        <row r="87">
          <cell r="B87" t="str">
            <v>TIP DENIM</v>
          </cell>
          <cell r="C87">
            <v>1150</v>
          </cell>
          <cell r="D87">
            <v>1937.1</v>
          </cell>
          <cell r="G87">
            <v>7670.5</v>
          </cell>
          <cell r="H87">
            <v>12687.79</v>
          </cell>
          <cell r="K87">
            <v>3087.1</v>
          </cell>
          <cell r="L87">
            <v>20358.29</v>
          </cell>
          <cell r="M87">
            <v>6.67</v>
          </cell>
          <cell r="N87">
            <v>6.5498890093438655</v>
          </cell>
          <cell r="O87">
            <v>0</v>
          </cell>
          <cell r="P87">
            <v>0</v>
          </cell>
          <cell r="Q87">
            <v>6.5946325029963404</v>
          </cell>
          <cell r="R87">
            <v>0.37251789705548899</v>
          </cell>
          <cell r="S87">
            <v>0.62748210294451101</v>
          </cell>
          <cell r="T87">
            <v>0</v>
          </cell>
          <cell r="U87">
            <v>0</v>
          </cell>
        </row>
        <row r="88">
          <cell r="B88" t="str">
            <v>TREAT</v>
          </cell>
          <cell r="C88">
            <v>538.29999999999995</v>
          </cell>
          <cell r="D88">
            <v>332</v>
          </cell>
          <cell r="G88">
            <v>3337.46</v>
          </cell>
          <cell r="H88">
            <v>2961.44</v>
          </cell>
          <cell r="K88">
            <v>870.3</v>
          </cell>
          <cell r="L88">
            <v>6298.9</v>
          </cell>
          <cell r="M88">
            <v>6.2</v>
          </cell>
          <cell r="N88">
            <v>8.92</v>
          </cell>
          <cell r="O88">
            <v>0</v>
          </cell>
          <cell r="P88">
            <v>0</v>
          </cell>
          <cell r="Q88">
            <v>7.2376192117660576</v>
          </cell>
          <cell r="R88">
            <v>0.61852234861541999</v>
          </cell>
          <cell r="S88">
            <v>0.38147765138458006</v>
          </cell>
          <cell r="T88">
            <v>0</v>
          </cell>
          <cell r="U88">
            <v>0</v>
          </cell>
        </row>
        <row r="89">
          <cell r="B89" t="str">
            <v>TRICK</v>
          </cell>
          <cell r="C89">
            <v>16923.7</v>
          </cell>
          <cell r="D89">
            <v>173.9</v>
          </cell>
          <cell r="G89">
            <v>118648.92</v>
          </cell>
          <cell r="H89">
            <v>1300.77</v>
          </cell>
          <cell r="K89">
            <v>17097.599999999999</v>
          </cell>
          <cell r="L89">
            <v>119949.69</v>
          </cell>
          <cell r="M89">
            <v>7.010814420014535</v>
          </cell>
          <cell r="N89">
            <v>7.479988499137435</v>
          </cell>
          <cell r="O89">
            <v>0</v>
          </cell>
          <cell r="P89">
            <v>0</v>
          </cell>
          <cell r="Q89">
            <v>7.015586398090961</v>
          </cell>
          <cell r="R89">
            <v>0.98982898184540535</v>
          </cell>
          <cell r="S89">
            <v>1.0171018154594797E-2</v>
          </cell>
          <cell r="T89">
            <v>0</v>
          </cell>
          <cell r="U89">
            <v>0</v>
          </cell>
        </row>
        <row r="90">
          <cell r="B90" t="str">
            <v>VOLARE</v>
          </cell>
          <cell r="C90">
            <v>335</v>
          </cell>
          <cell r="D90">
            <v>11653</v>
          </cell>
          <cell r="G90">
            <v>1675</v>
          </cell>
          <cell r="H90">
            <v>70408.42</v>
          </cell>
          <cell r="K90">
            <v>11988</v>
          </cell>
          <cell r="L90">
            <v>72083.42</v>
          </cell>
          <cell r="M90">
            <v>5</v>
          </cell>
          <cell r="N90">
            <v>6.0420852999227668</v>
          </cell>
          <cell r="O90">
            <v>0</v>
          </cell>
          <cell r="P90">
            <v>0</v>
          </cell>
          <cell r="Q90">
            <v>6.0129646312979643</v>
          </cell>
          <cell r="R90">
            <v>2.7944611277944613E-2</v>
          </cell>
          <cell r="S90">
            <v>0.97205538872205544</v>
          </cell>
          <cell r="T90">
            <v>0</v>
          </cell>
          <cell r="U90">
            <v>0</v>
          </cell>
        </row>
        <row r="91">
          <cell r="B91" t="str">
            <v>WEST DENIM</v>
          </cell>
          <cell r="D91">
            <v>7292.5</v>
          </cell>
          <cell r="H91">
            <v>46485.93</v>
          </cell>
          <cell r="K91">
            <v>7292.5</v>
          </cell>
          <cell r="L91">
            <v>46485.93</v>
          </cell>
          <cell r="M91">
            <v>0</v>
          </cell>
          <cell r="N91">
            <v>6.3744847446006174</v>
          </cell>
          <cell r="O91">
            <v>0</v>
          </cell>
          <cell r="P91">
            <v>0</v>
          </cell>
          <cell r="Q91">
            <v>6.3744847446006174</v>
          </cell>
          <cell r="R91">
            <v>0</v>
          </cell>
          <cell r="S91">
            <v>1</v>
          </cell>
          <cell r="T91">
            <v>0</v>
          </cell>
          <cell r="U91">
            <v>0</v>
          </cell>
        </row>
        <row r="92">
          <cell r="B92" t="str">
            <v>XPRESS BROKEN</v>
          </cell>
          <cell r="C92">
            <v>30.2</v>
          </cell>
          <cell r="G92">
            <v>210.8</v>
          </cell>
          <cell r="K92">
            <v>30.2</v>
          </cell>
          <cell r="L92">
            <v>210.8</v>
          </cell>
          <cell r="M92">
            <v>6.9801324503311264</v>
          </cell>
          <cell r="N92">
            <v>0</v>
          </cell>
          <cell r="O92">
            <v>0</v>
          </cell>
          <cell r="P92">
            <v>0</v>
          </cell>
          <cell r="Q92">
            <v>6.9801324503311264</v>
          </cell>
          <cell r="R92">
            <v>1</v>
          </cell>
          <cell r="S92">
            <v>0</v>
          </cell>
          <cell r="T92">
            <v>0</v>
          </cell>
          <cell r="U92">
            <v>0</v>
          </cell>
        </row>
        <row r="93">
          <cell r="B93" t="str">
            <v>XPRESS DENIM</v>
          </cell>
          <cell r="C93">
            <v>369.1</v>
          </cell>
          <cell r="D93">
            <v>104602</v>
          </cell>
          <cell r="G93">
            <v>2106.19</v>
          </cell>
          <cell r="H93">
            <v>601282.51</v>
          </cell>
          <cell r="K93">
            <v>104971.1</v>
          </cell>
          <cell r="L93">
            <v>603388.69999999995</v>
          </cell>
          <cell r="M93">
            <v>5.7062855594689781</v>
          </cell>
          <cell r="N93">
            <v>5.748288847249575</v>
          </cell>
          <cell r="O93">
            <v>0</v>
          </cell>
          <cell r="P93">
            <v>0</v>
          </cell>
          <cell r="Q93">
            <v>5.7481411550417203</v>
          </cell>
          <cell r="R93">
            <v>3.5162058890494622E-3</v>
          </cell>
          <cell r="S93">
            <v>0.99648379411095045</v>
          </cell>
          <cell r="T93">
            <v>0</v>
          </cell>
          <cell r="U9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CO"/>
      <sheetName val="ce"/>
      <sheetName val="ce_euro"/>
      <sheetName val="C"/>
      <sheetName val="C _euro)"/>
      <sheetName val="B"/>
      <sheetName val="B _euro"/>
      <sheetName val="A"/>
      <sheetName val="A_euro"/>
      <sheetName val="n_cons"/>
      <sheetName val="NEWST.PATR"/>
      <sheetName val="NEWST.PATR_euro"/>
      <sheetName val="ST.PATR"/>
      <sheetName val="ST.PATR_euro"/>
      <sheetName val="INV_euro"/>
      <sheetName val="REDDITI"/>
      <sheetName val="REDDITI_euro"/>
      <sheetName val="RIS_TECNICHE"/>
      <sheetName val="pr_eme_toro"/>
      <sheetName val="MENS_RPR"/>
      <sheetName val="MOD 7 SIN"/>
      <sheetName val="Abertura Circulante"/>
      <sheetName val="E1"/>
      <sheetName val="US"/>
      <sheetName val="Real_Teste_orig"/>
      <sheetName val="DFLSUBS"/>
      <sheetName val="CONSMES"/>
      <sheetName val="BMSP."/>
      <sheetName val="BCO.CENTRAL"/>
      <sheetName val="CRÉDITOS"/>
      <sheetName val="A-P-DEMONST"/>
      <sheetName val="Param"/>
      <sheetName val="FF3"/>
      <sheetName val="ECOF1101"/>
      <sheetName val="K "/>
      <sheetName val="A4.3"/>
      <sheetName val="A4"/>
      <sheetName val="PC"/>
      <sheetName val="ELIM_FINANCEIRA"/>
      <sheetName val="217302"/>
      <sheetName val="Jun-01"/>
      <sheetName val="BAL1101"/>
      <sheetName val="PREÇOS"/>
      <sheetName val="inc. claim 97"/>
      <sheetName val="Menu"/>
      <sheetName val="Mp"/>
      <sheetName val="E"/>
      <sheetName val="E2"/>
      <sheetName val="G"/>
      <sheetName val="H"/>
      <sheetName val="H1"/>
      <sheetName val="I"/>
      <sheetName val="I1"/>
      <sheetName val="J"/>
      <sheetName val="K"/>
      <sheetName val="K1"/>
      <sheetName val="L"/>
      <sheetName val="M"/>
      <sheetName val="M1"/>
      <sheetName val="N"/>
      <sheetName val="N1"/>
      <sheetName val="O"/>
      <sheetName val="Q"/>
      <sheetName val="S"/>
      <sheetName val="S1"/>
      <sheetName val="T"/>
      <sheetName val="T1"/>
      <sheetName val="U"/>
      <sheetName val="U1"/>
      <sheetName val="U2"/>
      <sheetName val="U3"/>
      <sheetName val="U4"/>
      <sheetName val="Bal032002"/>
      <sheetName val="Bal300602"/>
      <sheetName val="Bal300902"/>
      <sheetName val="Bal311202"/>
      <sheetName val="July Posting"/>
      <sheetName val="C__euro)"/>
      <sheetName val="B__euro"/>
      <sheetName val="NEWST_PATR"/>
      <sheetName val="NEWST_PATR_euro"/>
      <sheetName val="ST_PATR"/>
      <sheetName val="ST_PATR_euro"/>
      <sheetName val="Abertura_Circulante"/>
      <sheetName val="BMSP_"/>
      <sheetName val="BCO_CENTRAL"/>
      <sheetName val="MOD_7_SIN"/>
      <sheetName val="A4_3"/>
      <sheetName val="K_"/>
      <sheetName val="July_Posting"/>
      <sheetName val="INFO"/>
      <sheetName val="A4.1-BRASFLEX "/>
      <sheetName val="C__euro)1"/>
      <sheetName val="B__euro1"/>
      <sheetName val="NEWST_PATR1"/>
      <sheetName val="NEWST_PATR_euro1"/>
      <sheetName val="ST_PATR1"/>
      <sheetName val="ST_PATR_euro1"/>
      <sheetName val="Abertura_Circulante1"/>
      <sheetName val="BMSP_1"/>
      <sheetName val="BCO_CENTRAL1"/>
      <sheetName val="MOD_7_SIN1"/>
      <sheetName val="A4_31"/>
      <sheetName val="K_1"/>
      <sheetName val="July_Posting1"/>
      <sheetName val="inc__claim_97"/>
      <sheetName val="A4_1-BRASFLEX_"/>
      <sheetName val="DIVIN_ARAXA"/>
      <sheetName val="A4_2-FLEXIBRAS1"/>
      <sheetName val="A4_4-MARFLEX1"/>
      <sheetName val="A4_6-SEAOIL1"/>
      <sheetName val="A4_3-SIGMA1"/>
      <sheetName val="prebdg97"/>
      <sheetName val="OUT02_REPORT2"/>
      <sheetName val="Duplicate_Rate"/>
      <sheetName val="RIEP_INC_98"/>
      <sheetName val="Res_Autor_Motivo"/>
      <sheetName val="Res_Devolv_Motivo"/>
      <sheetName val="ELIMINAÇÕES"/>
      <sheetName val="Peso_áreas_e_CPs1"/>
      <sheetName val="ACT_Input_(2)"/>
      <sheetName val="sapactivexlhiddensheet"/>
      <sheetName val="den96"/>
      <sheetName val="ABRIL_2000"/>
      <sheetName val="TELEMIG_209"/>
      <sheetName val="Resumo_CTB"/>
      <sheetName val="VENDAS_P_SUBSIDIÁRIA"/>
      <sheetName val="DF_2011"/>
      <sheetName val="Mapa Imobilizado"/>
      <sheetName val="Cover"/>
      <sheetName val="C__euro)2"/>
      <sheetName val="B__euro2"/>
      <sheetName val="NEWST_PATR2"/>
      <sheetName val="NEWST_PATR_euro2"/>
      <sheetName val="ST_PATR2"/>
      <sheetName val="ST_PATR_euro2"/>
      <sheetName val="Abertura_Circulante2"/>
      <sheetName val="BMSP_2"/>
      <sheetName val="BCO_CENTRAL2"/>
      <sheetName val="MOD_7_SIN2"/>
      <sheetName val="K_2"/>
      <sheetName val="A4_32"/>
      <sheetName val="July_Posting2"/>
      <sheetName val="A4_1-BRASFLEX_1"/>
      <sheetName val="inc__claim_971"/>
      <sheetName val="C__euro)3"/>
      <sheetName val="B__euro3"/>
      <sheetName val="NEWST_PATR3"/>
      <sheetName val="NEWST_PATR_euro3"/>
      <sheetName val="ST_PATR3"/>
      <sheetName val="ST_PATR_euro3"/>
      <sheetName val="Abertura_Circulante3"/>
      <sheetName val="BMSP_3"/>
      <sheetName val="BCO_CENTRAL3"/>
      <sheetName val="MOD_7_SIN3"/>
      <sheetName val="K_3"/>
      <sheetName val="A4_33"/>
      <sheetName val="July_Posting3"/>
      <sheetName val="A4_1-BRASFLEX_2"/>
      <sheetName val="inc__claim_972"/>
      <sheetName val="HIN-BR Detail"/>
      <sheetName val="SUMMARY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E"/>
      <sheetName val="Depositos judiciais"/>
      <sheetName val="TESTE.XLW"/>
      <sheetName val="Sheet1"/>
      <sheetName val="RECEITA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CONSOL"/>
    </sheetNames>
    <sheetDataSet>
      <sheetData sheetId="0" refreshError="1">
        <row r="4">
          <cell r="AR4">
            <v>0</v>
          </cell>
          <cell r="AY4">
            <v>0</v>
          </cell>
          <cell r="BG4">
            <v>0</v>
          </cell>
        </row>
        <row r="5">
          <cell r="AQ5">
            <v>35643</v>
          </cell>
          <cell r="AR5">
            <v>7.4666666666667325E-4</v>
          </cell>
          <cell r="AY5">
            <v>9.2302012183909099E-5</v>
          </cell>
          <cell r="BG5">
            <v>-4.762274704785581E-2</v>
          </cell>
        </row>
        <row r="6">
          <cell r="AQ6">
            <v>35646</v>
          </cell>
          <cell r="AR6">
            <v>1.4905550222221731E-3</v>
          </cell>
          <cell r="AY6">
            <v>9.2302012183909099E-5</v>
          </cell>
          <cell r="BG6">
            <v>-6.6500932256059658E-2</v>
          </cell>
        </row>
        <row r="7">
          <cell r="AQ7">
            <v>35647</v>
          </cell>
          <cell r="AR7">
            <v>2.2349963347887414E-3</v>
          </cell>
          <cell r="AY7">
            <v>8.3071810965495985E-4</v>
          </cell>
          <cell r="BG7">
            <v>-7.4891236793039148E-2</v>
          </cell>
        </row>
        <row r="8">
          <cell r="AQ8">
            <v>35648</v>
          </cell>
          <cell r="AR8">
            <v>2.9766502320764943E-3</v>
          </cell>
          <cell r="AY8">
            <v>1.015322134022556E-3</v>
          </cell>
          <cell r="BG8">
            <v>-2.711311373523928E-2</v>
          </cell>
        </row>
        <row r="9">
          <cell r="AQ9">
            <v>35649</v>
          </cell>
          <cell r="AR9">
            <v>3.722196208749029E-3</v>
          </cell>
          <cell r="AY9">
            <v>1.5691342071257885E-3</v>
          </cell>
          <cell r="BG9">
            <v>-2.7579241765071472E-2</v>
          </cell>
        </row>
        <row r="10">
          <cell r="AQ10">
            <v>35650</v>
          </cell>
        </row>
        <row r="11">
          <cell r="AQ11">
            <v>35653</v>
          </cell>
        </row>
        <row r="12">
          <cell r="AQ12">
            <v>35654</v>
          </cell>
        </row>
        <row r="13">
          <cell r="AQ13">
            <v>35655</v>
          </cell>
        </row>
        <row r="14">
          <cell r="AQ14">
            <v>35656</v>
          </cell>
        </row>
        <row r="15">
          <cell r="AQ15">
            <v>35657</v>
          </cell>
        </row>
        <row r="16">
          <cell r="AQ16">
            <v>35660</v>
          </cell>
        </row>
        <row r="17">
          <cell r="AQ17">
            <v>35661</v>
          </cell>
        </row>
        <row r="18">
          <cell r="AQ18">
            <v>35662</v>
          </cell>
        </row>
        <row r="19">
          <cell r="AQ19">
            <v>35663</v>
          </cell>
        </row>
        <row r="20">
          <cell r="AQ20">
            <v>35664</v>
          </cell>
        </row>
        <row r="21">
          <cell r="AQ21">
            <v>35667</v>
          </cell>
        </row>
        <row r="22">
          <cell r="AQ22">
            <v>35668</v>
          </cell>
        </row>
        <row r="23">
          <cell r="AQ23">
            <v>35669</v>
          </cell>
        </row>
        <row r="24">
          <cell r="AQ24">
            <v>35670</v>
          </cell>
        </row>
        <row r="25">
          <cell r="AQ25">
            <v>35671</v>
          </cell>
        </row>
        <row r="131">
          <cell r="Q131">
            <v>34515</v>
          </cell>
          <cell r="V131">
            <v>100</v>
          </cell>
          <cell r="W131">
            <v>100</v>
          </cell>
          <cell r="X131">
            <v>107.08333333333333</v>
          </cell>
        </row>
        <row r="132">
          <cell r="B132">
            <v>34519</v>
          </cell>
          <cell r="C132">
            <v>34519</v>
          </cell>
          <cell r="E132">
            <v>1.0039800000000001</v>
          </cell>
          <cell r="H132">
            <v>0.94</v>
          </cell>
          <cell r="Q132">
            <v>34519</v>
          </cell>
          <cell r="V132">
            <v>101.77536231884056</v>
          </cell>
          <cell r="W132">
            <v>100.36366666666669</v>
          </cell>
          <cell r="X132">
            <v>107.08333333333333</v>
          </cell>
        </row>
        <row r="133">
          <cell r="B133">
            <v>6</v>
          </cell>
          <cell r="C133">
            <v>34520</v>
          </cell>
          <cell r="E133">
            <v>1.0079925734000001</v>
          </cell>
          <cell r="H133">
            <v>0.93200000000000005</v>
          </cell>
          <cell r="Q133">
            <v>34520</v>
          </cell>
          <cell r="V133">
            <v>101.77536231884056</v>
          </cell>
          <cell r="W133">
            <v>100.76311406000004</v>
          </cell>
          <cell r="X133">
            <v>107.08333333333333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  <cell r="Q134">
            <v>34521</v>
          </cell>
          <cell r="V134">
            <v>101.77536231884056</v>
          </cell>
          <cell r="W134">
            <v>101.16583063919316</v>
          </cell>
          <cell r="X134">
            <v>107.08333333333333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  <cell r="Q135">
            <v>34522</v>
          </cell>
          <cell r="V135">
            <v>101.77536231884056</v>
          </cell>
          <cell r="W135">
            <v>101.57049396174995</v>
          </cell>
          <cell r="X135">
            <v>107.08333333333333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  <cell r="Q136">
            <v>34523</v>
          </cell>
          <cell r="V136">
            <v>101.77536231884056</v>
          </cell>
          <cell r="W136">
            <v>101.9737288227781</v>
          </cell>
          <cell r="X136">
            <v>107.08333333333333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  <cell r="Q137">
            <v>34526</v>
          </cell>
          <cell r="V137">
            <v>101.77536231884056</v>
          </cell>
          <cell r="W137">
            <v>102.37040662789869</v>
          </cell>
          <cell r="X137">
            <v>107.08333333333333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  <cell r="Q138">
            <v>34527</v>
          </cell>
          <cell r="V138">
            <v>101.77536231884056</v>
          </cell>
          <cell r="W138">
            <v>102.75497812213081</v>
          </cell>
          <cell r="X138">
            <v>107.08333333333333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  <cell r="Q139">
            <v>34528</v>
          </cell>
          <cell r="V139">
            <v>101.77536231884056</v>
          </cell>
          <cell r="W139">
            <v>103.1454470389949</v>
          </cell>
          <cell r="X139">
            <v>107.08333333333333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  <cell r="Q140">
            <v>34529</v>
          </cell>
          <cell r="V140">
            <v>101.77536231884056</v>
          </cell>
          <cell r="W140">
            <v>103.53774355589988</v>
          </cell>
          <cell r="X140">
            <v>107.08333333333333</v>
          </cell>
        </row>
        <row r="141">
          <cell r="B141">
            <v>34530</v>
          </cell>
          <cell r="C141">
            <v>34530</v>
          </cell>
          <cell r="E141">
            <v>1.0390391965922039</v>
          </cell>
          <cell r="H141">
            <v>0.93500000000000005</v>
          </cell>
          <cell r="Q141">
            <v>34530</v>
          </cell>
          <cell r="V141">
            <v>101.77536231884056</v>
          </cell>
          <cell r="W141">
            <v>103.92566496842264</v>
          </cell>
          <cell r="X141">
            <v>107.08333333333333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  <cell r="Q142">
            <v>34533</v>
          </cell>
          <cell r="V142">
            <v>101.77536231884056</v>
          </cell>
          <cell r="W142">
            <v>104.2817835803811</v>
          </cell>
          <cell r="X142">
            <v>107.08333333333333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  <cell r="Q143">
            <v>34534</v>
          </cell>
          <cell r="V143">
            <v>101.77536231884056</v>
          </cell>
          <cell r="W143">
            <v>104.62834670781324</v>
          </cell>
          <cell r="X143">
            <v>107.08333333333333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  <cell r="Q144">
            <v>34535</v>
          </cell>
          <cell r="V144">
            <v>101.77536231884056</v>
          </cell>
          <cell r="W144">
            <v>104.98164175852993</v>
          </cell>
          <cell r="X144">
            <v>107.08333333333333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  <cell r="Q145">
            <v>34536</v>
          </cell>
          <cell r="V145">
            <v>101.77536231884056</v>
          </cell>
          <cell r="W145">
            <v>105.33368019722687</v>
          </cell>
          <cell r="X145">
            <v>107.08333333333333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  <cell r="Q146">
            <v>34537</v>
          </cell>
          <cell r="V146">
            <v>101.77536231884056</v>
          </cell>
          <cell r="W146">
            <v>105.62475226683853</v>
          </cell>
          <cell r="X146">
            <v>107.08333333333333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  <cell r="Q147">
            <v>34540</v>
          </cell>
          <cell r="V147">
            <v>102.60869565217391</v>
          </cell>
          <cell r="W147">
            <v>105.87613917723361</v>
          </cell>
          <cell r="X147">
            <v>107.08333333333333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  <cell r="Q148">
            <v>34541</v>
          </cell>
          <cell r="V148">
            <v>103.44202898550724</v>
          </cell>
          <cell r="W148">
            <v>106.13553571821784</v>
          </cell>
          <cell r="X148">
            <v>107.08333333333333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  <cell r="Q149">
            <v>34542</v>
          </cell>
          <cell r="V149">
            <v>104.29347826086956</v>
          </cell>
          <cell r="W149">
            <v>106.38389287179847</v>
          </cell>
          <cell r="X149">
            <v>107.08333333333333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  <cell r="Q150">
            <v>34543</v>
          </cell>
          <cell r="V150">
            <v>105.14492753623189</v>
          </cell>
          <cell r="W150">
            <v>106.64488802231062</v>
          </cell>
          <cell r="X150">
            <v>107.08333333333333</v>
          </cell>
        </row>
        <row r="151">
          <cell r="B151">
            <v>34544</v>
          </cell>
          <cell r="C151">
            <v>34544</v>
          </cell>
          <cell r="E151">
            <v>1.0667646561671231</v>
          </cell>
          <cell r="H151">
            <v>0.94</v>
          </cell>
          <cell r="Q151">
            <v>34544</v>
          </cell>
          <cell r="V151">
            <v>106.10507246376811</v>
          </cell>
          <cell r="W151">
            <v>106.8684868041974</v>
          </cell>
          <cell r="X151">
            <v>107.08333333333333</v>
          </cell>
        </row>
        <row r="152">
          <cell r="B152">
            <v>1.0416000000000001</v>
          </cell>
          <cell r="H152">
            <v>0.93200000000000005</v>
          </cell>
          <cell r="Q152">
            <v>34547</v>
          </cell>
          <cell r="X152">
            <v>107.08333333333333</v>
          </cell>
        </row>
        <row r="153">
          <cell r="H153">
            <v>0.91900000000000004</v>
          </cell>
        </row>
        <row r="154">
          <cell r="H154">
            <v>0.91</v>
          </cell>
        </row>
        <row r="155">
          <cell r="H155">
            <v>0.91</v>
          </cell>
        </row>
        <row r="156">
          <cell r="H156">
            <v>0.91200000000000003</v>
          </cell>
        </row>
        <row r="157">
          <cell r="H157">
            <v>0.90600000000000003</v>
          </cell>
        </row>
        <row r="158">
          <cell r="H158">
            <v>0.89100000000000001</v>
          </cell>
        </row>
        <row r="159">
          <cell r="H159">
            <v>0.89200000000000002</v>
          </cell>
        </row>
        <row r="160">
          <cell r="H160">
            <v>0.89400000000000002</v>
          </cell>
        </row>
        <row r="161">
          <cell r="H161">
            <v>0.90600000000000003</v>
          </cell>
        </row>
        <row r="162">
          <cell r="B162">
            <v>34561</v>
          </cell>
          <cell r="H162">
            <v>0.89400000000000002</v>
          </cell>
        </row>
        <row r="163">
          <cell r="H163">
            <v>0.89600000000000002</v>
          </cell>
        </row>
        <row r="164">
          <cell r="H164">
            <v>0.90100000000000002</v>
          </cell>
        </row>
        <row r="165">
          <cell r="H165">
            <v>0.89700000000000002</v>
          </cell>
        </row>
        <row r="166">
          <cell r="H166">
            <v>0.89400000000000002</v>
          </cell>
        </row>
        <row r="167">
          <cell r="H167">
            <v>0.88700000000000001</v>
          </cell>
        </row>
        <row r="168">
          <cell r="H168">
            <v>0.88800000000000001</v>
          </cell>
        </row>
        <row r="169">
          <cell r="H169">
            <v>0.88400000000000001</v>
          </cell>
        </row>
        <row r="170">
          <cell r="H170">
            <v>0.88800000000000001</v>
          </cell>
        </row>
        <row r="171">
          <cell r="H171">
            <v>0.88600000000000001</v>
          </cell>
        </row>
        <row r="172">
          <cell r="H172">
            <v>0.89600000000000002</v>
          </cell>
        </row>
        <row r="173">
          <cell r="H173">
            <v>0.88700000000000001</v>
          </cell>
        </row>
        <row r="174">
          <cell r="B174">
            <v>34577</v>
          </cell>
          <cell r="H174">
            <v>0.89</v>
          </cell>
        </row>
        <row r="175">
          <cell r="B175">
            <v>1.0383</v>
          </cell>
          <cell r="H175">
            <v>0.88500000000000001</v>
          </cell>
        </row>
        <row r="176">
          <cell r="H176">
            <v>0.88700000000000001</v>
          </cell>
        </row>
        <row r="177">
          <cell r="H177">
            <v>0.89200000000000002</v>
          </cell>
        </row>
        <row r="178">
          <cell r="H178">
            <v>0.88600000000000001</v>
          </cell>
        </row>
        <row r="179">
          <cell r="H179">
            <v>0.88100000000000001</v>
          </cell>
        </row>
        <row r="180">
          <cell r="H180">
            <v>0.872</v>
          </cell>
        </row>
        <row r="181">
          <cell r="H181">
            <v>0.85099999999999998</v>
          </cell>
        </row>
        <row r="182">
          <cell r="H182">
            <v>0.86</v>
          </cell>
        </row>
        <row r="183">
          <cell r="H183">
            <v>0.85499999999999998</v>
          </cell>
        </row>
        <row r="184">
          <cell r="B184">
            <v>34592</v>
          </cell>
          <cell r="H184">
            <v>0.85699999999999998</v>
          </cell>
        </row>
        <row r="185">
          <cell r="H185">
            <v>0.85699999999999998</v>
          </cell>
        </row>
        <row r="186">
          <cell r="H186">
            <v>0.85399999999999998</v>
          </cell>
        </row>
        <row r="187">
          <cell r="H187">
            <v>0.85399999999999998</v>
          </cell>
        </row>
        <row r="188">
          <cell r="H188">
            <v>0.85699999999999998</v>
          </cell>
        </row>
        <row r="189">
          <cell r="H189">
            <v>0.85499999999999998</v>
          </cell>
        </row>
        <row r="190">
          <cell r="H190">
            <v>0.85699999999999998</v>
          </cell>
        </row>
        <row r="191">
          <cell r="H191">
            <v>0.86199999999999999</v>
          </cell>
        </row>
        <row r="192">
          <cell r="H192">
            <v>0.86799999999999999</v>
          </cell>
        </row>
        <row r="193">
          <cell r="H193">
            <v>0.86199999999999999</v>
          </cell>
        </row>
        <row r="194">
          <cell r="H194">
            <v>0.86099999999999999</v>
          </cell>
        </row>
        <row r="195">
          <cell r="B195">
            <v>34607</v>
          </cell>
          <cell r="H195">
            <v>0.85299999999999998</v>
          </cell>
        </row>
      </sheetData>
      <sheetData sheetId="1" refreshError="1"/>
      <sheetData sheetId="2" refreshError="1"/>
      <sheetData sheetId="3"/>
      <sheetData sheetId="4" refreshError="1"/>
      <sheetData sheetId="5">
        <row r="131">
          <cell r="Q13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ATU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200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4.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ces. Finan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FLUXO1"/>
      <sheetName val="RELBACEN"/>
      <sheetName val="DIVIDA"/>
      <sheetName val="Plan1 (2)"/>
      <sheetName val="Plan1 (3)"/>
      <sheetName val="O2CC"/>
      <sheetName val="Plan1 _2_"/>
      <sheetName val="Neces. Finan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ção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ositos judiciai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 7 SIN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RESUMO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ÇÃO"/>
      <sheetName val="FLUXOGRAMA"/>
      <sheetName val="PLANILHA OUTUBRO"/>
      <sheetName val="QUANTIDADE DE CHAMADAS"/>
      <sheetName val="CALC-RESUMO"/>
      <sheetName val="TEMPOS MÉDIOS "/>
      <sheetName val="CHAMADAS POR INTERVALO"/>
      <sheetName val="CSE-SOLICITAÇÕES CELPE"/>
      <sheetName val="CSE-SOLICITAÇÕES CGTL"/>
      <sheetName val="COD-SOLICITAÇÕES TÉCNICAS"/>
      <sheetName val="SERVIÇOS EXECUTADOS PELA CGTL"/>
      <sheetName val="HISTÓRICO DE CHAMADAS"/>
      <sheetName val="RESUMO ANEEL"/>
      <sheetName val="AGENTE CREDENCIADO"/>
      <sheetName val="CALC_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A3" t="str">
            <v>Data</v>
          </cell>
          <cell r="AS3" t="str">
            <v>Receb.</v>
          </cell>
          <cell r="AT3" t="str">
            <v>Rejeit.</v>
          </cell>
          <cell r="AU3" t="str">
            <v>Aband.</v>
          </cell>
          <cell r="AV3" t="str">
            <v>Atendidas</v>
          </cell>
        </row>
        <row r="4">
          <cell r="AS4">
            <v>3</v>
          </cell>
          <cell r="AT4">
            <v>0</v>
          </cell>
          <cell r="AU4">
            <v>0</v>
          </cell>
          <cell r="AV4">
            <v>3</v>
          </cell>
        </row>
        <row r="5">
          <cell r="AS5">
            <v>103</v>
          </cell>
          <cell r="AT5">
            <v>0</v>
          </cell>
          <cell r="AU5">
            <v>8</v>
          </cell>
          <cell r="AV5">
            <v>95</v>
          </cell>
        </row>
        <row r="6">
          <cell r="AS6">
            <v>134</v>
          </cell>
          <cell r="AT6">
            <v>0</v>
          </cell>
          <cell r="AU6">
            <v>16</v>
          </cell>
          <cell r="AV6">
            <v>118</v>
          </cell>
        </row>
        <row r="7">
          <cell r="AS7">
            <v>281</v>
          </cell>
          <cell r="AT7">
            <v>0</v>
          </cell>
          <cell r="AU7">
            <v>46</v>
          </cell>
          <cell r="AV7">
            <v>235</v>
          </cell>
        </row>
        <row r="8">
          <cell r="AS8">
            <v>304</v>
          </cell>
          <cell r="AT8">
            <v>0</v>
          </cell>
          <cell r="AU8">
            <v>73</v>
          </cell>
          <cell r="AV8">
            <v>231</v>
          </cell>
        </row>
        <row r="9">
          <cell r="AS9">
            <v>65</v>
          </cell>
          <cell r="AT9">
            <v>0</v>
          </cell>
          <cell r="AU9">
            <v>7</v>
          </cell>
          <cell r="AV9">
            <v>58</v>
          </cell>
        </row>
        <row r="10">
          <cell r="AS10">
            <v>8</v>
          </cell>
          <cell r="AT10">
            <v>0</v>
          </cell>
          <cell r="AU10">
            <v>0</v>
          </cell>
          <cell r="AV10">
            <v>8</v>
          </cell>
        </row>
        <row r="11">
          <cell r="AS11">
            <v>243</v>
          </cell>
          <cell r="AT11">
            <v>0</v>
          </cell>
          <cell r="AU11">
            <v>40</v>
          </cell>
          <cell r="AV11">
            <v>203</v>
          </cell>
        </row>
        <row r="12">
          <cell r="AS12">
            <v>252</v>
          </cell>
          <cell r="AT12">
            <v>0</v>
          </cell>
          <cell r="AU12">
            <v>47</v>
          </cell>
          <cell r="AV12">
            <v>205</v>
          </cell>
        </row>
        <row r="13">
          <cell r="AS13">
            <v>238</v>
          </cell>
          <cell r="AT13">
            <v>0</v>
          </cell>
          <cell r="AU13">
            <v>25</v>
          </cell>
          <cell r="AV13">
            <v>213</v>
          </cell>
        </row>
        <row r="14">
          <cell r="AS14">
            <v>254</v>
          </cell>
          <cell r="AT14">
            <v>0</v>
          </cell>
          <cell r="AU14">
            <v>32</v>
          </cell>
          <cell r="AV14">
            <v>222</v>
          </cell>
        </row>
        <row r="15">
          <cell r="AS15">
            <v>236</v>
          </cell>
          <cell r="AT15">
            <v>0</v>
          </cell>
          <cell r="AU15">
            <v>24</v>
          </cell>
          <cell r="AV15">
            <v>212</v>
          </cell>
        </row>
        <row r="16">
          <cell r="AS16">
            <v>118</v>
          </cell>
          <cell r="AT16">
            <v>0</v>
          </cell>
          <cell r="AU16">
            <v>11</v>
          </cell>
          <cell r="AV16">
            <v>107</v>
          </cell>
        </row>
        <row r="17">
          <cell r="AS17">
            <v>8</v>
          </cell>
          <cell r="AT17">
            <v>0</v>
          </cell>
          <cell r="AU17">
            <v>0</v>
          </cell>
          <cell r="AV17">
            <v>8</v>
          </cell>
        </row>
        <row r="18">
          <cell r="AS18">
            <v>363</v>
          </cell>
          <cell r="AT18">
            <v>0</v>
          </cell>
          <cell r="AU18">
            <v>128</v>
          </cell>
          <cell r="AV18">
            <v>235</v>
          </cell>
        </row>
        <row r="19">
          <cell r="AS19">
            <v>301</v>
          </cell>
          <cell r="AT19">
            <v>0</v>
          </cell>
          <cell r="AU19">
            <v>119</v>
          </cell>
          <cell r="AV19">
            <v>182</v>
          </cell>
        </row>
        <row r="20">
          <cell r="AS20">
            <v>186</v>
          </cell>
          <cell r="AT20">
            <v>0</v>
          </cell>
          <cell r="AU20">
            <v>71</v>
          </cell>
          <cell r="AV20">
            <v>115</v>
          </cell>
        </row>
        <row r="21">
          <cell r="AS21">
            <v>410</v>
          </cell>
          <cell r="AT21">
            <v>0</v>
          </cell>
          <cell r="AU21">
            <v>177</v>
          </cell>
          <cell r="AV21">
            <v>233</v>
          </cell>
        </row>
        <row r="22">
          <cell r="AS22">
            <v>307</v>
          </cell>
          <cell r="AT22">
            <v>0</v>
          </cell>
          <cell r="AU22">
            <v>158</v>
          </cell>
          <cell r="AV22">
            <v>149</v>
          </cell>
        </row>
        <row r="23">
          <cell r="AS23">
            <v>102</v>
          </cell>
          <cell r="AT23">
            <v>0</v>
          </cell>
          <cell r="AU23">
            <v>9</v>
          </cell>
          <cell r="AV23">
            <v>93</v>
          </cell>
        </row>
        <row r="24">
          <cell r="AS24">
            <v>4</v>
          </cell>
          <cell r="AT24">
            <v>0</v>
          </cell>
          <cell r="AU24">
            <v>0</v>
          </cell>
          <cell r="AV24">
            <v>4</v>
          </cell>
        </row>
        <row r="25">
          <cell r="AS25">
            <v>351</v>
          </cell>
          <cell r="AT25">
            <v>0</v>
          </cell>
          <cell r="AU25">
            <v>187</v>
          </cell>
          <cell r="AV25">
            <v>164</v>
          </cell>
        </row>
        <row r="26">
          <cell r="AS26">
            <v>336</v>
          </cell>
          <cell r="AT26">
            <v>0</v>
          </cell>
          <cell r="AU26">
            <v>200</v>
          </cell>
          <cell r="AV26">
            <v>136</v>
          </cell>
        </row>
        <row r="27">
          <cell r="AS27">
            <v>285</v>
          </cell>
          <cell r="AT27">
            <v>0</v>
          </cell>
          <cell r="AU27">
            <v>101</v>
          </cell>
          <cell r="AV27">
            <v>184</v>
          </cell>
        </row>
        <row r="28">
          <cell r="AS28">
            <v>239</v>
          </cell>
          <cell r="AT28">
            <v>0</v>
          </cell>
          <cell r="AU28">
            <v>62</v>
          </cell>
          <cell r="AV28">
            <v>177</v>
          </cell>
        </row>
        <row r="29">
          <cell r="AS29">
            <v>396</v>
          </cell>
          <cell r="AT29">
            <v>0</v>
          </cell>
          <cell r="AU29">
            <v>197</v>
          </cell>
          <cell r="AV29">
            <v>199</v>
          </cell>
        </row>
        <row r="30">
          <cell r="AS30">
            <v>146</v>
          </cell>
          <cell r="AT30">
            <v>0</v>
          </cell>
          <cell r="AU30">
            <v>16</v>
          </cell>
          <cell r="AV30">
            <v>130</v>
          </cell>
        </row>
        <row r="31">
          <cell r="AS31">
            <v>20</v>
          </cell>
          <cell r="AT31">
            <v>0</v>
          </cell>
          <cell r="AU31">
            <v>0</v>
          </cell>
          <cell r="AV31">
            <v>20</v>
          </cell>
        </row>
        <row r="32">
          <cell r="AS32">
            <v>468</v>
          </cell>
          <cell r="AT32">
            <v>0</v>
          </cell>
          <cell r="AU32">
            <v>128</v>
          </cell>
          <cell r="AV32">
            <v>340</v>
          </cell>
        </row>
        <row r="33">
          <cell r="AS33">
            <v>459</v>
          </cell>
          <cell r="AT33">
            <v>0</v>
          </cell>
          <cell r="AU33">
            <v>78</v>
          </cell>
          <cell r="AV33">
            <v>381</v>
          </cell>
        </row>
        <row r="34">
          <cell r="AS34">
            <v>309</v>
          </cell>
          <cell r="AT34">
            <v>0</v>
          </cell>
          <cell r="AU34">
            <v>41</v>
          </cell>
          <cell r="AV34">
            <v>268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17 - Consulta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atual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. ATIVO e PASSIVO"/>
      <sheetName val="GRAF. EVOL NOV e DEZ"/>
      <sheetName val="GRAF. SETOR DEZ"/>
      <sheetName val="DADOS BASE"/>
      <sheetName val="NOV.00"/>
      <sheetName val="DEZ.00"/>
      <sheetName val="NOV_00"/>
      <sheetName val="BSPL_01_07"/>
      <sheetName val="BSPL_02_07"/>
      <sheetName val="BSPL_03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B9" t="str">
            <v>DESCRIÇÃO</v>
          </cell>
          <cell r="C9" t="str">
            <v>SALDO</v>
          </cell>
          <cell r="F9" t="str">
            <v xml:space="preserve"> R$</v>
          </cell>
          <cell r="G9" t="str">
            <v>%</v>
          </cell>
          <cell r="M9" t="str">
            <v>PATRIMÔNIO</v>
          </cell>
          <cell r="N9" t="str">
            <v>RESULTADO</v>
          </cell>
          <cell r="O9" t="str">
            <v>SALDO</v>
          </cell>
        </row>
        <row r="10">
          <cell r="B10" t="str">
            <v>CAIXA GERAL</v>
          </cell>
          <cell r="C10">
            <v>4388.05</v>
          </cell>
          <cell r="D10" t="str">
            <v>ANALISADA</v>
          </cell>
          <cell r="E10">
            <v>0</v>
          </cell>
          <cell r="F10">
            <v>0</v>
          </cell>
          <cell r="G10">
            <v>0</v>
          </cell>
          <cell r="H10" t="str">
            <v>Gláucio/Adriana</v>
          </cell>
          <cell r="I10" t="str">
            <v>SECOT</v>
          </cell>
          <cell r="J10">
            <v>1</v>
          </cell>
          <cell r="K10" t="e">
            <v>#REF!</v>
          </cell>
          <cell r="O10">
            <v>0</v>
          </cell>
        </row>
        <row r="11">
          <cell r="B11" t="str">
            <v>FUNDO FIXO DE CAIXA</v>
          </cell>
          <cell r="C11">
            <v>300</v>
          </cell>
          <cell r="D11" t="str">
            <v>ANALISADA</v>
          </cell>
          <cell r="E11">
            <v>0</v>
          </cell>
          <cell r="F11">
            <v>0</v>
          </cell>
          <cell r="G11">
            <v>0</v>
          </cell>
          <cell r="H11" t="str">
            <v>Gláucio/Adriana</v>
          </cell>
          <cell r="I11" t="str">
            <v>SECOT</v>
          </cell>
          <cell r="J11">
            <v>1</v>
          </cell>
          <cell r="K11" t="e">
            <v>#REF!</v>
          </cell>
          <cell r="O11">
            <v>0</v>
          </cell>
        </row>
        <row r="12">
          <cell r="B12" t="str">
            <v>BRADESCO-482620-5-3201-EXT</v>
          </cell>
          <cell r="C12">
            <v>6733.23</v>
          </cell>
          <cell r="D12" t="str">
            <v>ANALISADA</v>
          </cell>
          <cell r="E12">
            <v>0</v>
          </cell>
          <cell r="F12">
            <v>0</v>
          </cell>
          <cell r="G12">
            <v>0</v>
          </cell>
          <cell r="H12" t="str">
            <v>SEFIN</v>
          </cell>
          <cell r="I12" t="str">
            <v>SEFIN</v>
          </cell>
          <cell r="J12">
            <v>1</v>
          </cell>
          <cell r="K12" t="e">
            <v>#REF!</v>
          </cell>
          <cell r="O12">
            <v>0</v>
          </cell>
        </row>
        <row r="13">
          <cell r="B13" t="str">
            <v>BILBAO HCARD - 001.100.524-6-845-EXT</v>
          </cell>
          <cell r="C13">
            <v>917.95</v>
          </cell>
          <cell r="D13" t="str">
            <v>ANALISADA</v>
          </cell>
          <cell r="E13">
            <v>0</v>
          </cell>
          <cell r="F13">
            <v>0</v>
          </cell>
          <cell r="G13">
            <v>0</v>
          </cell>
          <cell r="H13" t="str">
            <v>SEFIN</v>
          </cell>
          <cell r="I13" t="str">
            <v>SEFIN</v>
          </cell>
          <cell r="J13">
            <v>1</v>
          </cell>
          <cell r="K13" t="e">
            <v>#REF!</v>
          </cell>
          <cell r="O13">
            <v>0</v>
          </cell>
        </row>
        <row r="14">
          <cell r="B14" t="str">
            <v>BANDEPE-200443-3-53-EXT</v>
          </cell>
          <cell r="C14">
            <v>2270.2800000000002</v>
          </cell>
          <cell r="D14" t="str">
            <v>ANALISADA</v>
          </cell>
          <cell r="E14">
            <v>0</v>
          </cell>
          <cell r="F14">
            <v>0</v>
          </cell>
          <cell r="G14">
            <v>0</v>
          </cell>
          <cell r="H14" t="str">
            <v>SEFIN</v>
          </cell>
          <cell r="I14" t="str">
            <v>SEFIN</v>
          </cell>
          <cell r="J14">
            <v>1</v>
          </cell>
          <cell r="K14" t="e">
            <v>#REF!</v>
          </cell>
          <cell r="O14">
            <v>0</v>
          </cell>
        </row>
        <row r="15">
          <cell r="B15" t="str">
            <v>BOSTON-403215-08-0001-EXT</v>
          </cell>
          <cell r="C15">
            <v>47600.85</v>
          </cell>
          <cell r="D15" t="str">
            <v>ANALISADA</v>
          </cell>
          <cell r="E15">
            <v>0</v>
          </cell>
          <cell r="F15">
            <v>0</v>
          </cell>
          <cell r="G15">
            <v>0</v>
          </cell>
          <cell r="H15" t="str">
            <v>SEFIN</v>
          </cell>
          <cell r="I15" t="str">
            <v>SEFIN</v>
          </cell>
          <cell r="J15">
            <v>1</v>
          </cell>
          <cell r="K15" t="e">
            <v>#REF!</v>
          </cell>
          <cell r="O15">
            <v>0</v>
          </cell>
        </row>
        <row r="16">
          <cell r="B16" t="str">
            <v>CEF-0011031-2-1031-EXT</v>
          </cell>
          <cell r="C16">
            <v>1036.5999999999999</v>
          </cell>
          <cell r="D16" t="str">
            <v>ANALISADA</v>
          </cell>
          <cell r="E16">
            <v>0</v>
          </cell>
          <cell r="F16">
            <v>0</v>
          </cell>
          <cell r="G16">
            <v>0</v>
          </cell>
          <cell r="H16" t="str">
            <v>SEFIN</v>
          </cell>
          <cell r="I16" t="str">
            <v>SEFIN</v>
          </cell>
          <cell r="J16">
            <v>1</v>
          </cell>
          <cell r="K16" t="e">
            <v>#REF!</v>
          </cell>
          <cell r="O16">
            <v>0</v>
          </cell>
        </row>
        <row r="17">
          <cell r="B17" t="str">
            <v>BANDE-705203-9-0246-EXT</v>
          </cell>
          <cell r="C17">
            <v>288558.65000000002</v>
          </cell>
          <cell r="D17" t="str">
            <v>ANALISADA</v>
          </cell>
          <cell r="E17">
            <v>0</v>
          </cell>
          <cell r="F17">
            <v>0</v>
          </cell>
          <cell r="G17">
            <v>0</v>
          </cell>
          <cell r="H17" t="str">
            <v>SEFIN</v>
          </cell>
          <cell r="I17" t="str">
            <v>SEFIN</v>
          </cell>
          <cell r="J17">
            <v>1</v>
          </cell>
          <cell r="K17" t="e">
            <v>#REF!</v>
          </cell>
          <cell r="O17">
            <v>0</v>
          </cell>
        </row>
        <row r="18">
          <cell r="B18" t="str">
            <v>BANCO CIDADE HCAR-008147-42-EXT</v>
          </cell>
          <cell r="C18">
            <v>1000</v>
          </cell>
          <cell r="D18" t="str">
            <v>ANALISADA</v>
          </cell>
          <cell r="E18">
            <v>0</v>
          </cell>
          <cell r="F18">
            <v>0</v>
          </cell>
          <cell r="G18">
            <v>0</v>
          </cell>
          <cell r="H18" t="str">
            <v>SEFIN</v>
          </cell>
          <cell r="I18" t="str">
            <v>SEFIN</v>
          </cell>
          <cell r="J18">
            <v>1</v>
          </cell>
          <cell r="K18" t="e">
            <v>#REF!</v>
          </cell>
          <cell r="O18">
            <v>0</v>
          </cell>
        </row>
        <row r="19">
          <cell r="B19" t="str">
            <v>BRASIL HCARD-9589-3-007-EXT</v>
          </cell>
          <cell r="C19">
            <v>11363.15</v>
          </cell>
          <cell r="D19" t="str">
            <v>ANALISADA</v>
          </cell>
          <cell r="E19">
            <v>0</v>
          </cell>
          <cell r="F19">
            <v>0</v>
          </cell>
          <cell r="G19">
            <v>0</v>
          </cell>
          <cell r="H19" t="str">
            <v>SEFIN</v>
          </cell>
          <cell r="I19" t="str">
            <v>SEFIN</v>
          </cell>
          <cell r="J19">
            <v>1</v>
          </cell>
          <cell r="K19" t="e">
            <v>#REF!</v>
          </cell>
          <cell r="O19">
            <v>0</v>
          </cell>
        </row>
        <row r="20">
          <cell r="B20" t="str">
            <v>SAFRA HCARD 016079-1-02900-EXT</v>
          </cell>
          <cell r="C20">
            <v>-5007179.53</v>
          </cell>
          <cell r="D20" t="str">
            <v>ANALISADA</v>
          </cell>
          <cell r="E20">
            <v>0</v>
          </cell>
          <cell r="F20">
            <v>0</v>
          </cell>
          <cell r="G20">
            <v>0</v>
          </cell>
          <cell r="H20" t="str">
            <v>SEFIN</v>
          </cell>
          <cell r="I20" t="str">
            <v>SEFIN</v>
          </cell>
          <cell r="J20">
            <v>1</v>
          </cell>
          <cell r="K20" t="e">
            <v>#REF!</v>
          </cell>
          <cell r="O20">
            <v>0</v>
          </cell>
        </row>
        <row r="21">
          <cell r="B21" t="str">
            <v>UNIBANCO HCARD - 122631 - 2 - 0351 - EXT</v>
          </cell>
          <cell r="C21">
            <v>35362.620000000003</v>
          </cell>
          <cell r="D21" t="str">
            <v>ANALISADA</v>
          </cell>
          <cell r="E21">
            <v>0</v>
          </cell>
          <cell r="F21">
            <v>0</v>
          </cell>
          <cell r="G21">
            <v>0</v>
          </cell>
          <cell r="H21" t="str">
            <v>SEFIN</v>
          </cell>
          <cell r="I21" t="str">
            <v>SEFIN</v>
          </cell>
          <cell r="J21">
            <v>1</v>
          </cell>
          <cell r="K21" t="e">
            <v>#REF!</v>
          </cell>
          <cell r="O21">
            <v>0</v>
          </cell>
        </row>
        <row r="22">
          <cell r="B22" t="str">
            <v>BRADESCO-482620-5-3201-AC</v>
          </cell>
          <cell r="C22">
            <v>2546.0500000000002</v>
          </cell>
          <cell r="D22" t="str">
            <v>ANALISADA</v>
          </cell>
          <cell r="E22">
            <v>0</v>
          </cell>
          <cell r="F22">
            <v>0</v>
          </cell>
          <cell r="G22">
            <v>0</v>
          </cell>
          <cell r="H22" t="str">
            <v>SEFIN</v>
          </cell>
          <cell r="I22" t="str">
            <v>SEFIN</v>
          </cell>
          <cell r="J22">
            <v>1</v>
          </cell>
          <cell r="K22" t="e">
            <v>#REF!</v>
          </cell>
          <cell r="O22">
            <v>0</v>
          </cell>
        </row>
        <row r="23">
          <cell r="B23" t="str">
            <v>BILBAO HCARD - 001.100.524-6-845-AC</v>
          </cell>
          <cell r="C23">
            <v>68113.81</v>
          </cell>
          <cell r="D23" t="str">
            <v>ANALISADA</v>
          </cell>
          <cell r="E23">
            <v>0</v>
          </cell>
          <cell r="F23">
            <v>0</v>
          </cell>
          <cell r="G23">
            <v>0</v>
          </cell>
          <cell r="H23" t="str">
            <v>SEFIN</v>
          </cell>
          <cell r="I23" t="str">
            <v>SEFIN</v>
          </cell>
          <cell r="J23">
            <v>1</v>
          </cell>
          <cell r="K23" t="e">
            <v>#REF!</v>
          </cell>
          <cell r="O23">
            <v>0</v>
          </cell>
        </row>
        <row r="24">
          <cell r="B24" t="str">
            <v>BANDEPE-200443-3-53-AC</v>
          </cell>
          <cell r="C24">
            <v>9052.09</v>
          </cell>
          <cell r="D24" t="str">
            <v>ANALISADA</v>
          </cell>
          <cell r="E24">
            <v>0</v>
          </cell>
          <cell r="F24">
            <v>0</v>
          </cell>
          <cell r="G24">
            <v>0</v>
          </cell>
          <cell r="H24" t="str">
            <v>SEFIN</v>
          </cell>
          <cell r="I24" t="str">
            <v>SEFIN</v>
          </cell>
          <cell r="J24">
            <v>1</v>
          </cell>
          <cell r="K24" t="e">
            <v>#REF!</v>
          </cell>
          <cell r="O24">
            <v>0</v>
          </cell>
        </row>
        <row r="25">
          <cell r="B25" t="str">
            <v>BOSTON-403215-08-0001-AC</v>
          </cell>
          <cell r="C25">
            <v>-15165.74</v>
          </cell>
          <cell r="D25" t="str">
            <v>ANALISADA</v>
          </cell>
          <cell r="E25">
            <v>0</v>
          </cell>
          <cell r="F25">
            <v>0</v>
          </cell>
          <cell r="G25">
            <v>0</v>
          </cell>
          <cell r="H25" t="str">
            <v>SEFIN</v>
          </cell>
          <cell r="I25" t="str">
            <v>SEFIN</v>
          </cell>
          <cell r="J25">
            <v>1</v>
          </cell>
          <cell r="K25" t="e">
            <v>#REF!</v>
          </cell>
          <cell r="O25">
            <v>0</v>
          </cell>
        </row>
        <row r="26">
          <cell r="B26" t="str">
            <v>CEF-0011031-2-1031-AC</v>
          </cell>
          <cell r="C26">
            <v>-3245.34</v>
          </cell>
          <cell r="D26" t="str">
            <v>ANALISADA</v>
          </cell>
          <cell r="E26">
            <v>0</v>
          </cell>
          <cell r="F26">
            <v>0</v>
          </cell>
          <cell r="G26">
            <v>0</v>
          </cell>
          <cell r="H26" t="str">
            <v>SEFIN</v>
          </cell>
          <cell r="I26" t="str">
            <v>SEFIN</v>
          </cell>
          <cell r="J26">
            <v>1</v>
          </cell>
          <cell r="K26" t="e">
            <v>#REF!</v>
          </cell>
          <cell r="O26">
            <v>0</v>
          </cell>
        </row>
        <row r="27">
          <cell r="B27" t="str">
            <v>REAL-7704913-0757-AC</v>
          </cell>
          <cell r="C27">
            <v>51.13</v>
          </cell>
          <cell r="D27" t="str">
            <v>ANALISADA</v>
          </cell>
          <cell r="E27">
            <v>0</v>
          </cell>
          <cell r="F27">
            <v>0</v>
          </cell>
          <cell r="G27">
            <v>0</v>
          </cell>
          <cell r="H27" t="str">
            <v>SEFIN</v>
          </cell>
          <cell r="I27" t="str">
            <v>SEFIN</v>
          </cell>
          <cell r="J27">
            <v>1</v>
          </cell>
          <cell r="K27" t="e">
            <v>#REF!</v>
          </cell>
          <cell r="O27">
            <v>0</v>
          </cell>
        </row>
        <row r="28">
          <cell r="B28" t="str">
            <v>BANDE-705203-9-0246-AC</v>
          </cell>
          <cell r="C28">
            <v>284310.69</v>
          </cell>
          <cell r="D28" t="str">
            <v>ANALISADA</v>
          </cell>
          <cell r="E28">
            <v>0</v>
          </cell>
          <cell r="F28">
            <v>0</v>
          </cell>
          <cell r="G28">
            <v>0</v>
          </cell>
          <cell r="H28" t="str">
            <v>SEFIN</v>
          </cell>
          <cell r="I28" t="str">
            <v>SEFIN</v>
          </cell>
          <cell r="J28">
            <v>1</v>
          </cell>
          <cell r="K28" t="e">
            <v>#REF!</v>
          </cell>
          <cell r="O28">
            <v>0</v>
          </cell>
        </row>
        <row r="29">
          <cell r="B29" t="str">
            <v>BANCO CIDADE HCAR-008147-42-AC</v>
          </cell>
          <cell r="C29">
            <v>-508.83</v>
          </cell>
          <cell r="D29" t="str">
            <v>ANALISADA</v>
          </cell>
          <cell r="E29">
            <v>0</v>
          </cell>
          <cell r="F29">
            <v>0</v>
          </cell>
          <cell r="G29">
            <v>0</v>
          </cell>
          <cell r="H29" t="str">
            <v>SEFIN</v>
          </cell>
          <cell r="I29" t="str">
            <v>SEFIN</v>
          </cell>
          <cell r="J29">
            <v>1</v>
          </cell>
          <cell r="K29" t="e">
            <v>#REF!</v>
          </cell>
          <cell r="O29">
            <v>0</v>
          </cell>
        </row>
        <row r="30">
          <cell r="B30" t="str">
            <v>BRASIL HCARD-9589-3-007-AC</v>
          </cell>
          <cell r="C30">
            <v>-264858.03000000003</v>
          </cell>
          <cell r="D30" t="str">
            <v>ANALISADA</v>
          </cell>
          <cell r="E30">
            <v>0</v>
          </cell>
          <cell r="F30">
            <v>0</v>
          </cell>
          <cell r="G30">
            <v>0</v>
          </cell>
          <cell r="H30" t="str">
            <v>SEFIN</v>
          </cell>
          <cell r="I30" t="str">
            <v>SEFIN</v>
          </cell>
          <cell r="J30">
            <v>1</v>
          </cell>
          <cell r="K30" t="e">
            <v>#REF!</v>
          </cell>
          <cell r="O30">
            <v>0</v>
          </cell>
        </row>
        <row r="31">
          <cell r="B31" t="str">
            <v>BRADESCO-482620-5-3201-EMP</v>
          </cell>
          <cell r="C31">
            <v>3266.77</v>
          </cell>
          <cell r="D31" t="str">
            <v>ANALISADA</v>
          </cell>
          <cell r="E31">
            <v>0</v>
          </cell>
          <cell r="F31">
            <v>0</v>
          </cell>
          <cell r="G31">
            <v>0</v>
          </cell>
          <cell r="H31" t="str">
            <v>SEFIN</v>
          </cell>
          <cell r="I31" t="str">
            <v>SEFIN</v>
          </cell>
          <cell r="J31">
            <v>1</v>
          </cell>
          <cell r="K31" t="e">
            <v>#REF!</v>
          </cell>
          <cell r="O31">
            <v>0</v>
          </cell>
        </row>
        <row r="32">
          <cell r="B32" t="str">
            <v>BILBAO HCARD - 001.100.524-6-845-EMP</v>
          </cell>
          <cell r="C32">
            <v>82.05</v>
          </cell>
          <cell r="D32" t="str">
            <v>ANALISADA</v>
          </cell>
          <cell r="E32">
            <v>0</v>
          </cell>
          <cell r="F32">
            <v>0</v>
          </cell>
          <cell r="G32">
            <v>0</v>
          </cell>
          <cell r="H32" t="str">
            <v>SEFIN</v>
          </cell>
          <cell r="I32" t="str">
            <v>SEFIN</v>
          </cell>
          <cell r="J32">
            <v>1</v>
          </cell>
          <cell r="K32" t="e">
            <v>#REF!</v>
          </cell>
          <cell r="O32">
            <v>0</v>
          </cell>
        </row>
        <row r="33">
          <cell r="B33" t="str">
            <v>BANDEPE-200443-3-53-EMP</v>
          </cell>
          <cell r="C33">
            <v>12.48</v>
          </cell>
          <cell r="D33" t="str">
            <v>ANALISADA</v>
          </cell>
          <cell r="E33">
            <v>0</v>
          </cell>
          <cell r="F33">
            <v>0</v>
          </cell>
          <cell r="G33">
            <v>0</v>
          </cell>
          <cell r="H33" t="str">
            <v>SEFIN</v>
          </cell>
          <cell r="I33" t="str">
            <v>SEFIN</v>
          </cell>
          <cell r="J33">
            <v>1</v>
          </cell>
          <cell r="K33" t="e">
            <v>#REF!</v>
          </cell>
          <cell r="O33">
            <v>0</v>
          </cell>
        </row>
        <row r="34">
          <cell r="B34" t="str">
            <v>BOSTON-403215-08-0001-EMP</v>
          </cell>
          <cell r="C34">
            <v>-10753.11</v>
          </cell>
          <cell r="D34" t="str">
            <v>ANALISADA</v>
          </cell>
          <cell r="E34">
            <v>0</v>
          </cell>
          <cell r="F34">
            <v>0</v>
          </cell>
          <cell r="G34">
            <v>0</v>
          </cell>
          <cell r="H34" t="str">
            <v>SEFIN</v>
          </cell>
          <cell r="I34" t="str">
            <v>SEFIN</v>
          </cell>
          <cell r="J34">
            <v>1</v>
          </cell>
          <cell r="K34" t="e">
            <v>#REF!</v>
          </cell>
          <cell r="O34">
            <v>0</v>
          </cell>
        </row>
        <row r="35">
          <cell r="B35" t="str">
            <v>CEF-0011031-2-1031-EMP</v>
          </cell>
          <cell r="C35">
            <v>-161.6</v>
          </cell>
          <cell r="D35" t="str">
            <v>ANALISADA</v>
          </cell>
          <cell r="E35">
            <v>0</v>
          </cell>
          <cell r="F35">
            <v>0</v>
          </cell>
          <cell r="G35">
            <v>0</v>
          </cell>
          <cell r="H35" t="str">
            <v>SEFIN</v>
          </cell>
          <cell r="I35" t="str">
            <v>SEFIN</v>
          </cell>
          <cell r="J35">
            <v>1</v>
          </cell>
          <cell r="K35" t="e">
            <v>#REF!</v>
          </cell>
          <cell r="O35">
            <v>0</v>
          </cell>
        </row>
        <row r="36">
          <cell r="B36" t="str">
            <v>BANDE-705203-9-0246-EMP</v>
          </cell>
          <cell r="C36">
            <v>52625.21</v>
          </cell>
          <cell r="D36" t="str">
            <v>ANALISADA</v>
          </cell>
          <cell r="E36">
            <v>0</v>
          </cell>
          <cell r="F36">
            <v>0</v>
          </cell>
          <cell r="G36">
            <v>0</v>
          </cell>
          <cell r="H36" t="str">
            <v>SEFIN</v>
          </cell>
          <cell r="I36" t="str">
            <v>SEFIN</v>
          </cell>
          <cell r="J36">
            <v>1</v>
          </cell>
          <cell r="K36" t="e">
            <v>#REF!</v>
          </cell>
          <cell r="O36">
            <v>0</v>
          </cell>
        </row>
        <row r="37">
          <cell r="B37" t="str">
            <v>BRASIL HCARD-9589-3-007-EMP</v>
          </cell>
          <cell r="C37">
            <v>-8521.5499999999993</v>
          </cell>
          <cell r="D37" t="str">
            <v>ANALISADA</v>
          </cell>
          <cell r="E37">
            <v>0</v>
          </cell>
          <cell r="F37">
            <v>0</v>
          </cell>
          <cell r="G37">
            <v>0</v>
          </cell>
          <cell r="H37" t="str">
            <v>SEFIN</v>
          </cell>
          <cell r="I37" t="str">
            <v>SEFIN</v>
          </cell>
          <cell r="J37">
            <v>1</v>
          </cell>
          <cell r="K37" t="e">
            <v>#REF!</v>
          </cell>
          <cell r="O37">
            <v>0</v>
          </cell>
        </row>
        <row r="38">
          <cell r="B38" t="str">
            <v>SAFRA HCARD 016079-1-02900-EMP</v>
          </cell>
          <cell r="C38">
            <v>5008179.53</v>
          </cell>
          <cell r="D38" t="str">
            <v>ANALISADA</v>
          </cell>
          <cell r="E38">
            <v>0</v>
          </cell>
          <cell r="F38">
            <v>0</v>
          </cell>
          <cell r="G38">
            <v>0</v>
          </cell>
          <cell r="H38" t="str">
            <v>SEFIN</v>
          </cell>
          <cell r="I38" t="str">
            <v>SEFIN</v>
          </cell>
          <cell r="J38">
            <v>1</v>
          </cell>
          <cell r="K38" t="e">
            <v>#REF!</v>
          </cell>
          <cell r="O38">
            <v>0</v>
          </cell>
        </row>
        <row r="39">
          <cell r="B39" t="str">
            <v>UNIBANCO HCARD - 122631 - 2 - 0351 - EMP</v>
          </cell>
          <cell r="C39">
            <v>-29768.07</v>
          </cell>
          <cell r="D39" t="str">
            <v>ANALISADA</v>
          </cell>
          <cell r="E39">
            <v>0</v>
          </cell>
          <cell r="F39">
            <v>0</v>
          </cell>
          <cell r="G39">
            <v>0</v>
          </cell>
          <cell r="H39" t="str">
            <v>SEFIN</v>
          </cell>
          <cell r="I39" t="str">
            <v>SEFIN</v>
          </cell>
          <cell r="J39">
            <v>1</v>
          </cell>
          <cell r="K39" t="e">
            <v>#REF!</v>
          </cell>
          <cell r="O39">
            <v>0</v>
          </cell>
        </row>
        <row r="40">
          <cell r="B40" t="str">
            <v>CARTÃO HIPER EMPRESARIAL</v>
          </cell>
          <cell r="C40">
            <v>193653.79</v>
          </cell>
          <cell r="D40" t="str">
            <v>CONCILIADA</v>
          </cell>
          <cell r="E40">
            <v>6</v>
          </cell>
          <cell r="F40">
            <v>45284.63</v>
          </cell>
          <cell r="G40">
            <v>23.384324159108889</v>
          </cell>
          <cell r="H40" t="str">
            <v>Gláucio/Adriana</v>
          </cell>
          <cell r="I40" t="str">
            <v>SECOT</v>
          </cell>
          <cell r="J40">
            <v>1</v>
          </cell>
          <cell r="K40" t="e">
            <v>#REF!</v>
          </cell>
          <cell r="M40">
            <v>45284.63</v>
          </cell>
          <cell r="O40">
            <v>45284.63</v>
          </cell>
        </row>
        <row r="41">
          <cell r="B41" t="str">
            <v>BENCARD - CART. CRÉDITO</v>
          </cell>
          <cell r="C41">
            <v>1068738.03</v>
          </cell>
          <cell r="D41" t="str">
            <v>ANALISADA</v>
          </cell>
          <cell r="G41">
            <v>0</v>
          </cell>
          <cell r="H41" t="str">
            <v>Gláucio/Adriana</v>
          </cell>
          <cell r="I41" t="str">
            <v>SECOT</v>
          </cell>
          <cell r="J41">
            <v>1</v>
          </cell>
          <cell r="K41" t="e">
            <v>#REF!</v>
          </cell>
          <cell r="O41">
            <v>0</v>
          </cell>
        </row>
        <row r="42">
          <cell r="B42" t="str">
            <v>BOMCARD - CART. CRÉDITO</v>
          </cell>
          <cell r="C42">
            <v>1169785.1499999999</v>
          </cell>
          <cell r="D42" t="str">
            <v>CONCILIADA</v>
          </cell>
          <cell r="E42">
            <v>6</v>
          </cell>
          <cell r="F42">
            <v>164567.18</v>
          </cell>
          <cell r="G42">
            <v>14.068154310216711</v>
          </cell>
          <cell r="H42" t="str">
            <v>Gláucio/Adriana</v>
          </cell>
          <cell r="I42" t="str">
            <v>SECOT</v>
          </cell>
          <cell r="J42">
            <v>1</v>
          </cell>
          <cell r="K42" t="e">
            <v>#REF!</v>
          </cell>
          <cell r="M42">
            <v>164567.18</v>
          </cell>
          <cell r="O42">
            <v>164567.18</v>
          </cell>
        </row>
        <row r="43">
          <cell r="B43" t="str">
            <v>CARTÃO HIPER</v>
          </cell>
          <cell r="C43">
            <v>392912147.41000003</v>
          </cell>
          <cell r="D43" t="str">
            <v>CONCILIADA</v>
          </cell>
          <cell r="E43">
            <v>4</v>
          </cell>
          <cell r="F43">
            <v>5502729.71</v>
          </cell>
          <cell r="G43">
            <v>1.4004987492173293</v>
          </cell>
          <cell r="H43" t="str">
            <v>Gláucio/Adriana</v>
          </cell>
          <cell r="I43" t="str">
            <v>SECOT</v>
          </cell>
          <cell r="J43">
            <v>1</v>
          </cell>
          <cell r="K43" t="e">
            <v>#REF!</v>
          </cell>
          <cell r="M43">
            <v>5502729.71</v>
          </cell>
          <cell r="O43">
            <v>5502729.71</v>
          </cell>
        </row>
        <row r="44">
          <cell r="B44" t="str">
            <v>CLIENTE/CARTÃO TRANSITÓRIA</v>
          </cell>
          <cell r="C44">
            <v>3052893.65</v>
          </cell>
          <cell r="D44" t="str">
            <v>ANALISADA</v>
          </cell>
          <cell r="G44">
            <v>0</v>
          </cell>
          <cell r="H44" t="str">
            <v>Gláucio/Adriana</v>
          </cell>
          <cell r="I44" t="str">
            <v>SECOT</v>
          </cell>
          <cell r="J44">
            <v>1</v>
          </cell>
          <cell r="K44" t="e">
            <v>#REF!</v>
          </cell>
          <cell r="O44">
            <v>0</v>
          </cell>
        </row>
        <row r="45">
          <cell r="B45" t="str">
            <v>COMISSÃO DE LOJISTAS</v>
          </cell>
          <cell r="C45">
            <v>7170503.25</v>
          </cell>
          <cell r="D45" t="str">
            <v>ANALISADA</v>
          </cell>
          <cell r="G45">
            <v>0</v>
          </cell>
          <cell r="H45" t="str">
            <v>Gláucio/Adriana</v>
          </cell>
          <cell r="I45" t="str">
            <v>SECOT</v>
          </cell>
          <cell r="J45">
            <v>1</v>
          </cell>
          <cell r="K45" t="e">
            <v>#REF!</v>
          </cell>
          <cell r="O45">
            <v>0</v>
          </cell>
        </row>
        <row r="46">
          <cell r="B46" t="str">
            <v>LOJISTAS</v>
          </cell>
          <cell r="C46">
            <v>37412312.549999997</v>
          </cell>
          <cell r="D46" t="str">
            <v>ANALISADA</v>
          </cell>
          <cell r="G46">
            <v>0</v>
          </cell>
          <cell r="H46" t="str">
            <v>Gláucio/Adriana</v>
          </cell>
          <cell r="I46" t="str">
            <v>SECOT</v>
          </cell>
          <cell r="J46">
            <v>1</v>
          </cell>
          <cell r="K46" t="e">
            <v>#REF!</v>
          </cell>
          <cell r="O46">
            <v>0</v>
          </cell>
        </row>
        <row r="47">
          <cell r="B47" t="str">
            <v>CHEQUES DEVOLVIDOS</v>
          </cell>
          <cell r="C47">
            <v>1421772.03</v>
          </cell>
          <cell r="D47" t="str">
            <v>ANALISADA</v>
          </cell>
          <cell r="G47">
            <v>0</v>
          </cell>
          <cell r="H47" t="str">
            <v>Gláucio/Adriana</v>
          </cell>
          <cell r="I47" t="str">
            <v>SECOT</v>
          </cell>
          <cell r="J47">
            <v>1</v>
          </cell>
          <cell r="K47" t="e">
            <v>#REF!</v>
          </cell>
          <cell r="O47">
            <v>0</v>
          </cell>
        </row>
        <row r="48">
          <cell r="B48" t="str">
            <v>BANDEIRANTES CHEQUE DEVOLVIDO EM TRÂNSIT</v>
          </cell>
          <cell r="C48">
            <v>52064.55</v>
          </cell>
          <cell r="D48" t="str">
            <v>ANALISADA</v>
          </cell>
          <cell r="G48">
            <v>0</v>
          </cell>
          <cell r="H48" t="str">
            <v>Gláucio/Adriana</v>
          </cell>
          <cell r="I48" t="str">
            <v>SECOT</v>
          </cell>
          <cell r="J48">
            <v>1</v>
          </cell>
          <cell r="K48" t="e">
            <v>#REF!</v>
          </cell>
          <cell r="O48">
            <v>0</v>
          </cell>
        </row>
        <row r="49">
          <cell r="B49" t="str">
            <v>BOSTON CHEQUE DEVOLVIDO EM TRÂNSITO</v>
          </cell>
          <cell r="C49">
            <v>-5465.19</v>
          </cell>
          <cell r="D49" t="str">
            <v>ANALISADA</v>
          </cell>
          <cell r="G49">
            <v>0</v>
          </cell>
          <cell r="H49" t="str">
            <v>Gláucio/Adriana</v>
          </cell>
          <cell r="I49" t="str">
            <v>SECOT</v>
          </cell>
          <cell r="J49">
            <v>1</v>
          </cell>
          <cell r="K49" t="e">
            <v>#REF!</v>
          </cell>
          <cell r="O49">
            <v>0</v>
          </cell>
        </row>
        <row r="50">
          <cell r="B50" t="str">
            <v>EXCEL CHEQUE DEVOLVIDO EM TRÂNSITO</v>
          </cell>
          <cell r="C50">
            <v>-5925.76</v>
          </cell>
          <cell r="D50" t="str">
            <v>ANALISADA</v>
          </cell>
          <cell r="G50">
            <v>0</v>
          </cell>
          <cell r="H50" t="str">
            <v>Gláucio/Adriana</v>
          </cell>
          <cell r="I50" t="str">
            <v>SECOT</v>
          </cell>
          <cell r="J50">
            <v>1</v>
          </cell>
          <cell r="K50" t="e">
            <v>#REF!</v>
          </cell>
          <cell r="O50">
            <v>0</v>
          </cell>
        </row>
        <row r="51">
          <cell r="B51" t="str">
            <v>BANDEPE CHEQUE DEVOLVIDO EM TRÂNSITO</v>
          </cell>
          <cell r="C51">
            <v>119.96</v>
          </cell>
          <cell r="D51" t="str">
            <v>ANALISADA</v>
          </cell>
          <cell r="G51">
            <v>0</v>
          </cell>
          <cell r="H51" t="str">
            <v>Gláucio/Adriana</v>
          </cell>
          <cell r="I51" t="str">
            <v>SECOT</v>
          </cell>
          <cell r="J51">
            <v>1</v>
          </cell>
          <cell r="K51" t="e">
            <v>#REF!</v>
          </cell>
          <cell r="O51">
            <v>0</v>
          </cell>
        </row>
        <row r="52">
          <cell r="B52" t="str">
            <v>UNIBANCO CHEQUE DEVOLVIDO EM TRÂNSITO</v>
          </cell>
          <cell r="C52">
            <v>9425.0300000000007</v>
          </cell>
          <cell r="D52" t="str">
            <v>ANALISADA</v>
          </cell>
          <cell r="G52">
            <v>0</v>
          </cell>
          <cell r="H52" t="str">
            <v>Gláucio/Adriana</v>
          </cell>
          <cell r="I52" t="str">
            <v>SECOT</v>
          </cell>
          <cell r="J52">
            <v>1</v>
          </cell>
          <cell r="K52" t="e">
            <v>#REF!</v>
          </cell>
          <cell r="O52">
            <v>0</v>
          </cell>
        </row>
        <row r="53">
          <cell r="B53" t="str">
            <v>(-) PROVISÃO PARA DEVEDORES DUVIDOSOS</v>
          </cell>
          <cell r="C53">
            <v>-23752556.899999999</v>
          </cell>
          <cell r="D53" t="str">
            <v>ANALISADA</v>
          </cell>
          <cell r="E53">
            <v>0</v>
          </cell>
          <cell r="F53">
            <v>0</v>
          </cell>
          <cell r="G53">
            <v>0</v>
          </cell>
          <cell r="H53" t="str">
            <v>Gláucio/Adriana</v>
          </cell>
          <cell r="I53" t="str">
            <v>SECOT</v>
          </cell>
          <cell r="J53">
            <v>1</v>
          </cell>
          <cell r="K53" t="e">
            <v>#REF!</v>
          </cell>
          <cell r="O53">
            <v>0</v>
          </cell>
        </row>
        <row r="54">
          <cell r="B54" t="str">
            <v>BOMPREÇO SUPERMERCADOS DO NORDESTE - CAR</v>
          </cell>
          <cell r="C54">
            <v>476299803.74000001</v>
          </cell>
          <cell r="D54" t="str">
            <v>CONCILIADA</v>
          </cell>
          <cell r="E54">
            <v>4</v>
          </cell>
          <cell r="F54">
            <v>2694314.86</v>
          </cell>
          <cell r="G54">
            <v>0.56567624820411599</v>
          </cell>
          <cell r="H54" t="str">
            <v>Alfredo</v>
          </cell>
          <cell r="I54" t="str">
            <v>SECOT</v>
          </cell>
          <cell r="J54">
            <v>1</v>
          </cell>
          <cell r="K54" t="e">
            <v>#REF!</v>
          </cell>
          <cell r="M54">
            <v>2694314.86</v>
          </cell>
          <cell r="O54">
            <v>2694314.86</v>
          </cell>
        </row>
        <row r="55">
          <cell r="B55" t="str">
            <v>BOMPREÇO BAHIA - CART. HIPER</v>
          </cell>
          <cell r="C55">
            <v>126850073.59999999</v>
          </cell>
          <cell r="D55" t="str">
            <v>CONCILIADA</v>
          </cell>
          <cell r="E55">
            <v>3</v>
          </cell>
          <cell r="F55">
            <v>2320191.29</v>
          </cell>
          <cell r="G55">
            <v>1.8290815481245413</v>
          </cell>
          <cell r="H55" t="str">
            <v>Gláucio/Adriana</v>
          </cell>
          <cell r="I55" t="str">
            <v>SECOT</v>
          </cell>
          <cell r="J55">
            <v>1</v>
          </cell>
          <cell r="K55" t="e">
            <v>#REF!</v>
          </cell>
          <cell r="M55">
            <v>2320191.29</v>
          </cell>
          <cell r="O55">
            <v>2320191.29</v>
          </cell>
        </row>
        <row r="56">
          <cell r="B56" t="str">
            <v>BPSN - CART. HIPER - CONVERSÃO</v>
          </cell>
          <cell r="C56">
            <v>-450142433.02999997</v>
          </cell>
          <cell r="D56" t="str">
            <v>ANALISADA</v>
          </cell>
          <cell r="E56">
            <v>0</v>
          </cell>
          <cell r="F56">
            <v>0</v>
          </cell>
          <cell r="G56">
            <v>0</v>
          </cell>
          <cell r="H56" t="str">
            <v>Alfredo</v>
          </cell>
          <cell r="I56" t="str">
            <v>SECOT</v>
          </cell>
          <cell r="J56">
            <v>1</v>
          </cell>
          <cell r="K56" t="e">
            <v>#REF!</v>
          </cell>
          <cell r="M56">
            <v>0</v>
          </cell>
          <cell r="O56">
            <v>0</v>
          </cell>
        </row>
        <row r="57">
          <cell r="B57" t="str">
            <v>BPBA - CART. HIPER - CONVERSÃO</v>
          </cell>
          <cell r="C57">
            <v>-117384401.79000001</v>
          </cell>
          <cell r="D57" t="str">
            <v>ANALISADA</v>
          </cell>
          <cell r="E57">
            <v>0</v>
          </cell>
          <cell r="F57">
            <v>0</v>
          </cell>
          <cell r="G57">
            <v>0</v>
          </cell>
          <cell r="H57" t="str">
            <v>Gláucio/Adriana</v>
          </cell>
          <cell r="I57" t="str">
            <v>SECOT</v>
          </cell>
          <cell r="J57">
            <v>1</v>
          </cell>
          <cell r="K57" t="e">
            <v>#REF!</v>
          </cell>
          <cell r="M57">
            <v>0</v>
          </cell>
          <cell r="O57">
            <v>0</v>
          </cell>
        </row>
        <row r="58">
          <cell r="B58" t="str">
            <v>BOMPREÇO SUPERMERCADOS DO NORDESTE - CAR</v>
          </cell>
          <cell r="C58">
            <v>365739.45</v>
          </cell>
          <cell r="D58" t="str">
            <v>CONCILIADA</v>
          </cell>
          <cell r="E58">
            <v>5</v>
          </cell>
          <cell r="F58">
            <v>17472.16</v>
          </cell>
          <cell r="G58">
            <v>4.7772150365512935</v>
          </cell>
          <cell r="H58" t="str">
            <v>Alfredo</v>
          </cell>
          <cell r="I58" t="str">
            <v>SECOT</v>
          </cell>
          <cell r="J58">
            <v>1</v>
          </cell>
          <cell r="K58" t="e">
            <v>#REF!</v>
          </cell>
          <cell r="M58">
            <v>17472.16</v>
          </cell>
          <cell r="O58">
            <v>17472.16</v>
          </cell>
        </row>
        <row r="59">
          <cell r="B59" t="str">
            <v>BOMPREÇO BAHIA - CART. EMPRES.</v>
          </cell>
          <cell r="C59">
            <v>40834.400000000001</v>
          </cell>
          <cell r="D59" t="str">
            <v>CONCILIADA</v>
          </cell>
          <cell r="E59">
            <v>3</v>
          </cell>
          <cell r="F59">
            <v>16104.47</v>
          </cell>
          <cell r="G59">
            <v>39.43848813745273</v>
          </cell>
          <cell r="H59" t="str">
            <v>Gláucio/Adriana</v>
          </cell>
          <cell r="I59" t="str">
            <v>SECOT</v>
          </cell>
          <cell r="J59">
            <v>1</v>
          </cell>
          <cell r="K59" t="e">
            <v>#REF!</v>
          </cell>
          <cell r="M59">
            <v>16104.47</v>
          </cell>
          <cell r="O59">
            <v>16104.47</v>
          </cell>
        </row>
        <row r="60">
          <cell r="B60" t="str">
            <v>BPSN - CART. EMPRES. - CONVERSÃO</v>
          </cell>
          <cell r="C60">
            <v>-297588</v>
          </cell>
          <cell r="D60" t="str">
            <v>ANALISADA</v>
          </cell>
          <cell r="E60">
            <v>0</v>
          </cell>
          <cell r="F60">
            <v>0</v>
          </cell>
          <cell r="G60">
            <v>0</v>
          </cell>
          <cell r="H60" t="str">
            <v>Alfredo</v>
          </cell>
          <cell r="I60" t="str">
            <v>SECOT</v>
          </cell>
          <cell r="J60">
            <v>1</v>
          </cell>
          <cell r="K60" t="e">
            <v>#REF!</v>
          </cell>
          <cell r="M60">
            <v>0</v>
          </cell>
          <cell r="O60">
            <v>0</v>
          </cell>
        </row>
        <row r="61">
          <cell r="B61" t="str">
            <v>BPBA - CART. EMPRES. - CONVERSÃO</v>
          </cell>
          <cell r="C61">
            <v>-24729.93</v>
          </cell>
          <cell r="D61" t="str">
            <v>ANALISADA</v>
          </cell>
          <cell r="E61">
            <v>0</v>
          </cell>
          <cell r="F61">
            <v>0</v>
          </cell>
          <cell r="G61">
            <v>0</v>
          </cell>
          <cell r="H61" t="str">
            <v>Gláucio/Adriana</v>
          </cell>
          <cell r="I61" t="str">
            <v>SECOT</v>
          </cell>
          <cell r="J61">
            <v>1</v>
          </cell>
          <cell r="K61" t="e">
            <v>#REF!</v>
          </cell>
          <cell r="M61">
            <v>0</v>
          </cell>
          <cell r="O61">
            <v>0</v>
          </cell>
        </row>
        <row r="62">
          <cell r="B62" t="str">
            <v>BOMPREÇO SUPERMERCADOS DO NORDESTE - BOM</v>
          </cell>
          <cell r="C62">
            <v>2305203.6800000002</v>
          </cell>
          <cell r="D62" t="str">
            <v>CONCILIADA</v>
          </cell>
          <cell r="E62">
            <v>4</v>
          </cell>
          <cell r="F62">
            <v>5514.38</v>
          </cell>
          <cell r="G62">
            <v>0.23921443679111254</v>
          </cell>
          <cell r="H62" t="str">
            <v>Alfredo</v>
          </cell>
          <cell r="I62" t="str">
            <v>SECOT</v>
          </cell>
          <cell r="J62">
            <v>1</v>
          </cell>
          <cell r="K62" t="e">
            <v>#REF!</v>
          </cell>
          <cell r="M62">
            <v>5514.38</v>
          </cell>
          <cell r="O62">
            <v>5514.38</v>
          </cell>
        </row>
        <row r="63">
          <cell r="B63" t="str">
            <v>BOMPREÇO BAHIA - BOMCARD</v>
          </cell>
          <cell r="C63">
            <v>330293.69</v>
          </cell>
          <cell r="D63" t="str">
            <v>CONCILIADA</v>
          </cell>
          <cell r="E63">
            <v>4</v>
          </cell>
          <cell r="F63">
            <v>20224</v>
          </cell>
          <cell r="G63">
            <v>6.1230355324075374</v>
          </cell>
          <cell r="H63" t="str">
            <v>Gláucio/Adriana</v>
          </cell>
          <cell r="I63" t="str">
            <v>SECOT</v>
          </cell>
          <cell r="J63">
            <v>1</v>
          </cell>
          <cell r="K63" t="e">
            <v>#REF!</v>
          </cell>
          <cell r="M63">
            <v>20224</v>
          </cell>
          <cell r="O63">
            <v>20224</v>
          </cell>
        </row>
        <row r="64">
          <cell r="B64" t="str">
            <v>BPSN- BOMCARD - CONVERSÃO</v>
          </cell>
          <cell r="C64">
            <v>-2575289.17</v>
          </cell>
          <cell r="D64" t="str">
            <v>ANALISADA</v>
          </cell>
          <cell r="E64">
            <v>0</v>
          </cell>
          <cell r="F64">
            <v>0</v>
          </cell>
          <cell r="G64">
            <v>0</v>
          </cell>
          <cell r="H64" t="str">
            <v>Alfredo</v>
          </cell>
          <cell r="I64" t="str">
            <v>SECOT</v>
          </cell>
          <cell r="J64">
            <v>1</v>
          </cell>
          <cell r="K64" t="e">
            <v>#REF!</v>
          </cell>
          <cell r="M64">
            <v>0</v>
          </cell>
          <cell r="O64">
            <v>0</v>
          </cell>
        </row>
        <row r="65">
          <cell r="B65" t="str">
            <v>BPBA - BOMCARD - CONVERSÃO</v>
          </cell>
          <cell r="C65">
            <v>-307528.55</v>
          </cell>
          <cell r="D65" t="str">
            <v>ANALISADA</v>
          </cell>
          <cell r="E65">
            <v>0</v>
          </cell>
          <cell r="F65">
            <v>0</v>
          </cell>
          <cell r="G65">
            <v>0</v>
          </cell>
          <cell r="H65" t="str">
            <v>Gláucio/Adriana</v>
          </cell>
          <cell r="I65" t="str">
            <v>SECOT</v>
          </cell>
          <cell r="J65">
            <v>1</v>
          </cell>
          <cell r="K65" t="e">
            <v>#REF!</v>
          </cell>
          <cell r="M65">
            <v>0</v>
          </cell>
          <cell r="O65">
            <v>0</v>
          </cell>
        </row>
        <row r="66">
          <cell r="B66" t="str">
            <v>BOMPREÇO SUPERMERCADOS DO NE - BENCARD</v>
          </cell>
          <cell r="C66">
            <v>306.7</v>
          </cell>
          <cell r="D66" t="str">
            <v>CONCILIADA</v>
          </cell>
          <cell r="E66">
            <v>1</v>
          </cell>
          <cell r="F66">
            <v>306.7</v>
          </cell>
          <cell r="G66">
            <v>100</v>
          </cell>
          <cell r="H66" t="str">
            <v>Alfredo</v>
          </cell>
          <cell r="I66" t="str">
            <v>SECOT</v>
          </cell>
          <cell r="J66">
            <v>1</v>
          </cell>
          <cell r="K66" t="e">
            <v>#REF!</v>
          </cell>
          <cell r="M66">
            <v>306.7</v>
          </cell>
          <cell r="O66">
            <v>306.7</v>
          </cell>
        </row>
        <row r="67">
          <cell r="B67" t="str">
            <v>BPSN - BENCARD - CONVERSÃO</v>
          </cell>
          <cell r="C67">
            <v>-339.46</v>
          </cell>
          <cell r="D67" t="str">
            <v>ANALISADA</v>
          </cell>
          <cell r="E67">
            <v>0</v>
          </cell>
          <cell r="F67">
            <v>0</v>
          </cell>
          <cell r="G67">
            <v>0</v>
          </cell>
          <cell r="H67" t="str">
            <v>Alfredo</v>
          </cell>
          <cell r="I67" t="str">
            <v>SECOT</v>
          </cell>
          <cell r="J67">
            <v>1</v>
          </cell>
          <cell r="K67" t="e">
            <v>#REF!</v>
          </cell>
          <cell r="M67">
            <v>0</v>
          </cell>
          <cell r="O67">
            <v>0</v>
          </cell>
        </row>
        <row r="68">
          <cell r="B68" t="str">
            <v>BPBA - BENCARD - CONVERSÃO</v>
          </cell>
          <cell r="C68">
            <v>-1</v>
          </cell>
          <cell r="D68" t="str">
            <v>ANALISADA</v>
          </cell>
          <cell r="E68">
            <v>0</v>
          </cell>
          <cell r="F68">
            <v>0</v>
          </cell>
          <cell r="G68">
            <v>0</v>
          </cell>
          <cell r="H68" t="str">
            <v>Gláucio/Adriana</v>
          </cell>
          <cell r="I68" t="str">
            <v>SECOT</v>
          </cell>
          <cell r="J68">
            <v>1</v>
          </cell>
          <cell r="K68" t="e">
            <v>#REF!</v>
          </cell>
          <cell r="M68">
            <v>0</v>
          </cell>
          <cell r="O68">
            <v>0</v>
          </cell>
        </row>
        <row r="69">
          <cell r="B69" t="str">
            <v>JCPM - BENCARD - CONVERSÃO</v>
          </cell>
          <cell r="C69">
            <v>3915.63</v>
          </cell>
          <cell r="D69" t="str">
            <v>ANALISADA</v>
          </cell>
          <cell r="E69">
            <v>0</v>
          </cell>
          <cell r="F69">
            <v>0</v>
          </cell>
          <cell r="G69">
            <v>0</v>
          </cell>
          <cell r="H69" t="str">
            <v>Gláucio/Adriana</v>
          </cell>
          <cell r="I69" t="str">
            <v>SECOT</v>
          </cell>
          <cell r="J69">
            <v>1</v>
          </cell>
          <cell r="K69" t="e">
            <v>#REF!</v>
          </cell>
          <cell r="M69">
            <v>0</v>
          </cell>
          <cell r="O69">
            <v>0</v>
          </cell>
        </row>
        <row r="70">
          <cell r="B70" t="str">
            <v>MMEL - BENCARD - CONVERSÃO</v>
          </cell>
          <cell r="C70">
            <v>2532.59</v>
          </cell>
          <cell r="D70" t="str">
            <v>ANALISADA</v>
          </cell>
          <cell r="E70">
            <v>0</v>
          </cell>
          <cell r="F70">
            <v>0</v>
          </cell>
          <cell r="G70">
            <v>0</v>
          </cell>
          <cell r="H70" t="str">
            <v>Gláucio/Adriana</v>
          </cell>
          <cell r="I70" t="str">
            <v>SECOT</v>
          </cell>
          <cell r="J70">
            <v>1</v>
          </cell>
          <cell r="K70" t="e">
            <v>#REF!</v>
          </cell>
          <cell r="M70">
            <v>0</v>
          </cell>
          <cell r="O70">
            <v>0</v>
          </cell>
        </row>
        <row r="71">
          <cell r="B71" t="str">
            <v>VALE TRANSPORTE-CTA. REC. FUNC.</v>
          </cell>
          <cell r="C71">
            <v>23122.12</v>
          </cell>
          <cell r="D71" t="str">
            <v>ANALISADA</v>
          </cell>
          <cell r="G71">
            <v>0</v>
          </cell>
          <cell r="H71" t="str">
            <v>Gláucio/Adriana</v>
          </cell>
          <cell r="I71" t="str">
            <v>SECOT</v>
          </cell>
          <cell r="J71">
            <v>1</v>
          </cell>
          <cell r="K71" t="e">
            <v>#REF!</v>
          </cell>
          <cell r="O71">
            <v>0</v>
          </cell>
        </row>
        <row r="72">
          <cell r="B72" t="str">
            <v>ADIANTAMENTO 13. SALÁRIO</v>
          </cell>
          <cell r="C72">
            <v>128740.29</v>
          </cell>
          <cell r="D72" t="str">
            <v>CONCILIADA</v>
          </cell>
          <cell r="E72">
            <v>1</v>
          </cell>
          <cell r="F72">
            <v>663.19</v>
          </cell>
          <cell r="G72">
            <v>0.51513787952473944</v>
          </cell>
          <cell r="H72" t="str">
            <v>Gláucio/Adriana</v>
          </cell>
          <cell r="I72" t="str">
            <v>SECOT</v>
          </cell>
          <cell r="J72">
            <v>1</v>
          </cell>
          <cell r="K72" t="e">
            <v>#REF!</v>
          </cell>
          <cell r="M72">
            <v>663.19</v>
          </cell>
          <cell r="O72">
            <v>663.19</v>
          </cell>
        </row>
        <row r="73">
          <cell r="B73" t="str">
            <v>ADIANTAMENTO FÉRIAS</v>
          </cell>
          <cell r="C73">
            <v>9038.4500000000007</v>
          </cell>
          <cell r="D73" t="str">
            <v>ANALISADA</v>
          </cell>
          <cell r="E73">
            <v>0</v>
          </cell>
          <cell r="F73">
            <v>0</v>
          </cell>
          <cell r="G73">
            <v>0</v>
          </cell>
          <cell r="H73" t="str">
            <v>Gláucio/Adriana</v>
          </cell>
          <cell r="I73" t="str">
            <v>SECOT</v>
          </cell>
          <cell r="J73">
            <v>1</v>
          </cell>
          <cell r="K73" t="e">
            <v>#REF!</v>
          </cell>
          <cell r="M73">
            <v>0</v>
          </cell>
          <cell r="O73">
            <v>0</v>
          </cell>
        </row>
        <row r="74">
          <cell r="B74" t="str">
            <v>AUTORIZAÇÃO PARA DESCONTOS</v>
          </cell>
          <cell r="C74">
            <v>-8.57</v>
          </cell>
          <cell r="D74" t="str">
            <v>CONCILIADA</v>
          </cell>
          <cell r="E74">
            <v>1</v>
          </cell>
          <cell r="F74">
            <v>8.57</v>
          </cell>
          <cell r="G74">
            <v>-100</v>
          </cell>
          <cell r="H74" t="str">
            <v>Gláucio/Adriana</v>
          </cell>
          <cell r="I74" t="str">
            <v>SECOT</v>
          </cell>
          <cell r="J74">
            <v>1</v>
          </cell>
          <cell r="K74" t="e">
            <v>#REF!</v>
          </cell>
          <cell r="M74">
            <v>8.57</v>
          </cell>
          <cell r="O74">
            <v>8.57</v>
          </cell>
        </row>
        <row r="75">
          <cell r="B75" t="str">
            <v>ADIANTAMENTO QUINZENAL</v>
          </cell>
          <cell r="C75">
            <v>874.58</v>
          </cell>
          <cell r="D75" t="str">
            <v>CONCILIADA</v>
          </cell>
          <cell r="E75">
            <v>1</v>
          </cell>
          <cell r="F75">
            <v>874.58</v>
          </cell>
          <cell r="G75">
            <v>100</v>
          </cell>
          <cell r="H75" t="str">
            <v>Gláucio/Adriana</v>
          </cell>
          <cell r="I75" t="str">
            <v>SECOT</v>
          </cell>
          <cell r="J75">
            <v>1</v>
          </cell>
          <cell r="K75" t="e">
            <v>#REF!</v>
          </cell>
          <cell r="M75">
            <v>874.58</v>
          </cell>
          <cell r="O75">
            <v>874.58</v>
          </cell>
        </row>
        <row r="76">
          <cell r="B76" t="str">
            <v>DESPESAS DE VIAGEM</v>
          </cell>
          <cell r="C76">
            <v>2525.0700000000002</v>
          </cell>
          <cell r="D76" t="str">
            <v>CONCILIADA</v>
          </cell>
          <cell r="E76">
            <v>2</v>
          </cell>
          <cell r="F76">
            <v>2525.0700000000002</v>
          </cell>
          <cell r="G76">
            <v>100</v>
          </cell>
          <cell r="H76" t="str">
            <v>Gláucio/Adriana</v>
          </cell>
          <cell r="I76" t="str">
            <v>SECOT</v>
          </cell>
          <cell r="J76">
            <v>1</v>
          </cell>
          <cell r="K76" t="e">
            <v>#REF!</v>
          </cell>
          <cell r="M76">
            <v>2525.0700000000002</v>
          </cell>
          <cell r="O76">
            <v>2525.0700000000002</v>
          </cell>
        </row>
        <row r="77">
          <cell r="B77" t="str">
            <v>IMPOSTO DE RENDA-IMP. RECUP.</v>
          </cell>
          <cell r="C77">
            <v>10010070.82</v>
          </cell>
          <cell r="D77" t="str">
            <v>ANALISADA</v>
          </cell>
          <cell r="E77">
            <v>0</v>
          </cell>
          <cell r="F77">
            <v>0</v>
          </cell>
          <cell r="G77">
            <v>0</v>
          </cell>
          <cell r="H77" t="str">
            <v>Gláucio/Adriana</v>
          </cell>
          <cell r="I77" t="str">
            <v>SECOT</v>
          </cell>
          <cell r="J77">
            <v>1</v>
          </cell>
          <cell r="K77" t="e">
            <v>#REF!</v>
          </cell>
          <cell r="M77">
            <v>0</v>
          </cell>
          <cell r="O77">
            <v>0</v>
          </cell>
        </row>
        <row r="78">
          <cell r="B78" t="str">
            <v>IR S/ APLICAÇÕES-IMP. RECUP.</v>
          </cell>
          <cell r="C78">
            <v>48755.06</v>
          </cell>
          <cell r="D78" t="str">
            <v>ANALISADA</v>
          </cell>
          <cell r="E78">
            <v>0</v>
          </cell>
          <cell r="F78">
            <v>0</v>
          </cell>
          <cell r="G78">
            <v>0</v>
          </cell>
          <cell r="H78" t="str">
            <v>Gláucio/Adriana</v>
          </cell>
          <cell r="I78" t="str">
            <v>SECOT</v>
          </cell>
          <cell r="J78">
            <v>1</v>
          </cell>
          <cell r="K78" t="e">
            <v>#REF!</v>
          </cell>
          <cell r="O78">
            <v>0</v>
          </cell>
        </row>
        <row r="79">
          <cell r="B79" t="str">
            <v>CONTRIBUIÇÃO SOCIAL - IMP. RECUPER.</v>
          </cell>
          <cell r="C79">
            <v>3344682.22</v>
          </cell>
          <cell r="D79" t="str">
            <v>ANALISADA</v>
          </cell>
          <cell r="E79">
            <v>0</v>
          </cell>
          <cell r="F79">
            <v>0</v>
          </cell>
          <cell r="G79">
            <v>0</v>
          </cell>
          <cell r="H79" t="str">
            <v>Gláucio/Adriana</v>
          </cell>
          <cell r="I79" t="str">
            <v>SECOT</v>
          </cell>
          <cell r="J79">
            <v>1</v>
          </cell>
          <cell r="K79" t="e">
            <v>#REF!</v>
          </cell>
          <cell r="O79">
            <v>0</v>
          </cell>
        </row>
        <row r="80">
          <cell r="B80" t="str">
            <v>ADIANTAMENTO A FORNECEDORES</v>
          </cell>
          <cell r="C80">
            <v>5847.17</v>
          </cell>
          <cell r="D80" t="str">
            <v>ANALISADA</v>
          </cell>
          <cell r="E80">
            <v>0</v>
          </cell>
          <cell r="F80">
            <v>0</v>
          </cell>
          <cell r="G80">
            <v>0</v>
          </cell>
          <cell r="H80" t="str">
            <v>Gláucio/Adriana</v>
          </cell>
          <cell r="I80" t="str">
            <v>SECOT</v>
          </cell>
          <cell r="J80">
            <v>1</v>
          </cell>
          <cell r="K80" t="e">
            <v>#REF!</v>
          </cell>
          <cell r="O80">
            <v>0</v>
          </cell>
        </row>
        <row r="81">
          <cell r="B81" t="str">
            <v>ENCARGOS FINANCEIROS</v>
          </cell>
          <cell r="C81">
            <v>53312.160000000003</v>
          </cell>
          <cell r="D81" t="str">
            <v>ANALISADA</v>
          </cell>
          <cell r="E81">
            <v>0</v>
          </cell>
          <cell r="F81">
            <v>0</v>
          </cell>
          <cell r="G81">
            <v>0</v>
          </cell>
          <cell r="H81" t="str">
            <v>Gláucio/Adriana</v>
          </cell>
          <cell r="I81" t="str">
            <v>SECOT</v>
          </cell>
          <cell r="J81">
            <v>1</v>
          </cell>
          <cell r="K81" t="e">
            <v>#REF!</v>
          </cell>
          <cell r="O81">
            <v>0</v>
          </cell>
        </row>
        <row r="82">
          <cell r="B82" t="str">
            <v>CONTRATOS DE SERVIÇO</v>
          </cell>
          <cell r="C82">
            <v>18389.759999999998</v>
          </cell>
          <cell r="D82" t="str">
            <v>ANALISADA</v>
          </cell>
          <cell r="E82">
            <v>0</v>
          </cell>
          <cell r="F82">
            <v>0</v>
          </cell>
          <cell r="G82">
            <v>0</v>
          </cell>
          <cell r="H82" t="str">
            <v>Gláucio/Adriana</v>
          </cell>
          <cell r="I82" t="str">
            <v>SECOT</v>
          </cell>
          <cell r="J82">
            <v>1</v>
          </cell>
          <cell r="K82" t="e">
            <v>#REF!</v>
          </cell>
          <cell r="O82">
            <v>0</v>
          </cell>
        </row>
        <row r="83">
          <cell r="B83" t="str">
            <v>ASSINATURA DE REVISTAS</v>
          </cell>
          <cell r="C83">
            <v>449.45</v>
          </cell>
          <cell r="D83" t="str">
            <v>ANALISADA</v>
          </cell>
          <cell r="E83">
            <v>0</v>
          </cell>
          <cell r="F83">
            <v>0</v>
          </cell>
          <cell r="G83">
            <v>0</v>
          </cell>
          <cell r="H83" t="str">
            <v>Gláucio/Adriana</v>
          </cell>
          <cell r="I83" t="str">
            <v>SECOT</v>
          </cell>
          <cell r="J83">
            <v>1</v>
          </cell>
          <cell r="K83" t="e">
            <v>#REF!</v>
          </cell>
          <cell r="O83">
            <v>0</v>
          </cell>
        </row>
        <row r="84">
          <cell r="B84" t="str">
            <v>BOMPREÇO SUPERMERCADOS DO NE - CC ASSOC.</v>
          </cell>
          <cell r="C84">
            <v>-26787602.57</v>
          </cell>
          <cell r="D84" t="str">
            <v>CONCILIADA</v>
          </cell>
          <cell r="E84">
            <v>1</v>
          </cell>
          <cell r="F84">
            <v>33032.480000000003</v>
          </cell>
          <cell r="G84">
            <v>-0.12331256563061666</v>
          </cell>
          <cell r="H84" t="str">
            <v>Gláucio/Adriana</v>
          </cell>
          <cell r="I84" t="str">
            <v>SECOT</v>
          </cell>
          <cell r="J84">
            <v>1</v>
          </cell>
          <cell r="K84" t="e">
            <v>#REF!</v>
          </cell>
          <cell r="M84">
            <v>33032.480000000003</v>
          </cell>
          <cell r="O84">
            <v>33032.480000000003</v>
          </cell>
        </row>
        <row r="85">
          <cell r="B85" t="str">
            <v>BR PARTIC. E EMPREENDIMENTOS - CC ASSOC.</v>
          </cell>
          <cell r="C85">
            <v>-42397</v>
          </cell>
          <cell r="D85" t="str">
            <v>ANALISADA</v>
          </cell>
          <cell r="E85">
            <v>0</v>
          </cell>
          <cell r="F85">
            <v>0</v>
          </cell>
          <cell r="G85">
            <v>0</v>
          </cell>
          <cell r="H85" t="str">
            <v>Gláucio/Adriana</v>
          </cell>
          <cell r="I85" t="str">
            <v>SECOT</v>
          </cell>
          <cell r="J85">
            <v>1</v>
          </cell>
          <cell r="K85" t="e">
            <v>#REF!</v>
          </cell>
          <cell r="O85">
            <v>0</v>
          </cell>
        </row>
        <row r="86">
          <cell r="B86" t="str">
            <v>IMPOSTO DE RENDA - DIFERIDO-RLP</v>
          </cell>
          <cell r="C86">
            <v>8180717.6500000004</v>
          </cell>
          <cell r="D86" t="str">
            <v>ANALISADA</v>
          </cell>
          <cell r="E86">
            <v>0</v>
          </cell>
          <cell r="F86">
            <v>0</v>
          </cell>
          <cell r="G86">
            <v>0</v>
          </cell>
          <cell r="H86" t="str">
            <v>Gláucio/Adriana</v>
          </cell>
          <cell r="I86" t="str">
            <v>SECOT</v>
          </cell>
          <cell r="J86">
            <v>1</v>
          </cell>
          <cell r="K86" t="e">
            <v>#REF!</v>
          </cell>
          <cell r="O86">
            <v>0</v>
          </cell>
        </row>
        <row r="87">
          <cell r="B87" t="str">
            <v>CONTRIBUIÇÃO SOCIAL - DIFERIDA - LP</v>
          </cell>
          <cell r="C87">
            <v>2290075.88</v>
          </cell>
          <cell r="D87" t="str">
            <v>ANALISADA</v>
          </cell>
          <cell r="E87">
            <v>0</v>
          </cell>
          <cell r="F87">
            <v>0</v>
          </cell>
          <cell r="G87">
            <v>0</v>
          </cell>
          <cell r="H87" t="str">
            <v>Gláucio/Adriana</v>
          </cell>
          <cell r="I87" t="str">
            <v>SECOT</v>
          </cell>
          <cell r="J87">
            <v>1</v>
          </cell>
          <cell r="K87" t="e">
            <v>#REF!</v>
          </cell>
          <cell r="O87">
            <v>0</v>
          </cell>
        </row>
        <row r="88">
          <cell r="B88" t="str">
            <v>PROCESSOS TRABALHISTAS / PE</v>
          </cell>
          <cell r="C88">
            <v>9102.98</v>
          </cell>
          <cell r="D88" t="str">
            <v>ANALISADA</v>
          </cell>
          <cell r="E88">
            <v>0</v>
          </cell>
          <cell r="F88">
            <v>0</v>
          </cell>
          <cell r="G88">
            <v>0</v>
          </cell>
          <cell r="H88" t="str">
            <v>Gláucio/Adriana</v>
          </cell>
          <cell r="I88" t="str">
            <v>SECOT</v>
          </cell>
          <cell r="J88">
            <v>1</v>
          </cell>
          <cell r="K88" t="e">
            <v>#REF!</v>
          </cell>
          <cell r="O88">
            <v>0</v>
          </cell>
        </row>
        <row r="89">
          <cell r="B89" t="str">
            <v>PROCESSOS TRABALHISTAS DIVERSOS</v>
          </cell>
          <cell r="C89">
            <v>86492.7</v>
          </cell>
          <cell r="D89" t="str">
            <v>ANALISADA</v>
          </cell>
          <cell r="E89">
            <v>0</v>
          </cell>
          <cell r="F89">
            <v>0</v>
          </cell>
          <cell r="G89">
            <v>0</v>
          </cell>
          <cell r="H89" t="str">
            <v>Gláucio/Adriana</v>
          </cell>
          <cell r="I89" t="str">
            <v>SECOT</v>
          </cell>
          <cell r="J89">
            <v>1</v>
          </cell>
          <cell r="K89" t="e">
            <v>#REF!</v>
          </cell>
          <cell r="O89">
            <v>0</v>
          </cell>
        </row>
        <row r="90">
          <cell r="B90" t="str">
            <v>PROCESSOS COFINS LEI 9.718/98</v>
          </cell>
          <cell r="C90">
            <v>752693.76000000001</v>
          </cell>
          <cell r="D90" t="str">
            <v>ANALISADA</v>
          </cell>
          <cell r="E90">
            <v>0</v>
          </cell>
          <cell r="F90">
            <v>0</v>
          </cell>
          <cell r="G90">
            <v>0</v>
          </cell>
          <cell r="H90" t="str">
            <v>Gláucio/Adriana</v>
          </cell>
          <cell r="I90" t="str">
            <v>SECOT</v>
          </cell>
          <cell r="J90">
            <v>1</v>
          </cell>
          <cell r="K90" t="e">
            <v>#REF!</v>
          </cell>
          <cell r="O90">
            <v>0</v>
          </cell>
        </row>
        <row r="91">
          <cell r="B91" t="str">
            <v>CORISCO TECNOLOGIA S/A - PART. OUTR. EMP</v>
          </cell>
          <cell r="C91">
            <v>86421.89</v>
          </cell>
          <cell r="D91" t="str">
            <v>ANALISADA</v>
          </cell>
          <cell r="E91">
            <v>0</v>
          </cell>
          <cell r="F91">
            <v>0</v>
          </cell>
          <cell r="G91">
            <v>0</v>
          </cell>
          <cell r="H91" t="str">
            <v>Luciclei</v>
          </cell>
          <cell r="I91" t="str">
            <v>SECOT</v>
          </cell>
          <cell r="J91">
            <v>1</v>
          </cell>
          <cell r="K91" t="e">
            <v>#REF!</v>
          </cell>
          <cell r="O91">
            <v>0</v>
          </cell>
        </row>
        <row r="92">
          <cell r="B92" t="str">
            <v>INVESTIMENTO BRASPACK</v>
          </cell>
          <cell r="C92">
            <v>208527</v>
          </cell>
          <cell r="D92" t="str">
            <v>ANALISADA</v>
          </cell>
          <cell r="E92">
            <v>0</v>
          </cell>
          <cell r="F92">
            <v>0</v>
          </cell>
          <cell r="G92">
            <v>0</v>
          </cell>
          <cell r="H92" t="str">
            <v>Luciclei</v>
          </cell>
          <cell r="I92" t="str">
            <v>SECOT</v>
          </cell>
          <cell r="J92">
            <v>1</v>
          </cell>
          <cell r="K92" t="e">
            <v>#REF!</v>
          </cell>
          <cell r="O92">
            <v>0</v>
          </cell>
        </row>
        <row r="93">
          <cell r="B93" t="str">
            <v>FINOR</v>
          </cell>
          <cell r="C93">
            <v>681172.11</v>
          </cell>
          <cell r="D93" t="str">
            <v>ANALISADA</v>
          </cell>
          <cell r="E93">
            <v>0</v>
          </cell>
          <cell r="F93">
            <v>0</v>
          </cell>
          <cell r="G93">
            <v>0</v>
          </cell>
          <cell r="H93" t="str">
            <v>Luciclei</v>
          </cell>
          <cell r="I93" t="str">
            <v>SECOT</v>
          </cell>
          <cell r="J93">
            <v>1</v>
          </cell>
          <cell r="K93" t="e">
            <v>#REF!</v>
          </cell>
          <cell r="O93">
            <v>0</v>
          </cell>
        </row>
        <row r="94">
          <cell r="B94" t="str">
            <v>INSTALAÇÕES - CUSTO</v>
          </cell>
          <cell r="C94">
            <v>84645.93</v>
          </cell>
          <cell r="D94" t="str">
            <v>ANALISADA</v>
          </cell>
          <cell r="E94">
            <v>0</v>
          </cell>
          <cell r="F94">
            <v>0</v>
          </cell>
          <cell r="G94">
            <v>0</v>
          </cell>
          <cell r="H94" t="str">
            <v>Luciclei</v>
          </cell>
          <cell r="I94" t="str">
            <v>SECOT</v>
          </cell>
          <cell r="J94">
            <v>1</v>
          </cell>
          <cell r="K94" t="e">
            <v>#REF!</v>
          </cell>
          <cell r="O94">
            <v>0</v>
          </cell>
        </row>
        <row r="95">
          <cell r="B95" t="str">
            <v>LEASING EQUIPAMENTOS-CUSTO</v>
          </cell>
          <cell r="C95">
            <v>2764559.82</v>
          </cell>
          <cell r="D95" t="str">
            <v>ANALISADA</v>
          </cell>
          <cell r="E95">
            <v>0</v>
          </cell>
          <cell r="F95">
            <v>0</v>
          </cell>
          <cell r="G95">
            <v>0</v>
          </cell>
          <cell r="H95" t="str">
            <v>Luciclei</v>
          </cell>
          <cell r="I95" t="str">
            <v>SECOT</v>
          </cell>
          <cell r="J95">
            <v>1</v>
          </cell>
          <cell r="K95" t="e">
            <v>#REF!</v>
          </cell>
          <cell r="O95">
            <v>0</v>
          </cell>
        </row>
        <row r="96">
          <cell r="B96" t="str">
            <v>EQUIPAMENTOS P/ADMINISTRAÇÃO-CUSTO</v>
          </cell>
          <cell r="C96">
            <v>396378.07</v>
          </cell>
          <cell r="D96" t="str">
            <v>ANALISADA</v>
          </cell>
          <cell r="E96">
            <v>0</v>
          </cell>
          <cell r="F96">
            <v>0</v>
          </cell>
          <cell r="G96">
            <v>0</v>
          </cell>
          <cell r="H96" t="str">
            <v>Luciclei</v>
          </cell>
          <cell r="I96" t="str">
            <v>SECOT</v>
          </cell>
          <cell r="J96">
            <v>1</v>
          </cell>
          <cell r="K96" t="e">
            <v>#REF!</v>
          </cell>
          <cell r="O96">
            <v>0</v>
          </cell>
        </row>
        <row r="97">
          <cell r="B97" t="str">
            <v>EQUIPAMENTOS P/INFORMÁTICA-CUSTO</v>
          </cell>
          <cell r="C97">
            <v>2605629.81</v>
          </cell>
          <cell r="D97" t="str">
            <v>ANALISADA</v>
          </cell>
          <cell r="E97">
            <v>0</v>
          </cell>
          <cell r="F97">
            <v>0</v>
          </cell>
          <cell r="G97">
            <v>0</v>
          </cell>
          <cell r="H97" t="str">
            <v>Luciclei</v>
          </cell>
          <cell r="I97" t="str">
            <v>SECOT</v>
          </cell>
          <cell r="J97">
            <v>1</v>
          </cell>
          <cell r="K97" t="e">
            <v>#REF!</v>
          </cell>
          <cell r="O97">
            <v>0</v>
          </cell>
        </row>
        <row r="98">
          <cell r="B98" t="str">
            <v>MARCAS E PATENTE-CUSTO</v>
          </cell>
          <cell r="C98">
            <v>1618.86</v>
          </cell>
          <cell r="D98" t="str">
            <v>ANALISADA</v>
          </cell>
          <cell r="E98">
            <v>0</v>
          </cell>
          <cell r="F98">
            <v>0</v>
          </cell>
          <cell r="G98">
            <v>0</v>
          </cell>
          <cell r="H98" t="str">
            <v>Luciclei</v>
          </cell>
          <cell r="I98" t="str">
            <v>SECOT</v>
          </cell>
          <cell r="J98">
            <v>1</v>
          </cell>
          <cell r="K98" t="e">
            <v>#REF!</v>
          </cell>
          <cell r="O98">
            <v>0</v>
          </cell>
        </row>
        <row r="99">
          <cell r="B99" t="str">
            <v>SOFTWARE - CUSTO</v>
          </cell>
          <cell r="C99">
            <v>1998190.47</v>
          </cell>
          <cell r="D99" t="str">
            <v>ANALISADA</v>
          </cell>
          <cell r="E99">
            <v>0</v>
          </cell>
          <cell r="F99">
            <v>0</v>
          </cell>
          <cell r="G99">
            <v>0</v>
          </cell>
          <cell r="H99" t="str">
            <v>Luciclei</v>
          </cell>
          <cell r="I99" t="str">
            <v>SECOT</v>
          </cell>
          <cell r="J99">
            <v>1</v>
          </cell>
          <cell r="K99" t="e">
            <v>#REF!</v>
          </cell>
          <cell r="O99">
            <v>0</v>
          </cell>
        </row>
        <row r="100">
          <cell r="B100" t="str">
            <v>INSTALACÕES-DEPRECIAÇÃO</v>
          </cell>
          <cell r="C100">
            <v>-14336.05</v>
          </cell>
          <cell r="D100" t="str">
            <v>ANALISADA</v>
          </cell>
          <cell r="E100">
            <v>0</v>
          </cell>
          <cell r="F100">
            <v>0</v>
          </cell>
          <cell r="G100">
            <v>0</v>
          </cell>
          <cell r="H100" t="str">
            <v>Luciclei</v>
          </cell>
          <cell r="I100" t="str">
            <v>SECOT</v>
          </cell>
          <cell r="J100">
            <v>1</v>
          </cell>
          <cell r="K100" t="e">
            <v>#REF!</v>
          </cell>
          <cell r="O100">
            <v>0</v>
          </cell>
        </row>
        <row r="101">
          <cell r="B101" t="str">
            <v>EQUIPAMENTOS P/ ADMINISTRAÇÃO-DEPREC.</v>
          </cell>
          <cell r="C101">
            <v>-184544.15</v>
          </cell>
          <cell r="D101" t="str">
            <v>ANALISADA</v>
          </cell>
          <cell r="E101">
            <v>0</v>
          </cell>
          <cell r="F101">
            <v>0</v>
          </cell>
          <cell r="G101">
            <v>0</v>
          </cell>
          <cell r="H101" t="str">
            <v>Luciclei</v>
          </cell>
          <cell r="I101" t="str">
            <v>SECOT</v>
          </cell>
          <cell r="J101">
            <v>1</v>
          </cell>
          <cell r="K101" t="e">
            <v>#REF!</v>
          </cell>
          <cell r="O101">
            <v>0</v>
          </cell>
        </row>
        <row r="102">
          <cell r="B102" t="str">
            <v>EQUIPAMENTP P/ INFORMÁTICA-DEPREC.</v>
          </cell>
          <cell r="C102">
            <v>-811913.49</v>
          </cell>
          <cell r="D102" t="str">
            <v>ANALISADA</v>
          </cell>
          <cell r="E102">
            <v>0</v>
          </cell>
          <cell r="F102">
            <v>0</v>
          </cell>
          <cell r="G102">
            <v>0</v>
          </cell>
          <cell r="H102" t="str">
            <v>Luciclei</v>
          </cell>
          <cell r="I102" t="str">
            <v>SECOT</v>
          </cell>
          <cell r="J102">
            <v>1</v>
          </cell>
          <cell r="K102" t="e">
            <v>#REF!</v>
          </cell>
          <cell r="O102">
            <v>0</v>
          </cell>
        </row>
        <row r="103">
          <cell r="B103" t="str">
            <v>LEASING EQUIPAMENTOS-DEPREC.</v>
          </cell>
          <cell r="C103">
            <v>-1598806.22</v>
          </cell>
          <cell r="D103" t="str">
            <v>ANALISADA</v>
          </cell>
          <cell r="E103">
            <v>0</v>
          </cell>
          <cell r="F103">
            <v>0</v>
          </cell>
          <cell r="G103">
            <v>0</v>
          </cell>
          <cell r="H103" t="str">
            <v>Luciclei</v>
          </cell>
          <cell r="I103" t="str">
            <v>SECOT</v>
          </cell>
          <cell r="J103">
            <v>1</v>
          </cell>
          <cell r="K103" t="e">
            <v>#REF!</v>
          </cell>
          <cell r="O103">
            <v>0</v>
          </cell>
        </row>
        <row r="104">
          <cell r="B104" t="str">
            <v>SOFTWARE - AMORTIZAÇÃO</v>
          </cell>
          <cell r="C104">
            <v>-615711.42000000004</v>
          </cell>
          <cell r="D104" t="str">
            <v>ANALISADA</v>
          </cell>
          <cell r="E104">
            <v>0</v>
          </cell>
          <cell r="F104">
            <v>0</v>
          </cell>
          <cell r="G104">
            <v>0</v>
          </cell>
          <cell r="H104" t="str">
            <v>Luciclei</v>
          </cell>
          <cell r="I104" t="str">
            <v>SECOT</v>
          </cell>
          <cell r="J104">
            <v>1</v>
          </cell>
          <cell r="K104" t="e">
            <v>#REF!</v>
          </cell>
          <cell r="O104">
            <v>0</v>
          </cell>
        </row>
        <row r="105">
          <cell r="B105" t="str">
            <v>PROJETO SUPERMAR</v>
          </cell>
          <cell r="C105">
            <v>961.96</v>
          </cell>
          <cell r="D105" t="str">
            <v>ANALISADA</v>
          </cell>
          <cell r="E105">
            <v>0</v>
          </cell>
          <cell r="F105">
            <v>0</v>
          </cell>
          <cell r="G105">
            <v>0</v>
          </cell>
          <cell r="H105" t="str">
            <v>Luciclei</v>
          </cell>
          <cell r="I105" t="str">
            <v>SECOT</v>
          </cell>
          <cell r="J105">
            <v>1</v>
          </cell>
          <cell r="K105" t="e">
            <v>#REF!</v>
          </cell>
          <cell r="O105">
            <v>0</v>
          </cell>
        </row>
        <row r="106">
          <cell r="B106" t="str">
            <v>CIDADE CDCI</v>
          </cell>
          <cell r="C106">
            <v>-3889749.97</v>
          </cell>
          <cell r="D106" t="str">
            <v>ANALISADA</v>
          </cell>
          <cell r="E106">
            <v>0</v>
          </cell>
          <cell r="F106">
            <v>0</v>
          </cell>
          <cell r="G106">
            <v>0</v>
          </cell>
          <cell r="H106" t="str">
            <v>SEFIN</v>
          </cell>
          <cell r="I106" t="str">
            <v>SEFIN</v>
          </cell>
          <cell r="J106">
            <v>1</v>
          </cell>
          <cell r="K106" t="e">
            <v>#REF!</v>
          </cell>
          <cell r="O106">
            <v>0</v>
          </cell>
        </row>
        <row r="107">
          <cell r="B107" t="str">
            <v>SANTANDER CDCI</v>
          </cell>
          <cell r="C107">
            <v>-15173601.609999999</v>
          </cell>
          <cell r="D107" t="str">
            <v>ANALISADA</v>
          </cell>
          <cell r="E107">
            <v>0</v>
          </cell>
          <cell r="F107">
            <v>0</v>
          </cell>
          <cell r="G107">
            <v>0</v>
          </cell>
          <cell r="H107" t="str">
            <v>SEFIN</v>
          </cell>
          <cell r="I107" t="str">
            <v>SEFIN</v>
          </cell>
          <cell r="J107">
            <v>1</v>
          </cell>
          <cell r="K107" t="e">
            <v>#REF!</v>
          </cell>
          <cell r="O107">
            <v>0</v>
          </cell>
        </row>
        <row r="108">
          <cell r="B108" t="str">
            <v>SAFRA CDCI</v>
          </cell>
          <cell r="C108">
            <v>-16458948.710000001</v>
          </cell>
          <cell r="D108" t="str">
            <v>ANALISADA</v>
          </cell>
          <cell r="E108">
            <v>0</v>
          </cell>
          <cell r="F108">
            <v>0</v>
          </cell>
          <cell r="G108">
            <v>0</v>
          </cell>
          <cell r="H108" t="str">
            <v>SEFIN</v>
          </cell>
          <cell r="I108" t="str">
            <v>SEFIN</v>
          </cell>
          <cell r="J108">
            <v>1</v>
          </cell>
          <cell r="K108" t="e">
            <v>#REF!</v>
          </cell>
          <cell r="O108">
            <v>0</v>
          </cell>
        </row>
        <row r="109">
          <cell r="B109" t="str">
            <v>BANCO BBV CDCI</v>
          </cell>
          <cell r="C109">
            <v>-24658314.780000001</v>
          </cell>
          <cell r="D109" t="str">
            <v>ANALISADA</v>
          </cell>
          <cell r="E109">
            <v>0</v>
          </cell>
          <cell r="F109">
            <v>0</v>
          </cell>
          <cell r="G109">
            <v>0</v>
          </cell>
          <cell r="H109" t="str">
            <v>SEFIN</v>
          </cell>
          <cell r="I109" t="str">
            <v>SEFIN</v>
          </cell>
          <cell r="J109">
            <v>1</v>
          </cell>
          <cell r="K109" t="e">
            <v>#REF!</v>
          </cell>
          <cell r="O109">
            <v>0</v>
          </cell>
        </row>
        <row r="110">
          <cell r="B110" t="str">
            <v>FORNECEDORES MERCADORIAS</v>
          </cell>
          <cell r="C110">
            <v>-246580.52</v>
          </cell>
          <cell r="D110" t="str">
            <v>ANALISADA</v>
          </cell>
          <cell r="E110">
            <v>0</v>
          </cell>
          <cell r="F110">
            <v>0</v>
          </cell>
          <cell r="G110">
            <v>0</v>
          </cell>
          <cell r="H110" t="str">
            <v>SECOP</v>
          </cell>
          <cell r="I110" t="str">
            <v>SECOP</v>
          </cell>
          <cell r="J110">
            <v>1</v>
          </cell>
          <cell r="K110" t="e">
            <v>#REF!</v>
          </cell>
          <cell r="O110">
            <v>0</v>
          </cell>
        </row>
        <row r="111">
          <cell r="B111" t="str">
            <v>FORNECEDORES ASSOCIADAS</v>
          </cell>
          <cell r="C111">
            <v>-91660.12</v>
          </cell>
          <cell r="D111" t="str">
            <v>CONCILIADA</v>
          </cell>
          <cell r="E111">
            <v>2</v>
          </cell>
          <cell r="F111">
            <v>8455.11</v>
          </cell>
          <cell r="G111">
            <v>-9.2244151545950412</v>
          </cell>
          <cell r="H111" t="str">
            <v>Gláucio/Adriana</v>
          </cell>
          <cell r="I111" t="str">
            <v>SECOT</v>
          </cell>
          <cell r="J111">
            <v>1</v>
          </cell>
          <cell r="K111" t="e">
            <v>#REF!</v>
          </cell>
          <cell r="M111">
            <v>8455.11</v>
          </cell>
          <cell r="O111">
            <v>8455.11</v>
          </cell>
        </row>
        <row r="112">
          <cell r="B112" t="str">
            <v>PIS/FATURAMENTO</v>
          </cell>
          <cell r="C112">
            <v>-79159.19</v>
          </cell>
          <cell r="D112" t="str">
            <v>CONCILIADA</v>
          </cell>
          <cell r="E112">
            <v>3</v>
          </cell>
          <cell r="F112">
            <v>20244.43</v>
          </cell>
          <cell r="G112">
            <v>-25.574326872217867</v>
          </cell>
          <cell r="H112" t="str">
            <v>Gláucio/Adriana</v>
          </cell>
          <cell r="I112" t="str">
            <v>SECOT</v>
          </cell>
          <cell r="J112">
            <v>1</v>
          </cell>
          <cell r="K112" t="e">
            <v>#REF!</v>
          </cell>
          <cell r="N112">
            <v>20244.43</v>
          </cell>
          <cell r="O112">
            <v>20244.43</v>
          </cell>
        </row>
        <row r="113">
          <cell r="B113" t="str">
            <v>COFINS A RECOLHER</v>
          </cell>
          <cell r="C113">
            <v>-361929.61</v>
          </cell>
          <cell r="D113" t="str">
            <v>CONCILIADA</v>
          </cell>
          <cell r="E113">
            <v>3</v>
          </cell>
          <cell r="F113">
            <v>180653.44</v>
          </cell>
          <cell r="G113">
            <v>-49.913970840904675</v>
          </cell>
          <cell r="H113" t="str">
            <v>Gláucio/Adriana</v>
          </cell>
          <cell r="I113" t="str">
            <v>SECOT</v>
          </cell>
          <cell r="J113">
            <v>1</v>
          </cell>
          <cell r="K113" t="e">
            <v>#REF!</v>
          </cell>
          <cell r="N113">
            <v>180653.44</v>
          </cell>
          <cell r="O113">
            <v>180653.44</v>
          </cell>
        </row>
        <row r="114">
          <cell r="B114" t="str">
            <v>INSS A RECOLHER</v>
          </cell>
          <cell r="C114">
            <v>-102814.79</v>
          </cell>
          <cell r="D114" t="str">
            <v>ANALISADA</v>
          </cell>
          <cell r="G114">
            <v>0</v>
          </cell>
          <cell r="H114" t="str">
            <v>Gláucio/Adriana</v>
          </cell>
          <cell r="I114" t="str">
            <v>SECOT</v>
          </cell>
          <cell r="J114">
            <v>1</v>
          </cell>
          <cell r="K114" t="e">
            <v>#REF!</v>
          </cell>
          <cell r="O114">
            <v>0</v>
          </cell>
        </row>
        <row r="115">
          <cell r="B115" t="str">
            <v>INSS SERVIÇOS DE TERCEIROS - PF</v>
          </cell>
          <cell r="C115">
            <v>-249.16</v>
          </cell>
          <cell r="D115" t="str">
            <v>ANALISADA</v>
          </cell>
          <cell r="G115">
            <v>0</v>
          </cell>
          <cell r="H115" t="str">
            <v>Gláucio/Adriana</v>
          </cell>
          <cell r="I115" t="str">
            <v>SECOT</v>
          </cell>
          <cell r="J115">
            <v>1</v>
          </cell>
          <cell r="K115" t="e">
            <v>#REF!</v>
          </cell>
          <cell r="O115">
            <v>0</v>
          </cell>
        </row>
        <row r="116">
          <cell r="B116" t="str">
            <v>INSS SERVIÇOS DE TERCEIROS - PJ</v>
          </cell>
          <cell r="C116">
            <v>-6763.91</v>
          </cell>
          <cell r="D116" t="str">
            <v>ANALISADA</v>
          </cell>
          <cell r="G116">
            <v>0</v>
          </cell>
          <cell r="H116" t="str">
            <v>Gláucio/Adriana</v>
          </cell>
          <cell r="I116" t="str">
            <v>SECOT</v>
          </cell>
          <cell r="J116">
            <v>1</v>
          </cell>
          <cell r="K116" t="e">
            <v>#REF!</v>
          </cell>
          <cell r="O116">
            <v>0</v>
          </cell>
        </row>
        <row r="117">
          <cell r="B117" t="str">
            <v>FGTS A RECOLHER</v>
          </cell>
          <cell r="C117">
            <v>-31520.1</v>
          </cell>
          <cell r="D117" t="str">
            <v>CONCILIADA</v>
          </cell>
          <cell r="E117">
            <v>1</v>
          </cell>
          <cell r="F117">
            <v>27.02</v>
          </cell>
          <cell r="G117">
            <v>-8.5723078289726237E-2</v>
          </cell>
          <cell r="H117" t="str">
            <v>Gláucio/Adriana</v>
          </cell>
          <cell r="I117" t="str">
            <v>SECOT</v>
          </cell>
          <cell r="J117">
            <v>1</v>
          </cell>
          <cell r="K117" t="e">
            <v>#REF!</v>
          </cell>
          <cell r="M117">
            <v>27.02</v>
          </cell>
          <cell r="O117">
            <v>27.02</v>
          </cell>
        </row>
        <row r="118">
          <cell r="B118" t="str">
            <v>SALÁRIO EDUCAÇÃO A RECOLHER</v>
          </cell>
          <cell r="C118">
            <v>-7759.57</v>
          </cell>
          <cell r="D118" t="str">
            <v>CONCILIADA</v>
          </cell>
          <cell r="E118">
            <v>1</v>
          </cell>
          <cell r="F118">
            <v>0.05</v>
          </cell>
          <cell r="G118">
            <v>-6.4436560273314122E-4</v>
          </cell>
          <cell r="H118" t="str">
            <v>Gláucio/Adriana</v>
          </cell>
          <cell r="I118" t="str">
            <v>SECOT</v>
          </cell>
          <cell r="J118">
            <v>1</v>
          </cell>
          <cell r="K118" t="e">
            <v>#REF!</v>
          </cell>
          <cell r="M118">
            <v>0.05</v>
          </cell>
          <cell r="O118">
            <v>0.05</v>
          </cell>
        </row>
        <row r="119">
          <cell r="B119" t="str">
            <v>CONTRIB SINDICAL A RECOLHER</v>
          </cell>
          <cell r="C119">
            <v>-526.5</v>
          </cell>
          <cell r="D119" t="str">
            <v>CONCILIADA</v>
          </cell>
          <cell r="E119">
            <v>1</v>
          </cell>
          <cell r="F119">
            <v>18</v>
          </cell>
          <cell r="G119">
            <v>-3.4188034188034191</v>
          </cell>
          <cell r="H119" t="str">
            <v>Gláucio/Adriana</v>
          </cell>
          <cell r="I119" t="str">
            <v>SECOT</v>
          </cell>
          <cell r="J119">
            <v>1</v>
          </cell>
          <cell r="K119" t="e">
            <v>#REF!</v>
          </cell>
          <cell r="M119">
            <v>18</v>
          </cell>
          <cell r="O119">
            <v>18</v>
          </cell>
        </row>
        <row r="120">
          <cell r="B120" t="str">
            <v>MENSALIDADE SINDICAL RECOLHER</v>
          </cell>
          <cell r="C120">
            <v>-7.5</v>
          </cell>
          <cell r="D120" t="str">
            <v>ANALISADA</v>
          </cell>
          <cell r="E120">
            <v>0</v>
          </cell>
          <cell r="F120">
            <v>0</v>
          </cell>
          <cell r="G120">
            <v>0</v>
          </cell>
          <cell r="H120" t="str">
            <v>Gláucio/Adriana</v>
          </cell>
          <cell r="I120" t="str">
            <v>SECOT</v>
          </cell>
          <cell r="J120">
            <v>1</v>
          </cell>
          <cell r="K120" t="e">
            <v>#REF!</v>
          </cell>
          <cell r="M120">
            <v>0</v>
          </cell>
          <cell r="O120">
            <v>0</v>
          </cell>
        </row>
        <row r="121">
          <cell r="B121" t="str">
            <v>OBRIGAÇÕES SOCIAIS</v>
          </cell>
          <cell r="C121">
            <v>-2740.22</v>
          </cell>
          <cell r="D121" t="str">
            <v>CONCILIADA</v>
          </cell>
          <cell r="E121">
            <v>1</v>
          </cell>
          <cell r="F121">
            <v>2740.22</v>
          </cell>
          <cell r="G121">
            <v>-100</v>
          </cell>
          <cell r="H121" t="str">
            <v>Gláucio/Adriana</v>
          </cell>
          <cell r="I121" t="str">
            <v>SECOT</v>
          </cell>
          <cell r="J121">
            <v>1</v>
          </cell>
          <cell r="K121" t="e">
            <v>#REF!</v>
          </cell>
          <cell r="M121">
            <v>2740.22</v>
          </cell>
          <cell r="O121">
            <v>2740.22</v>
          </cell>
        </row>
        <row r="122">
          <cell r="B122" t="str">
            <v>IR NA FONTE S/FOLHA DE PAGAMENTO</v>
          </cell>
          <cell r="C122">
            <v>-11209.93</v>
          </cell>
          <cell r="D122" t="str">
            <v>ANALISADA</v>
          </cell>
          <cell r="E122">
            <v>0</v>
          </cell>
          <cell r="F122">
            <v>0</v>
          </cell>
          <cell r="G122">
            <v>0</v>
          </cell>
          <cell r="H122" t="str">
            <v>Gláucio/Adriana</v>
          </cell>
          <cell r="I122" t="str">
            <v>SECOT</v>
          </cell>
          <cell r="J122">
            <v>1</v>
          </cell>
          <cell r="K122" t="e">
            <v>#REF!</v>
          </cell>
          <cell r="O122">
            <v>0</v>
          </cell>
        </row>
        <row r="123">
          <cell r="B123" t="str">
            <v>IR NA FONTE TERCEIROS - PJ</v>
          </cell>
          <cell r="C123">
            <v>-519.35</v>
          </cell>
          <cell r="D123" t="str">
            <v>ANALISADA</v>
          </cell>
          <cell r="E123">
            <v>0</v>
          </cell>
          <cell r="F123">
            <v>0</v>
          </cell>
          <cell r="G123">
            <v>0</v>
          </cell>
          <cell r="H123" t="str">
            <v>Gláucio/Adriana</v>
          </cell>
          <cell r="I123" t="str">
            <v>SECOT</v>
          </cell>
          <cell r="J123">
            <v>1</v>
          </cell>
          <cell r="K123" t="e">
            <v>#REF!</v>
          </cell>
          <cell r="O123">
            <v>0</v>
          </cell>
        </row>
        <row r="124">
          <cell r="B124" t="str">
            <v>ISS A RECOLHER</v>
          </cell>
          <cell r="C124">
            <v>-726752.58</v>
          </cell>
          <cell r="D124" t="str">
            <v>CONCILIADA</v>
          </cell>
          <cell r="E124">
            <v>3</v>
          </cell>
          <cell r="F124">
            <v>287803.03999999998</v>
          </cell>
          <cell r="G124">
            <v>-39.601240906499427</v>
          </cell>
          <cell r="H124" t="str">
            <v>Gláucio/Adriana</v>
          </cell>
          <cell r="I124" t="str">
            <v>SECOT</v>
          </cell>
          <cell r="J124">
            <v>1</v>
          </cell>
          <cell r="K124" t="e">
            <v>#REF!</v>
          </cell>
          <cell r="N124">
            <v>287803.03999999998</v>
          </cell>
          <cell r="O124">
            <v>287803.03999999998</v>
          </cell>
        </row>
        <row r="125">
          <cell r="B125" t="str">
            <v>ISS SERVIÇOS DE TERCEIROS</v>
          </cell>
          <cell r="C125">
            <v>-40.31</v>
          </cell>
          <cell r="D125" t="str">
            <v>CONCILIADA</v>
          </cell>
          <cell r="E125">
            <v>1</v>
          </cell>
          <cell r="F125">
            <v>31.58</v>
          </cell>
          <cell r="G125">
            <v>-78.342842967005694</v>
          </cell>
          <cell r="H125" t="str">
            <v>Gláucio/Adriana</v>
          </cell>
          <cell r="I125" t="str">
            <v>SECOT</v>
          </cell>
          <cell r="J125">
            <v>1</v>
          </cell>
          <cell r="K125" t="e">
            <v>#REF!</v>
          </cell>
          <cell r="M125">
            <v>31.58</v>
          </cell>
          <cell r="O125">
            <v>31.58</v>
          </cell>
        </row>
        <row r="126">
          <cell r="B126" t="str">
            <v>CONTRIBUIÇÃO SOCIAL - PAGTO.</v>
          </cell>
          <cell r="C126">
            <v>-3986673.13</v>
          </cell>
          <cell r="D126" t="str">
            <v>ANALISADA</v>
          </cell>
          <cell r="E126">
            <v>0</v>
          </cell>
          <cell r="F126">
            <v>0</v>
          </cell>
          <cell r="G126">
            <v>0</v>
          </cell>
          <cell r="H126" t="str">
            <v>Gláucio/Adriana</v>
          </cell>
          <cell r="I126" t="str">
            <v>SECOT</v>
          </cell>
          <cell r="J126">
            <v>1</v>
          </cell>
          <cell r="K126" t="e">
            <v>#REF!</v>
          </cell>
          <cell r="O126">
            <v>0</v>
          </cell>
        </row>
        <row r="127">
          <cell r="B127" t="str">
            <v>I.RENDA-PESSOA JURÍDICA</v>
          </cell>
          <cell r="C127">
            <v>-11760379.189999999</v>
          </cell>
          <cell r="D127" t="str">
            <v>ANALISADA</v>
          </cell>
          <cell r="E127">
            <v>0</v>
          </cell>
          <cell r="F127">
            <v>0</v>
          </cell>
          <cell r="G127">
            <v>0</v>
          </cell>
          <cell r="H127" t="str">
            <v>Gláucio/Adriana</v>
          </cell>
          <cell r="I127" t="str">
            <v>SECOT</v>
          </cell>
          <cell r="J127">
            <v>1</v>
          </cell>
          <cell r="K127" t="e">
            <v>#REF!</v>
          </cell>
          <cell r="O127">
            <v>0</v>
          </cell>
        </row>
        <row r="128">
          <cell r="B128" t="str">
            <v>RECEITAS DE SERVIÇOS</v>
          </cell>
          <cell r="C128">
            <v>-3951530.49</v>
          </cell>
          <cell r="D128" t="str">
            <v>ANALISADA</v>
          </cell>
          <cell r="E128">
            <v>0</v>
          </cell>
          <cell r="F128">
            <v>0</v>
          </cell>
          <cell r="G128">
            <v>0</v>
          </cell>
          <cell r="H128" t="str">
            <v>Gláucio/Adriana</v>
          </cell>
          <cell r="I128" t="str">
            <v>SECOT</v>
          </cell>
          <cell r="J128">
            <v>1</v>
          </cell>
          <cell r="K128" t="e">
            <v>#REF!</v>
          </cell>
          <cell r="O128">
            <v>0</v>
          </cell>
        </row>
        <row r="129">
          <cell r="B129" t="str">
            <v>ISS</v>
          </cell>
          <cell r="C129">
            <v>197576.49</v>
          </cell>
          <cell r="D129" t="str">
            <v>ANALISADA</v>
          </cell>
          <cell r="E129">
            <v>0</v>
          </cell>
          <cell r="F129">
            <v>0</v>
          </cell>
          <cell r="G129">
            <v>0</v>
          </cell>
          <cell r="H129" t="str">
            <v>Gláucio/Adriana</v>
          </cell>
          <cell r="I129" t="str">
            <v>SECOT</v>
          </cell>
          <cell r="J129">
            <v>1</v>
          </cell>
          <cell r="K129" t="e">
            <v>#REF!</v>
          </cell>
          <cell r="O129">
            <v>0</v>
          </cell>
        </row>
        <row r="130">
          <cell r="B130" t="str">
            <v>PIS</v>
          </cell>
          <cell r="C130">
            <v>25684.97</v>
          </cell>
          <cell r="D130" t="str">
            <v>ANALISADA</v>
          </cell>
          <cell r="E130">
            <v>0</v>
          </cell>
          <cell r="F130">
            <v>0</v>
          </cell>
          <cell r="G130">
            <v>0</v>
          </cell>
          <cell r="H130" t="str">
            <v>Gláucio/Adriana</v>
          </cell>
          <cell r="I130" t="str">
            <v>SECOT</v>
          </cell>
          <cell r="J130">
            <v>1</v>
          </cell>
          <cell r="K130" t="e">
            <v>#REF!</v>
          </cell>
          <cell r="O130">
            <v>0</v>
          </cell>
        </row>
        <row r="131">
          <cell r="B131" t="str">
            <v>COFINS</v>
          </cell>
          <cell r="C131">
            <v>118545.95</v>
          </cell>
          <cell r="D131" t="str">
            <v>ANALISADA</v>
          </cell>
          <cell r="E131">
            <v>0</v>
          </cell>
          <cell r="F131">
            <v>0</v>
          </cell>
          <cell r="G131">
            <v>0</v>
          </cell>
          <cell r="H131" t="str">
            <v>Gláucio/Adriana</v>
          </cell>
          <cell r="I131" t="str">
            <v>SECOT</v>
          </cell>
          <cell r="J131">
            <v>1</v>
          </cell>
          <cell r="K131" t="e">
            <v>#REF!</v>
          </cell>
          <cell r="O131">
            <v>0</v>
          </cell>
        </row>
        <row r="132">
          <cell r="B132" t="str">
            <v>BOMPREÇO SUPERMERCADOS DO NORDESTE -CART</v>
          </cell>
          <cell r="C132">
            <v>-405349386.29000002</v>
          </cell>
          <cell r="D132" t="str">
            <v>CONCILIADA</v>
          </cell>
          <cell r="E132">
            <v>3</v>
          </cell>
          <cell r="F132">
            <v>10308731.960000001</v>
          </cell>
          <cell r="G132">
            <v>-2.5431719668683059</v>
          </cell>
          <cell r="H132" t="str">
            <v>Alfredo</v>
          </cell>
          <cell r="I132" t="str">
            <v>SECOT</v>
          </cell>
          <cell r="J132">
            <v>1</v>
          </cell>
          <cell r="K132" t="e">
            <v>#REF!</v>
          </cell>
          <cell r="M132">
            <v>10308731.960000001</v>
          </cell>
          <cell r="O132">
            <v>10308731.960000001</v>
          </cell>
        </row>
        <row r="133">
          <cell r="B133" t="str">
            <v>BOMPREÇO BAHIA  -CART. HIPER</v>
          </cell>
          <cell r="C133">
            <v>-111362479.45</v>
          </cell>
          <cell r="D133" t="str">
            <v>CONCILIADA</v>
          </cell>
          <cell r="E133">
            <v>1</v>
          </cell>
          <cell r="F133">
            <v>3818224.65</v>
          </cell>
          <cell r="G133">
            <v>-3.428645508664633</v>
          </cell>
          <cell r="H133" t="str">
            <v>Bruno</v>
          </cell>
          <cell r="I133" t="str">
            <v>SECOT</v>
          </cell>
          <cell r="J133">
            <v>1</v>
          </cell>
          <cell r="K133" t="e">
            <v>#REF!</v>
          </cell>
          <cell r="M133">
            <v>3818224.65</v>
          </cell>
          <cell r="O133">
            <v>3818224.65</v>
          </cell>
        </row>
        <row r="134">
          <cell r="B134" t="str">
            <v>BPSN -CART. HIPER - CONVERSÃO</v>
          </cell>
          <cell r="C134">
            <v>276766029.81999999</v>
          </cell>
          <cell r="D134" t="str">
            <v>ANALISADA</v>
          </cell>
          <cell r="E134">
            <v>0</v>
          </cell>
          <cell r="F134">
            <v>0</v>
          </cell>
          <cell r="G134">
            <v>0</v>
          </cell>
          <cell r="H134" t="str">
            <v>Alfredo</v>
          </cell>
          <cell r="I134" t="str">
            <v>SECOT</v>
          </cell>
          <cell r="J134">
            <v>1</v>
          </cell>
          <cell r="K134" t="e">
            <v>#REF!</v>
          </cell>
          <cell r="M134">
            <v>0</v>
          </cell>
          <cell r="O134">
            <v>0</v>
          </cell>
        </row>
        <row r="135">
          <cell r="B135" t="str">
            <v>BPBA  -CART. HIPER - CONVERSÃO</v>
          </cell>
          <cell r="C135">
            <v>81966465.189999998</v>
          </cell>
          <cell r="D135" t="str">
            <v>ANALISADA</v>
          </cell>
          <cell r="E135">
            <v>0</v>
          </cell>
          <cell r="F135">
            <v>0</v>
          </cell>
          <cell r="G135">
            <v>0</v>
          </cell>
          <cell r="H135" t="str">
            <v>Bruno</v>
          </cell>
          <cell r="I135" t="str">
            <v>SECOT</v>
          </cell>
          <cell r="J135">
            <v>1</v>
          </cell>
          <cell r="K135" t="e">
            <v>#REF!</v>
          </cell>
          <cell r="M135">
            <v>0</v>
          </cell>
          <cell r="O135">
            <v>0</v>
          </cell>
        </row>
        <row r="136">
          <cell r="B136" t="str">
            <v>BOMPREÇO SUPERMERCADOS DO NORDESTE - HIP</v>
          </cell>
          <cell r="C136">
            <v>-656407.02</v>
          </cell>
          <cell r="D136" t="str">
            <v>CONCILIADA</v>
          </cell>
          <cell r="E136">
            <v>3</v>
          </cell>
          <cell r="F136">
            <v>149739.68</v>
          </cell>
          <cell r="G136">
            <v>-22.812016848936196</v>
          </cell>
          <cell r="H136" t="str">
            <v>Alfredo</v>
          </cell>
          <cell r="I136" t="str">
            <v>SECOT</v>
          </cell>
          <cell r="J136">
            <v>1</v>
          </cell>
          <cell r="K136" t="e">
            <v>#REF!</v>
          </cell>
          <cell r="M136">
            <v>149739.68</v>
          </cell>
          <cell r="O136">
            <v>149739.68</v>
          </cell>
        </row>
        <row r="137">
          <cell r="B137" t="str">
            <v>BOMPREÇO BAHIA - HIP.EMPRES.</v>
          </cell>
          <cell r="C137">
            <v>-66772.97</v>
          </cell>
          <cell r="D137" t="str">
            <v>CONCILIADA</v>
          </cell>
          <cell r="E137">
            <v>2</v>
          </cell>
          <cell r="F137">
            <v>16516.89</v>
          </cell>
          <cell r="G137">
            <v>-24.735892382801001</v>
          </cell>
          <cell r="H137" t="str">
            <v>Graça</v>
          </cell>
          <cell r="I137" t="str">
            <v>SECOT</v>
          </cell>
          <cell r="J137">
            <v>1</v>
          </cell>
          <cell r="K137" t="e">
            <v>#REF!</v>
          </cell>
          <cell r="M137">
            <v>16516.89</v>
          </cell>
          <cell r="O137">
            <v>16516.89</v>
          </cell>
        </row>
        <row r="138">
          <cell r="B138" t="str">
            <v>BPSN- HIP.EMPRES.- CONVERSÃO</v>
          </cell>
          <cell r="C138">
            <v>409123.64</v>
          </cell>
          <cell r="D138" t="str">
            <v>ANALISADA</v>
          </cell>
          <cell r="E138">
            <v>0</v>
          </cell>
          <cell r="F138">
            <v>0</v>
          </cell>
          <cell r="G138">
            <v>0</v>
          </cell>
          <cell r="H138" t="str">
            <v>Alfredo</v>
          </cell>
          <cell r="I138" t="str">
            <v>SECOT</v>
          </cell>
          <cell r="J138">
            <v>1</v>
          </cell>
          <cell r="K138" t="e">
            <v>#REF!</v>
          </cell>
          <cell r="M138">
            <v>0</v>
          </cell>
          <cell r="O138">
            <v>0</v>
          </cell>
        </row>
        <row r="139">
          <cell r="B139" t="str">
            <v>BPBA - HIP.EMPRES.- CONVERSÃO</v>
          </cell>
          <cell r="C139">
            <v>45031.360000000001</v>
          </cell>
          <cell r="D139" t="str">
            <v>ANALISADA</v>
          </cell>
          <cell r="E139">
            <v>0</v>
          </cell>
          <cell r="F139">
            <v>0</v>
          </cell>
          <cell r="G139">
            <v>0</v>
          </cell>
          <cell r="H139" t="str">
            <v>Graça</v>
          </cell>
          <cell r="I139" t="str">
            <v>SECOT</v>
          </cell>
          <cell r="J139">
            <v>1</v>
          </cell>
          <cell r="K139" t="e">
            <v>#REF!</v>
          </cell>
          <cell r="M139">
            <v>0</v>
          </cell>
          <cell r="O139">
            <v>0</v>
          </cell>
        </row>
        <row r="140">
          <cell r="B140" t="str">
            <v>BPSN - BOMCARD</v>
          </cell>
          <cell r="C140">
            <v>-2544282.73</v>
          </cell>
          <cell r="D140" t="str">
            <v>CONCILIADA</v>
          </cell>
          <cell r="E140">
            <v>4</v>
          </cell>
          <cell r="F140">
            <v>6664.69</v>
          </cell>
          <cell r="G140">
            <v>-0.26194769635527104</v>
          </cell>
          <cell r="H140" t="str">
            <v>Alfredo</v>
          </cell>
          <cell r="I140" t="str">
            <v>SECOT</v>
          </cell>
          <cell r="J140">
            <v>1</v>
          </cell>
          <cell r="K140" t="e">
            <v>#REF!</v>
          </cell>
          <cell r="M140">
            <v>6664.69</v>
          </cell>
          <cell r="O140">
            <v>6664.69</v>
          </cell>
        </row>
        <row r="141">
          <cell r="B141" t="str">
            <v>BOMPREÇO BAHIA- BOMCARD</v>
          </cell>
          <cell r="C141">
            <v>-306654.43</v>
          </cell>
          <cell r="D141" t="str">
            <v>CONCILIADA</v>
          </cell>
          <cell r="E141">
            <v>2</v>
          </cell>
          <cell r="F141">
            <v>48714.97</v>
          </cell>
          <cell r="G141">
            <v>-15.885950188295014</v>
          </cell>
          <cell r="H141" t="str">
            <v>Adriana Melo</v>
          </cell>
          <cell r="I141" t="str">
            <v>SECOT</v>
          </cell>
          <cell r="J141">
            <v>1</v>
          </cell>
          <cell r="K141" t="e">
            <v>#REF!</v>
          </cell>
          <cell r="M141">
            <v>48714.97</v>
          </cell>
          <cell r="O141">
            <v>48714.97</v>
          </cell>
        </row>
        <row r="142">
          <cell r="B142" t="str">
            <v>BPSN - BOMCARD - CONVERSÃO</v>
          </cell>
          <cell r="C142">
            <v>2337793.46</v>
          </cell>
          <cell r="D142" t="str">
            <v>ANALISADA</v>
          </cell>
          <cell r="E142">
            <v>0</v>
          </cell>
          <cell r="F142">
            <v>0</v>
          </cell>
          <cell r="G142">
            <v>0</v>
          </cell>
          <cell r="H142" t="str">
            <v>Alfredo</v>
          </cell>
          <cell r="I142" t="str">
            <v>SECOT</v>
          </cell>
          <cell r="J142">
            <v>1</v>
          </cell>
          <cell r="K142" t="e">
            <v>#REF!</v>
          </cell>
          <cell r="M142">
            <v>0</v>
          </cell>
          <cell r="O142">
            <v>0</v>
          </cell>
        </row>
        <row r="143">
          <cell r="B143" t="str">
            <v>BPBA- BOMCARD - CONVERSÃO</v>
          </cell>
          <cell r="C143">
            <v>187524.9</v>
          </cell>
          <cell r="D143" t="str">
            <v>ANALISADA</v>
          </cell>
          <cell r="E143">
            <v>0</v>
          </cell>
          <cell r="F143">
            <v>0</v>
          </cell>
          <cell r="G143">
            <v>0</v>
          </cell>
          <cell r="H143" t="str">
            <v>Adriana Melo</v>
          </cell>
          <cell r="I143" t="str">
            <v>SECOT</v>
          </cell>
          <cell r="J143">
            <v>1</v>
          </cell>
          <cell r="K143" t="e">
            <v>#REF!</v>
          </cell>
          <cell r="M143">
            <v>0</v>
          </cell>
          <cell r="O143">
            <v>0</v>
          </cell>
        </row>
        <row r="144">
          <cell r="B144" t="str">
            <v>BPSN - BENCARD</v>
          </cell>
          <cell r="C144">
            <v>-4851601.04</v>
          </cell>
          <cell r="D144" t="str">
            <v>CONCILIADA</v>
          </cell>
          <cell r="E144">
            <v>3</v>
          </cell>
          <cell r="F144">
            <v>1078031.78</v>
          </cell>
          <cell r="G144">
            <v>-22.220124266442156</v>
          </cell>
          <cell r="H144" t="str">
            <v>Alfredo</v>
          </cell>
          <cell r="I144" t="str">
            <v>SECOT</v>
          </cell>
          <cell r="J144">
            <v>1</v>
          </cell>
          <cell r="K144" t="e">
            <v>#REF!</v>
          </cell>
          <cell r="M144">
            <v>1078031.78</v>
          </cell>
          <cell r="O144">
            <v>1078031.78</v>
          </cell>
        </row>
        <row r="145">
          <cell r="B145" t="str">
            <v>BOMPREÇO BAHIA - BENCARD</v>
          </cell>
          <cell r="C145">
            <v>-3456904.24</v>
          </cell>
          <cell r="D145" t="str">
            <v>CONCILIADA</v>
          </cell>
          <cell r="E145">
            <v>4</v>
          </cell>
          <cell r="F145">
            <v>46983</v>
          </cell>
          <cell r="G145">
            <v>-1.3591062042262414</v>
          </cell>
          <cell r="H145" t="str">
            <v>Graça</v>
          </cell>
          <cell r="I145" t="str">
            <v>SECOT</v>
          </cell>
          <cell r="J145">
            <v>1</v>
          </cell>
          <cell r="K145" t="e">
            <v>#REF!</v>
          </cell>
          <cell r="M145">
            <v>46983</v>
          </cell>
          <cell r="O145">
            <v>46983</v>
          </cell>
        </row>
        <row r="146">
          <cell r="B146" t="str">
            <v>BPSN - BENCARD - CONVERSÃO</v>
          </cell>
          <cell r="C146">
            <v>5115790.16</v>
          </cell>
          <cell r="D146" t="str">
            <v>ANALISADA</v>
          </cell>
          <cell r="E146">
            <v>0</v>
          </cell>
          <cell r="F146">
            <v>0</v>
          </cell>
          <cell r="G146">
            <v>0</v>
          </cell>
          <cell r="H146" t="str">
            <v>Alfredo</v>
          </cell>
          <cell r="I146" t="str">
            <v>SECOT</v>
          </cell>
          <cell r="J146">
            <v>1</v>
          </cell>
          <cell r="K146" t="e">
            <v>#REF!</v>
          </cell>
          <cell r="M146">
            <v>0</v>
          </cell>
          <cell r="O146">
            <v>0</v>
          </cell>
        </row>
        <row r="147">
          <cell r="B147" t="str">
            <v>BPBA - BENCARD - CONVERSÃO</v>
          </cell>
          <cell r="C147">
            <v>3371903.44</v>
          </cell>
          <cell r="D147" t="str">
            <v>ANALISADA</v>
          </cell>
          <cell r="E147">
            <v>0</v>
          </cell>
          <cell r="F147">
            <v>0</v>
          </cell>
          <cell r="G147">
            <v>0</v>
          </cell>
          <cell r="H147" t="str">
            <v>Graça</v>
          </cell>
          <cell r="I147" t="str">
            <v>SECOT</v>
          </cell>
          <cell r="J147">
            <v>1</v>
          </cell>
          <cell r="K147" t="e">
            <v>#REF!</v>
          </cell>
          <cell r="M147">
            <v>0</v>
          </cell>
          <cell r="O147">
            <v>0</v>
          </cell>
        </row>
        <row r="148">
          <cell r="B148" t="str">
            <v>PONTOS BOMCLUBE - CONVERSÃO</v>
          </cell>
          <cell r="C148">
            <v>-808655.6</v>
          </cell>
          <cell r="D148" t="str">
            <v>ANALISADA</v>
          </cell>
          <cell r="E148">
            <v>0</v>
          </cell>
          <cell r="F148">
            <v>0</v>
          </cell>
          <cell r="G148">
            <v>0</v>
          </cell>
          <cell r="H148" t="str">
            <v>Fabiana</v>
          </cell>
          <cell r="I148" t="str">
            <v>SECOT</v>
          </cell>
          <cell r="J148">
            <v>1</v>
          </cell>
          <cell r="K148" t="e">
            <v>#REF!</v>
          </cell>
          <cell r="M148">
            <v>0</v>
          </cell>
          <cell r="O148">
            <v>0</v>
          </cell>
        </row>
        <row r="149">
          <cell r="B149" t="str">
            <v>BRASIL CIA DE SEGUROS GERAIS</v>
          </cell>
          <cell r="C149">
            <v>-141188.91</v>
          </cell>
          <cell r="D149" t="str">
            <v>ANALISADA</v>
          </cell>
          <cell r="G149">
            <v>0</v>
          </cell>
          <cell r="H149" t="str">
            <v>Gláucio/Adriana</v>
          </cell>
          <cell r="I149" t="str">
            <v>SECOT</v>
          </cell>
          <cell r="J149">
            <v>1</v>
          </cell>
          <cell r="K149" t="e">
            <v>#REF!</v>
          </cell>
          <cell r="O149">
            <v>0</v>
          </cell>
        </row>
        <row r="150">
          <cell r="B150" t="str">
            <v>BOMPREV</v>
          </cell>
          <cell r="C150">
            <v>-1730.14</v>
          </cell>
          <cell r="D150" t="str">
            <v>CONCILIADA</v>
          </cell>
          <cell r="E150">
            <v>1</v>
          </cell>
          <cell r="F150">
            <v>661.94</v>
          </cell>
          <cell r="G150">
            <v>-38.259331614782624</v>
          </cell>
          <cell r="H150" t="str">
            <v>Gláucio/Adriana</v>
          </cell>
          <cell r="I150" t="str">
            <v>SECOT</v>
          </cell>
          <cell r="J150">
            <v>1</v>
          </cell>
          <cell r="K150" t="e">
            <v>#REF!</v>
          </cell>
          <cell r="M150">
            <v>661.94</v>
          </cell>
          <cell r="O150">
            <v>661.94</v>
          </cell>
        </row>
        <row r="151">
          <cell r="B151" t="str">
            <v>SUL AMÉRICA SERV MED LTDA.</v>
          </cell>
          <cell r="C151">
            <v>-1172.75</v>
          </cell>
          <cell r="D151" t="str">
            <v>ANALISADA</v>
          </cell>
          <cell r="E151">
            <v>0</v>
          </cell>
          <cell r="F151">
            <v>0</v>
          </cell>
          <cell r="G151">
            <v>0</v>
          </cell>
          <cell r="H151" t="str">
            <v>Gláucio/Adriana</v>
          </cell>
          <cell r="I151" t="str">
            <v>SECOT</v>
          </cell>
          <cell r="J151">
            <v>1</v>
          </cell>
          <cell r="K151" t="e">
            <v>#REF!</v>
          </cell>
          <cell r="O151">
            <v>0</v>
          </cell>
        </row>
        <row r="152">
          <cell r="B152" t="str">
            <v>LOJISTAS - REGIONAL MACEIÓ-BENCARD</v>
          </cell>
          <cell r="C152">
            <v>-10416.06</v>
          </cell>
          <cell r="D152" t="str">
            <v>ANALISADA</v>
          </cell>
          <cell r="G152">
            <v>0</v>
          </cell>
          <cell r="H152" t="str">
            <v>Gláucio/Adriana</v>
          </cell>
          <cell r="I152" t="str">
            <v>SECOT</v>
          </cell>
          <cell r="J152">
            <v>1</v>
          </cell>
          <cell r="K152" t="e">
            <v>#REF!</v>
          </cell>
          <cell r="O152">
            <v>0</v>
          </cell>
        </row>
        <row r="153">
          <cell r="B153" t="str">
            <v>LOJISTAS - REGIONAL NATAL-BENCARD</v>
          </cell>
          <cell r="C153">
            <v>-3555.61</v>
          </cell>
          <cell r="D153" t="str">
            <v>ANALISADA</v>
          </cell>
          <cell r="G153">
            <v>0</v>
          </cell>
          <cell r="H153" t="str">
            <v>Gláucio/Adriana</v>
          </cell>
          <cell r="I153" t="str">
            <v>SECOT</v>
          </cell>
          <cell r="J153">
            <v>1</v>
          </cell>
          <cell r="K153" t="e">
            <v>#REF!</v>
          </cell>
          <cell r="O153">
            <v>0</v>
          </cell>
        </row>
        <row r="154">
          <cell r="B154" t="str">
            <v>LOJISTAS - REGIONAL PE-BENCARD</v>
          </cell>
          <cell r="C154">
            <v>-81288.740000000005</v>
          </cell>
          <cell r="D154" t="str">
            <v>ANALISADA</v>
          </cell>
          <cell r="G154">
            <v>0</v>
          </cell>
          <cell r="H154" t="str">
            <v>Gláucio/Adriana</v>
          </cell>
          <cell r="I154" t="str">
            <v>SECOT</v>
          </cell>
          <cell r="J154">
            <v>1</v>
          </cell>
          <cell r="K154" t="e">
            <v>#REF!</v>
          </cell>
          <cell r="O154">
            <v>0</v>
          </cell>
        </row>
        <row r="155">
          <cell r="B155" t="str">
            <v>LOJISTAS - REGIONAL SE-BENCARD</v>
          </cell>
          <cell r="C155">
            <v>-98033.279999999999</v>
          </cell>
          <cell r="D155" t="str">
            <v>ANALISADA</v>
          </cell>
          <cell r="G155">
            <v>0</v>
          </cell>
          <cell r="H155" t="str">
            <v>Gláucio/Adriana</v>
          </cell>
          <cell r="I155" t="str">
            <v>SECOT</v>
          </cell>
          <cell r="J155">
            <v>1</v>
          </cell>
          <cell r="K155" t="e">
            <v>#REF!</v>
          </cell>
          <cell r="O155">
            <v>0</v>
          </cell>
        </row>
        <row r="156">
          <cell r="B156" t="str">
            <v>LOJISTAS - REGIONAL PB-BENCARD</v>
          </cell>
          <cell r="C156">
            <v>-4875.97</v>
          </cell>
          <cell r="D156" t="str">
            <v>ANALISADA</v>
          </cell>
          <cell r="G156">
            <v>0</v>
          </cell>
          <cell r="H156" t="str">
            <v>Gláucio/Adriana</v>
          </cell>
          <cell r="I156" t="str">
            <v>SECOT</v>
          </cell>
          <cell r="J156">
            <v>1</v>
          </cell>
          <cell r="K156" t="e">
            <v>#REF!</v>
          </cell>
          <cell r="O156">
            <v>0</v>
          </cell>
        </row>
        <row r="157">
          <cell r="B157" t="str">
            <v>LOJISTAS-REGIONAL FORTALEZA-BENCARD</v>
          </cell>
          <cell r="C157">
            <v>-6765.93</v>
          </cell>
          <cell r="D157" t="str">
            <v>ANALISADA</v>
          </cell>
          <cell r="G157">
            <v>0</v>
          </cell>
          <cell r="H157" t="str">
            <v>Gláucio/Adriana</v>
          </cell>
          <cell r="I157" t="str">
            <v>SECOT</v>
          </cell>
          <cell r="J157">
            <v>1</v>
          </cell>
          <cell r="K157" t="e">
            <v>#REF!</v>
          </cell>
          <cell r="O157">
            <v>0</v>
          </cell>
        </row>
        <row r="158">
          <cell r="B158" t="str">
            <v>LOJISTAS - REGIONAL BAHIA-BENCARD</v>
          </cell>
          <cell r="C158">
            <v>-23108.240000000002</v>
          </cell>
          <cell r="D158" t="str">
            <v>ANALISADA</v>
          </cell>
          <cell r="G158">
            <v>0</v>
          </cell>
          <cell r="H158" t="str">
            <v>Gláucio/Adriana</v>
          </cell>
          <cell r="I158" t="str">
            <v>SECOT</v>
          </cell>
          <cell r="J158">
            <v>1</v>
          </cell>
          <cell r="K158" t="e">
            <v>#REF!</v>
          </cell>
          <cell r="O158">
            <v>0</v>
          </cell>
        </row>
        <row r="159">
          <cell r="B159" t="str">
            <v>LOJISTAS - REGIONAL MACEIÓ-HCARD</v>
          </cell>
          <cell r="C159">
            <v>-17731401.829999998</v>
          </cell>
          <cell r="D159" t="str">
            <v>ANALISADA</v>
          </cell>
          <cell r="G159">
            <v>0</v>
          </cell>
          <cell r="H159" t="str">
            <v>Gláucio/Adriana</v>
          </cell>
          <cell r="I159" t="str">
            <v>SECOT</v>
          </cell>
          <cell r="J159">
            <v>1</v>
          </cell>
          <cell r="K159" t="e">
            <v>#REF!</v>
          </cell>
          <cell r="O159">
            <v>0</v>
          </cell>
        </row>
        <row r="160">
          <cell r="B160" t="str">
            <v>LOJISTAS - REGIONAL NATAL-HCARD</v>
          </cell>
          <cell r="C160">
            <v>-16594622.039999999</v>
          </cell>
          <cell r="D160" t="str">
            <v>ANALISADA</v>
          </cell>
          <cell r="G160">
            <v>0</v>
          </cell>
          <cell r="H160" t="str">
            <v>Gláucio/Adriana</v>
          </cell>
          <cell r="I160" t="str">
            <v>SECOT</v>
          </cell>
          <cell r="J160">
            <v>1</v>
          </cell>
          <cell r="K160" t="e">
            <v>#REF!</v>
          </cell>
          <cell r="O160">
            <v>0</v>
          </cell>
        </row>
        <row r="161">
          <cell r="B161" t="str">
            <v>LOJISTAS - REGIONAL PE-HCARD</v>
          </cell>
          <cell r="C161">
            <v>-73939828.689999998</v>
          </cell>
          <cell r="D161" t="str">
            <v>ANALISADA</v>
          </cell>
          <cell r="G161">
            <v>0</v>
          </cell>
          <cell r="H161" t="str">
            <v>Gláucio/Adriana</v>
          </cell>
          <cell r="I161" t="str">
            <v>SECOT</v>
          </cell>
          <cell r="J161">
            <v>1</v>
          </cell>
          <cell r="K161" t="e">
            <v>#REF!</v>
          </cell>
          <cell r="O161">
            <v>0</v>
          </cell>
        </row>
        <row r="162">
          <cell r="B162" t="str">
            <v>LOJISTAS - REGIONAL SE-HCARD</v>
          </cell>
          <cell r="C162">
            <v>-12533026.98</v>
          </cell>
          <cell r="D162" t="str">
            <v>ANALISADA</v>
          </cell>
          <cell r="G162">
            <v>0</v>
          </cell>
          <cell r="H162" t="str">
            <v>Gláucio/Adriana</v>
          </cell>
          <cell r="I162" t="str">
            <v>SECOT</v>
          </cell>
          <cell r="J162">
            <v>1</v>
          </cell>
          <cell r="K162" t="e">
            <v>#REF!</v>
          </cell>
          <cell r="O162">
            <v>0</v>
          </cell>
        </row>
        <row r="163">
          <cell r="B163" t="str">
            <v>LOJISTAS - REGIONAL PB-HCARD</v>
          </cell>
          <cell r="C163">
            <v>-12714398.35</v>
          </cell>
          <cell r="D163" t="str">
            <v>ANALISADA</v>
          </cell>
          <cell r="G163">
            <v>0</v>
          </cell>
          <cell r="H163" t="str">
            <v>Gláucio/Adriana</v>
          </cell>
          <cell r="I163" t="str">
            <v>SECOT</v>
          </cell>
          <cell r="J163">
            <v>1</v>
          </cell>
          <cell r="K163" t="e">
            <v>#REF!</v>
          </cell>
          <cell r="O163">
            <v>0</v>
          </cell>
        </row>
        <row r="164">
          <cell r="B164" t="str">
            <v>LOJISTAS-REGIONAL FORTALEZA-HCARD</v>
          </cell>
          <cell r="C164">
            <v>-5984863.4900000002</v>
          </cell>
          <cell r="D164" t="str">
            <v>ANALISADA</v>
          </cell>
          <cell r="G164">
            <v>0</v>
          </cell>
          <cell r="H164" t="str">
            <v>Gláucio/Adriana</v>
          </cell>
          <cell r="I164" t="str">
            <v>SECOT</v>
          </cell>
          <cell r="J164">
            <v>1</v>
          </cell>
          <cell r="K164" t="e">
            <v>#REF!</v>
          </cell>
          <cell r="O164">
            <v>0</v>
          </cell>
        </row>
        <row r="165">
          <cell r="B165" t="str">
            <v>LOJISTAS - REGIONAL BAHIA-HCARD</v>
          </cell>
          <cell r="C165">
            <v>-19956737.57</v>
          </cell>
          <cell r="D165" t="str">
            <v>ANALISADA</v>
          </cell>
          <cell r="G165">
            <v>0</v>
          </cell>
          <cell r="H165" t="str">
            <v>Gláucio/Adriana</v>
          </cell>
          <cell r="I165" t="str">
            <v>SECOT</v>
          </cell>
          <cell r="J165">
            <v>1</v>
          </cell>
          <cell r="K165" t="e">
            <v>#REF!</v>
          </cell>
          <cell r="O165">
            <v>0</v>
          </cell>
        </row>
        <row r="166">
          <cell r="B166" t="str">
            <v>PREVER-HCARD</v>
          </cell>
          <cell r="C166">
            <v>-11916.19</v>
          </cell>
          <cell r="D166" t="str">
            <v>ANALISADA</v>
          </cell>
          <cell r="G166">
            <v>0</v>
          </cell>
          <cell r="H166" t="str">
            <v>Gláucio/Adriana</v>
          </cell>
          <cell r="I166" t="str">
            <v>SECOT</v>
          </cell>
          <cell r="J166">
            <v>1</v>
          </cell>
          <cell r="K166" t="e">
            <v>#REF!</v>
          </cell>
          <cell r="O166">
            <v>0</v>
          </cell>
        </row>
        <row r="167">
          <cell r="B167" t="str">
            <v>LOJISTA TRANSITÓRIO HIPERCARD</v>
          </cell>
          <cell r="C167">
            <v>-1120559.97</v>
          </cell>
          <cell r="D167" t="str">
            <v>ANALISADA</v>
          </cell>
          <cell r="G167">
            <v>0</v>
          </cell>
          <cell r="H167" t="str">
            <v>Gláucio/Adriana</v>
          </cell>
          <cell r="I167" t="str">
            <v>SECOT</v>
          </cell>
          <cell r="J167">
            <v>1</v>
          </cell>
          <cell r="K167" t="e">
            <v>#REF!</v>
          </cell>
          <cell r="O167">
            <v>0</v>
          </cell>
        </row>
        <row r="168">
          <cell r="B168" t="str">
            <v>LOJISTAS - REGIONAL MARANHÃO-HCARD</v>
          </cell>
          <cell r="C168">
            <v>-1845376.94</v>
          </cell>
          <cell r="D168" t="str">
            <v>ANALISADA</v>
          </cell>
          <cell r="G168">
            <v>0</v>
          </cell>
          <cell r="H168" t="str">
            <v>Gláucio/Adriana</v>
          </cell>
          <cell r="I168" t="str">
            <v>SECOT</v>
          </cell>
          <cell r="J168">
            <v>1</v>
          </cell>
          <cell r="K168" t="e">
            <v>#REF!</v>
          </cell>
          <cell r="O168">
            <v>0</v>
          </cell>
        </row>
        <row r="169">
          <cell r="B169" t="str">
            <v>LOJISTAS - REGIONAL MACEIÓ-EMPRES.</v>
          </cell>
          <cell r="C169">
            <v>-3320.91</v>
          </cell>
          <cell r="D169" t="str">
            <v>CONCILIADA</v>
          </cell>
          <cell r="E169">
            <v>1</v>
          </cell>
          <cell r="F169">
            <v>1528.26</v>
          </cell>
          <cell r="G169">
            <v>-46.01931398321544</v>
          </cell>
          <cell r="H169" t="str">
            <v>Gláucio/Adriana</v>
          </cell>
          <cell r="I169" t="str">
            <v>SECOT</v>
          </cell>
          <cell r="J169">
            <v>1</v>
          </cell>
          <cell r="K169" t="e">
            <v>#REF!</v>
          </cell>
          <cell r="M169">
            <v>1528.26</v>
          </cell>
          <cell r="O169">
            <v>1528.26</v>
          </cell>
        </row>
        <row r="170">
          <cell r="B170" t="str">
            <v>LOJISTAS - REGIONAL NATAL-EMPRES.</v>
          </cell>
          <cell r="C170">
            <v>-1045.99</v>
          </cell>
          <cell r="D170" t="str">
            <v>CONCILIADA</v>
          </cell>
          <cell r="E170">
            <v>1</v>
          </cell>
          <cell r="F170">
            <v>474.88</v>
          </cell>
          <cell r="G170">
            <v>-45.400051625732559</v>
          </cell>
          <cell r="H170" t="str">
            <v>Gláucio/Adriana</v>
          </cell>
          <cell r="I170" t="str">
            <v>SECOT</v>
          </cell>
          <cell r="J170">
            <v>1</v>
          </cell>
          <cell r="K170" t="e">
            <v>#REF!</v>
          </cell>
          <cell r="M170">
            <v>474.88</v>
          </cell>
          <cell r="O170">
            <v>474.88</v>
          </cell>
        </row>
        <row r="171">
          <cell r="B171" t="str">
            <v>LOJISTAS - REGIONAL PE-EMPRES.</v>
          </cell>
          <cell r="C171">
            <v>-38600.120000000003</v>
          </cell>
          <cell r="D171" t="str">
            <v>CONCILIADA</v>
          </cell>
          <cell r="E171">
            <v>1</v>
          </cell>
          <cell r="F171">
            <v>6805.09</v>
          </cell>
          <cell r="G171">
            <v>-17.62971203198332</v>
          </cell>
          <cell r="H171" t="str">
            <v>Gláucio/Adriana</v>
          </cell>
          <cell r="I171" t="str">
            <v>SECOT</v>
          </cell>
          <cell r="J171">
            <v>1</v>
          </cell>
          <cell r="K171" t="e">
            <v>#REF!</v>
          </cell>
          <cell r="M171">
            <v>6805.09</v>
          </cell>
          <cell r="O171">
            <v>6805.09</v>
          </cell>
        </row>
        <row r="172">
          <cell r="B172" t="str">
            <v>LOJISTAS - REGIONAL SE-EMPRES.</v>
          </cell>
          <cell r="C172">
            <v>-138.37</v>
          </cell>
          <cell r="D172" t="str">
            <v>CONCILIADA</v>
          </cell>
          <cell r="E172">
            <v>1</v>
          </cell>
          <cell r="F172">
            <v>138.37</v>
          </cell>
          <cell r="G172">
            <v>-100</v>
          </cell>
          <cell r="H172" t="str">
            <v>Gláucio/Adriana</v>
          </cell>
          <cell r="I172" t="str">
            <v>SECOT</v>
          </cell>
          <cell r="J172">
            <v>1</v>
          </cell>
          <cell r="K172" t="e">
            <v>#REF!</v>
          </cell>
          <cell r="M172">
            <v>138.37</v>
          </cell>
          <cell r="O172">
            <v>138.37</v>
          </cell>
        </row>
        <row r="173">
          <cell r="B173" t="str">
            <v>LOJISTAS - REGIONAL PB-EMPRES.</v>
          </cell>
          <cell r="C173">
            <v>-738.47</v>
          </cell>
          <cell r="D173" t="str">
            <v>CONCILIADA</v>
          </cell>
          <cell r="E173">
            <v>1</v>
          </cell>
          <cell r="F173">
            <v>738.47</v>
          </cell>
          <cell r="G173">
            <v>-100</v>
          </cell>
          <cell r="H173" t="str">
            <v>Gláucio/Adriana</v>
          </cell>
          <cell r="I173" t="str">
            <v>SECOT</v>
          </cell>
          <cell r="J173">
            <v>1</v>
          </cell>
          <cell r="K173" t="e">
            <v>#REF!</v>
          </cell>
          <cell r="M173">
            <v>738.47</v>
          </cell>
          <cell r="O173">
            <v>738.47</v>
          </cell>
        </row>
        <row r="174">
          <cell r="B174" t="str">
            <v>LOJISTAS-REGIONAL FORTALEZA-EMPRES.</v>
          </cell>
          <cell r="C174">
            <v>1086.33</v>
          </cell>
          <cell r="D174" t="str">
            <v>CONCILIADA</v>
          </cell>
          <cell r="E174">
            <v>1</v>
          </cell>
          <cell r="F174">
            <v>229.84</v>
          </cell>
          <cell r="G174">
            <v>21.157475168687235</v>
          </cell>
          <cell r="H174" t="str">
            <v>Gláucio/Adriana</v>
          </cell>
          <cell r="I174" t="str">
            <v>SECOT</v>
          </cell>
          <cell r="J174">
            <v>1</v>
          </cell>
          <cell r="K174" t="e">
            <v>#REF!</v>
          </cell>
          <cell r="M174">
            <v>229.84</v>
          </cell>
          <cell r="O174">
            <v>229.84</v>
          </cell>
        </row>
        <row r="175">
          <cell r="B175" t="str">
            <v>LOJISTAS - REGIONAL BAHIA-EMPRES.</v>
          </cell>
          <cell r="C175">
            <v>-245.01</v>
          </cell>
          <cell r="D175" t="str">
            <v>CONCILIADA</v>
          </cell>
          <cell r="E175">
            <v>1</v>
          </cell>
          <cell r="F175">
            <v>245.01</v>
          </cell>
          <cell r="G175">
            <v>-100</v>
          </cell>
          <cell r="H175" t="str">
            <v>Gláucio/Adriana</v>
          </cell>
          <cell r="I175" t="str">
            <v>SECOT</v>
          </cell>
          <cell r="J175">
            <v>1</v>
          </cell>
          <cell r="K175" t="e">
            <v>#REF!</v>
          </cell>
          <cell r="M175">
            <v>245.01</v>
          </cell>
          <cell r="O175">
            <v>245.01</v>
          </cell>
        </row>
        <row r="176">
          <cell r="B176" t="str">
            <v>LOJISTA TRANSITÓRIO CARTÃO EMPRESARIAL</v>
          </cell>
          <cell r="C176">
            <v>-18551.36</v>
          </cell>
          <cell r="D176" t="str">
            <v>CONCILIADA</v>
          </cell>
          <cell r="E176">
            <v>1</v>
          </cell>
          <cell r="F176">
            <v>18551.36</v>
          </cell>
          <cell r="G176">
            <v>-100</v>
          </cell>
          <cell r="H176" t="str">
            <v>Gláucio/Adriana</v>
          </cell>
          <cell r="I176" t="str">
            <v>SECOT</v>
          </cell>
          <cell r="J176">
            <v>1</v>
          </cell>
          <cell r="K176" t="e">
            <v>#REF!</v>
          </cell>
          <cell r="M176">
            <v>18551.36</v>
          </cell>
          <cell r="O176">
            <v>18551.36</v>
          </cell>
        </row>
        <row r="177">
          <cell r="B177" t="str">
            <v>LOJISTAS - REGIONAL MARANHÃO-EMPRES.</v>
          </cell>
          <cell r="C177">
            <v>-1086.2</v>
          </cell>
          <cell r="D177" t="str">
            <v>CONCILIADA</v>
          </cell>
          <cell r="E177">
            <v>1</v>
          </cell>
          <cell r="F177">
            <v>231.27</v>
          </cell>
          <cell r="G177">
            <v>-21.291658994660285</v>
          </cell>
          <cell r="H177" t="str">
            <v>Gláucio/Adriana</v>
          </cell>
          <cell r="I177" t="str">
            <v>SECOT</v>
          </cell>
          <cell r="J177">
            <v>1</v>
          </cell>
          <cell r="K177" t="e">
            <v>#REF!</v>
          </cell>
          <cell r="M177">
            <v>231.27</v>
          </cell>
          <cell r="O177">
            <v>231.27</v>
          </cell>
        </row>
        <row r="178">
          <cell r="B178" t="str">
            <v>ORDENADOS A PAGAR</v>
          </cell>
          <cell r="C178">
            <v>-179.33</v>
          </cell>
          <cell r="D178" t="str">
            <v>ANALISADA</v>
          </cell>
          <cell r="E178">
            <v>0</v>
          </cell>
          <cell r="F178">
            <v>0</v>
          </cell>
          <cell r="G178">
            <v>0</v>
          </cell>
          <cell r="H178" t="str">
            <v>Gláucio/Adriana</v>
          </cell>
          <cell r="I178" t="str">
            <v>SECOT</v>
          </cell>
          <cell r="J178">
            <v>1</v>
          </cell>
          <cell r="K178" t="e">
            <v>#REF!</v>
          </cell>
          <cell r="M178">
            <v>0</v>
          </cell>
          <cell r="O178">
            <v>0</v>
          </cell>
        </row>
        <row r="179">
          <cell r="B179" t="str">
            <v>SALÁRIO RETIDO A PAGAR</v>
          </cell>
          <cell r="C179">
            <v>938.11</v>
          </cell>
          <cell r="D179" t="str">
            <v>ANALISADA</v>
          </cell>
          <cell r="E179">
            <v>0</v>
          </cell>
          <cell r="F179">
            <v>0</v>
          </cell>
          <cell r="G179">
            <v>0</v>
          </cell>
          <cell r="H179" t="str">
            <v>Gláucio/Adriana</v>
          </cell>
          <cell r="I179" t="str">
            <v>SECOT</v>
          </cell>
          <cell r="J179">
            <v>1</v>
          </cell>
          <cell r="K179" t="e">
            <v>#REF!</v>
          </cell>
          <cell r="O179">
            <v>0</v>
          </cell>
        </row>
        <row r="180">
          <cell r="B180" t="str">
            <v>RESCISÕES A PAGAR</v>
          </cell>
          <cell r="C180">
            <v>-447.07</v>
          </cell>
          <cell r="D180" t="str">
            <v>ANALISADA</v>
          </cell>
          <cell r="E180">
            <v>0</v>
          </cell>
          <cell r="F180">
            <v>0</v>
          </cell>
          <cell r="G180">
            <v>0</v>
          </cell>
          <cell r="H180" t="str">
            <v>Gláucio/Adriana</v>
          </cell>
          <cell r="I180" t="str">
            <v>SECOT</v>
          </cell>
          <cell r="J180">
            <v>1</v>
          </cell>
          <cell r="K180" t="e">
            <v>#REF!</v>
          </cell>
          <cell r="O180">
            <v>0</v>
          </cell>
        </row>
        <row r="181">
          <cell r="B181" t="str">
            <v>ORDENADOS E OUTRAS REMUN RECONC</v>
          </cell>
          <cell r="C181">
            <v>-14541.11</v>
          </cell>
          <cell r="D181" t="str">
            <v>ANALISADA</v>
          </cell>
          <cell r="E181">
            <v>0</v>
          </cell>
          <cell r="F181">
            <v>0</v>
          </cell>
          <cell r="G181">
            <v>0</v>
          </cell>
          <cell r="H181" t="str">
            <v>Gláucio/Adriana</v>
          </cell>
          <cell r="I181" t="str">
            <v>SECOT</v>
          </cell>
          <cell r="J181">
            <v>1</v>
          </cell>
          <cell r="K181" t="e">
            <v>#REF!</v>
          </cell>
          <cell r="O181">
            <v>0</v>
          </cell>
        </row>
        <row r="182">
          <cell r="B182" t="str">
            <v>ALUGUÉIS A PAGAR - LEASING</v>
          </cell>
          <cell r="C182">
            <v>-115529.18</v>
          </cell>
          <cell r="D182" t="str">
            <v>ANALISADA</v>
          </cell>
          <cell r="E182">
            <v>0</v>
          </cell>
          <cell r="F182">
            <v>0</v>
          </cell>
          <cell r="G182">
            <v>0</v>
          </cell>
          <cell r="H182" t="str">
            <v>Gláucio/Adriana</v>
          </cell>
          <cell r="I182" t="str">
            <v>SECOT</v>
          </cell>
          <cell r="J182">
            <v>1</v>
          </cell>
          <cell r="K182" t="e">
            <v>#REF!</v>
          </cell>
          <cell r="O182">
            <v>0</v>
          </cell>
        </row>
        <row r="183">
          <cell r="B183" t="str">
            <v>ALUGUÉIS A PAGAR</v>
          </cell>
          <cell r="C183">
            <v>-354.68</v>
          </cell>
          <cell r="D183" t="str">
            <v>ANALISADA</v>
          </cell>
          <cell r="E183">
            <v>0</v>
          </cell>
          <cell r="F183">
            <v>0</v>
          </cell>
          <cell r="G183">
            <v>0</v>
          </cell>
          <cell r="H183" t="str">
            <v>Gláucio/Adriana</v>
          </cell>
          <cell r="I183" t="str">
            <v>SECOT</v>
          </cell>
          <cell r="J183">
            <v>1</v>
          </cell>
          <cell r="K183" t="e">
            <v>#REF!</v>
          </cell>
          <cell r="O183">
            <v>0</v>
          </cell>
        </row>
        <row r="184">
          <cell r="B184" t="str">
            <v>ÁGUA, LUZ, TELEFONE</v>
          </cell>
          <cell r="C184">
            <v>2683.63</v>
          </cell>
          <cell r="D184" t="str">
            <v>CONCILIADA</v>
          </cell>
          <cell r="E184">
            <v>1</v>
          </cell>
          <cell r="F184">
            <v>2683.63</v>
          </cell>
          <cell r="G184">
            <v>100</v>
          </cell>
          <cell r="H184" t="str">
            <v>Gláucio/Adriana</v>
          </cell>
          <cell r="I184" t="str">
            <v>SECOT</v>
          </cell>
          <cell r="J184">
            <v>1</v>
          </cell>
          <cell r="K184" t="e">
            <v>#REF!</v>
          </cell>
          <cell r="O184">
            <v>0</v>
          </cell>
        </row>
        <row r="185">
          <cell r="B185" t="str">
            <v>JUSTIÇA DO TRABALHO</v>
          </cell>
          <cell r="C185">
            <v>-211409.64</v>
          </cell>
          <cell r="D185" t="str">
            <v>ANALISADA</v>
          </cell>
          <cell r="E185">
            <v>0</v>
          </cell>
          <cell r="F185">
            <v>0</v>
          </cell>
          <cell r="G185">
            <v>0</v>
          </cell>
          <cell r="H185" t="str">
            <v>Gláucio/Adriana</v>
          </cell>
          <cell r="I185" t="str">
            <v>SECOT</v>
          </cell>
          <cell r="J185">
            <v>1</v>
          </cell>
          <cell r="K185" t="e">
            <v>#REF!</v>
          </cell>
          <cell r="O185">
            <v>0</v>
          </cell>
        </row>
        <row r="186">
          <cell r="B186" t="str">
            <v>GARANTHEC GARANTIA E SERVIÇOS S/C LTDA.</v>
          </cell>
          <cell r="C186">
            <v>59242.73</v>
          </cell>
          <cell r="D186" t="str">
            <v>ANALISADA</v>
          </cell>
          <cell r="G186">
            <v>0</v>
          </cell>
          <cell r="H186" t="str">
            <v>Gláucio/Adriana</v>
          </cell>
          <cell r="I186" t="str">
            <v>SECOT</v>
          </cell>
          <cell r="J186">
            <v>1</v>
          </cell>
          <cell r="K186" t="e">
            <v>#REF!</v>
          </cell>
          <cell r="O186">
            <v>0</v>
          </cell>
        </row>
        <row r="187">
          <cell r="B187" t="str">
            <v>OUTRAS CONTAS A PAGAR</v>
          </cell>
          <cell r="C187">
            <v>-370666.61</v>
          </cell>
          <cell r="D187" t="str">
            <v>CONCILIADA</v>
          </cell>
          <cell r="E187">
            <v>1</v>
          </cell>
          <cell r="F187">
            <v>2128.42</v>
          </cell>
          <cell r="G187">
            <v>-0.57421411656151067</v>
          </cell>
          <cell r="H187" t="str">
            <v>Gláucio/Adriana</v>
          </cell>
          <cell r="I187" t="str">
            <v>SECOT</v>
          </cell>
          <cell r="J187">
            <v>1</v>
          </cell>
          <cell r="K187" t="e">
            <v>#REF!</v>
          </cell>
          <cell r="M187">
            <v>2128.42</v>
          </cell>
          <cell r="O187">
            <v>2128.42</v>
          </cell>
        </row>
        <row r="188">
          <cell r="B188" t="str">
            <v>OUTRAS CONTAS A PAGAR RECONCILIAÇÃO</v>
          </cell>
          <cell r="C188">
            <v>-11505.21</v>
          </cell>
          <cell r="D188" t="str">
            <v>ANALISADA</v>
          </cell>
          <cell r="E188">
            <v>0</v>
          </cell>
          <cell r="F188">
            <v>0</v>
          </cell>
          <cell r="G188">
            <v>0</v>
          </cell>
          <cell r="H188" t="str">
            <v>Gláucio/Adriana</v>
          </cell>
          <cell r="I188" t="str">
            <v>SECOT</v>
          </cell>
          <cell r="J188">
            <v>1</v>
          </cell>
          <cell r="K188" t="e">
            <v>#REF!</v>
          </cell>
          <cell r="M188">
            <v>0</v>
          </cell>
          <cell r="O188">
            <v>0</v>
          </cell>
        </row>
        <row r="189">
          <cell r="B189" t="str">
            <v>CAPITALIZAÇÃO UNIBANCO A PAGAR</v>
          </cell>
          <cell r="C189">
            <v>90064.5</v>
          </cell>
          <cell r="D189" t="str">
            <v>CONCILIADA</v>
          </cell>
          <cell r="E189">
            <v>1</v>
          </cell>
          <cell r="F189">
            <v>29759.5</v>
          </cell>
          <cell r="G189">
            <v>33.042430702441031</v>
          </cell>
          <cell r="H189" t="str">
            <v>Gláucio/Adriana</v>
          </cell>
          <cell r="I189" t="str">
            <v>SECOT</v>
          </cell>
          <cell r="J189">
            <v>1</v>
          </cell>
          <cell r="K189" t="e">
            <v>#REF!</v>
          </cell>
          <cell r="M189">
            <v>29759.5</v>
          </cell>
          <cell r="O189">
            <v>29759.5</v>
          </cell>
        </row>
        <row r="190">
          <cell r="B190" t="str">
            <v>PROVISÃO P/ 13. SALÁRIO</v>
          </cell>
          <cell r="C190">
            <v>-258972.12</v>
          </cell>
          <cell r="D190" t="str">
            <v>CONCILIADA</v>
          </cell>
          <cell r="E190">
            <v>3</v>
          </cell>
          <cell r="F190">
            <v>6918.26</v>
          </cell>
          <cell r="G190">
            <v>-2.6714304227034171</v>
          </cell>
          <cell r="H190" t="str">
            <v>Gláucio/Adriana</v>
          </cell>
          <cell r="I190" t="str">
            <v>SECOT</v>
          </cell>
          <cell r="J190">
            <v>1</v>
          </cell>
          <cell r="K190" t="e">
            <v>#REF!</v>
          </cell>
          <cell r="M190">
            <v>6918.26</v>
          </cell>
          <cell r="O190">
            <v>6918.26</v>
          </cell>
        </row>
        <row r="191">
          <cell r="B191" t="str">
            <v>FGTS SOBRE 13 SALÁRIOS</v>
          </cell>
          <cell r="C191">
            <v>-8922.84</v>
          </cell>
          <cell r="D191" t="str">
            <v>CONCILIADA</v>
          </cell>
          <cell r="E191">
            <v>3</v>
          </cell>
          <cell r="F191">
            <v>8922.84</v>
          </cell>
          <cell r="G191">
            <v>-100</v>
          </cell>
          <cell r="H191" t="str">
            <v>Gláucio/Adriana</v>
          </cell>
          <cell r="I191" t="str">
            <v>SECOT</v>
          </cell>
          <cell r="J191">
            <v>1</v>
          </cell>
          <cell r="K191" t="e">
            <v>#REF!</v>
          </cell>
          <cell r="M191">
            <v>8922.84</v>
          </cell>
          <cell r="O191">
            <v>8922.84</v>
          </cell>
        </row>
        <row r="192">
          <cell r="B192" t="str">
            <v>INSS SOBRE 13 SALÁRIO</v>
          </cell>
          <cell r="C192">
            <v>-71778.52</v>
          </cell>
          <cell r="D192" t="str">
            <v>CONCILIADA</v>
          </cell>
          <cell r="E192">
            <v>3</v>
          </cell>
          <cell r="F192">
            <v>69.12</v>
          </cell>
          <cell r="G192">
            <v>-9.6296217865734765E-2</v>
          </cell>
          <cell r="H192" t="str">
            <v>Gláucio/Adriana</v>
          </cell>
          <cell r="I192" t="str">
            <v>SECOT</v>
          </cell>
          <cell r="J192">
            <v>1</v>
          </cell>
          <cell r="K192" t="e">
            <v>#REF!</v>
          </cell>
          <cell r="M192">
            <v>69.12</v>
          </cell>
          <cell r="O192">
            <v>69.12</v>
          </cell>
        </row>
        <row r="193">
          <cell r="B193" t="str">
            <v>PROVISÃO DE FERIAS</v>
          </cell>
          <cell r="C193">
            <v>-432856.62</v>
          </cell>
          <cell r="D193" t="str">
            <v>CONCILIADA</v>
          </cell>
          <cell r="E193">
            <v>2</v>
          </cell>
          <cell r="F193">
            <v>89299.99</v>
          </cell>
          <cell r="G193">
            <v>-20.630385645944379</v>
          </cell>
          <cell r="H193" t="str">
            <v>Gláucio/Adriana</v>
          </cell>
          <cell r="I193" t="str">
            <v>SECOT</v>
          </cell>
          <cell r="J193">
            <v>1</v>
          </cell>
          <cell r="K193" t="e">
            <v>#REF!</v>
          </cell>
          <cell r="M193">
            <v>89299.99</v>
          </cell>
          <cell r="O193">
            <v>89299.99</v>
          </cell>
        </row>
        <row r="194">
          <cell r="B194" t="str">
            <v>INSS SOBRE FÉRIAS</v>
          </cell>
          <cell r="C194">
            <v>-53046.02</v>
          </cell>
          <cell r="D194" t="str">
            <v>CONCILIADA</v>
          </cell>
          <cell r="E194">
            <v>2</v>
          </cell>
          <cell r="F194">
            <v>40942.559999999998</v>
          </cell>
          <cell r="G194">
            <v>-77.183094980547082</v>
          </cell>
          <cell r="H194" t="str">
            <v>Gláucio/Adriana</v>
          </cell>
          <cell r="I194" t="str">
            <v>SECOT</v>
          </cell>
          <cell r="J194">
            <v>1</v>
          </cell>
          <cell r="K194" t="e">
            <v>#REF!</v>
          </cell>
          <cell r="M194">
            <v>40942.559999999998</v>
          </cell>
          <cell r="O194">
            <v>40942.559999999998</v>
          </cell>
        </row>
        <row r="195">
          <cell r="B195" t="str">
            <v>FGTS SOBRE FÉRIAS</v>
          </cell>
          <cell r="C195">
            <v>-14273.76</v>
          </cell>
          <cell r="D195" t="str">
            <v>CONCILIADA</v>
          </cell>
          <cell r="E195">
            <v>2</v>
          </cell>
          <cell r="F195">
            <v>12773.33</v>
          </cell>
          <cell r="G195">
            <v>-89.488193720505322</v>
          </cell>
          <cell r="H195" t="str">
            <v>Gláucio/Adriana</v>
          </cell>
          <cell r="I195" t="str">
            <v>SECOT</v>
          </cell>
          <cell r="J195">
            <v>1</v>
          </cell>
          <cell r="K195" t="e">
            <v>#REF!</v>
          </cell>
          <cell r="M195">
            <v>12773.33</v>
          </cell>
          <cell r="O195">
            <v>12773.33</v>
          </cell>
        </row>
        <row r="196">
          <cell r="B196" t="str">
            <v>PROVISÃO PARA IOF</v>
          </cell>
          <cell r="C196">
            <v>-1048591.42</v>
          </cell>
          <cell r="D196" t="str">
            <v>ANALISADA</v>
          </cell>
          <cell r="E196">
            <v>0</v>
          </cell>
          <cell r="F196">
            <v>0</v>
          </cell>
          <cell r="G196">
            <v>0</v>
          </cell>
          <cell r="H196" t="str">
            <v>Gláucio/Adriana</v>
          </cell>
          <cell r="I196" t="str">
            <v>SECOT</v>
          </cell>
          <cell r="J196">
            <v>1</v>
          </cell>
          <cell r="K196" t="e">
            <v>#REF!</v>
          </cell>
          <cell r="O196">
            <v>0</v>
          </cell>
        </row>
        <row r="197">
          <cell r="B197" t="str">
            <v>PROVISÃO PARA CONTINGÊNCIAS TRABALHISTAS</v>
          </cell>
          <cell r="C197">
            <v>-167096.09</v>
          </cell>
          <cell r="D197" t="str">
            <v>ANALISADA</v>
          </cell>
          <cell r="E197">
            <v>0</v>
          </cell>
          <cell r="F197">
            <v>0</v>
          </cell>
          <cell r="G197">
            <v>0</v>
          </cell>
          <cell r="H197" t="str">
            <v>Gláucio/Adriana</v>
          </cell>
          <cell r="I197" t="str">
            <v>SECOT</v>
          </cell>
          <cell r="J197">
            <v>1</v>
          </cell>
          <cell r="K197" t="e">
            <v>#REF!</v>
          </cell>
          <cell r="O197">
            <v>0</v>
          </cell>
        </row>
        <row r="198">
          <cell r="B198" t="str">
            <v>PROVISÃO PARA CONTINGÊNCIAS CÍVEIS</v>
          </cell>
          <cell r="C198">
            <v>-961162</v>
          </cell>
          <cell r="D198" t="str">
            <v>ANALISADA</v>
          </cell>
          <cell r="E198">
            <v>0</v>
          </cell>
          <cell r="F198">
            <v>0</v>
          </cell>
          <cell r="G198">
            <v>0</v>
          </cell>
          <cell r="H198" t="str">
            <v>Gláucio/Adriana</v>
          </cell>
          <cell r="I198" t="str">
            <v>SECOT</v>
          </cell>
          <cell r="J198">
            <v>1</v>
          </cell>
          <cell r="K198" t="e">
            <v>#REF!</v>
          </cell>
          <cell r="O198">
            <v>0</v>
          </cell>
        </row>
        <row r="199">
          <cell r="B199" t="str">
            <v>PIS A RECOLHER - LEI 9.718/98</v>
          </cell>
          <cell r="C199">
            <v>-987372.52</v>
          </cell>
          <cell r="D199" t="str">
            <v>CONCILIADA</v>
          </cell>
          <cell r="E199">
            <v>1</v>
          </cell>
          <cell r="F199">
            <v>196611.08</v>
          </cell>
          <cell r="G199">
            <v>-19.9125533694213</v>
          </cell>
          <cell r="H199" t="str">
            <v>Gláucio/Adriana</v>
          </cell>
          <cell r="I199" t="str">
            <v>SECOT</v>
          </cell>
          <cell r="J199">
            <v>1</v>
          </cell>
          <cell r="K199" t="e">
            <v>#REF!</v>
          </cell>
          <cell r="M199">
            <v>196611.08</v>
          </cell>
          <cell r="O199">
            <v>196611.08</v>
          </cell>
        </row>
        <row r="200">
          <cell r="B200" t="str">
            <v>COFINS A RECOLHER - LEI 9.718/98</v>
          </cell>
          <cell r="C200">
            <v>-6854683.0700000003</v>
          </cell>
          <cell r="D200" t="str">
            <v>CONCILIADA</v>
          </cell>
          <cell r="E200">
            <v>1</v>
          </cell>
          <cell r="F200">
            <v>328238.53999999998</v>
          </cell>
          <cell r="G200">
            <v>-4.7885297780806075</v>
          </cell>
          <cell r="H200" t="str">
            <v>Gláucio/Adriana</v>
          </cell>
          <cell r="I200" t="str">
            <v>SECOT</v>
          </cell>
          <cell r="J200">
            <v>1</v>
          </cell>
          <cell r="K200" t="e">
            <v>#REF!</v>
          </cell>
          <cell r="M200">
            <v>328238.53999999998</v>
          </cell>
          <cell r="O200">
            <v>328238.53999999998</v>
          </cell>
        </row>
        <row r="201">
          <cell r="B201" t="str">
            <v>CAPITAL SOCIAL</v>
          </cell>
          <cell r="C201">
            <v>-22031106.510000002</v>
          </cell>
          <cell r="D201" t="str">
            <v>ANALISADA</v>
          </cell>
          <cell r="E201">
            <v>0</v>
          </cell>
          <cell r="F201">
            <v>0</v>
          </cell>
          <cell r="G201">
            <v>0</v>
          </cell>
          <cell r="H201" t="str">
            <v>Luciclei</v>
          </cell>
          <cell r="I201" t="str">
            <v>SECOT</v>
          </cell>
          <cell r="J201">
            <v>1</v>
          </cell>
          <cell r="K201" t="e">
            <v>#REF!</v>
          </cell>
          <cell r="O201">
            <v>0</v>
          </cell>
        </row>
        <row r="202">
          <cell r="B202" t="str">
            <v>OPÇÃO INCENTIVOS FISCAIS</v>
          </cell>
          <cell r="C202">
            <v>-1421614.8</v>
          </cell>
          <cell r="D202" t="str">
            <v>ANALISADA</v>
          </cell>
          <cell r="E202">
            <v>0</v>
          </cell>
          <cell r="F202">
            <v>0</v>
          </cell>
          <cell r="G202">
            <v>0</v>
          </cell>
          <cell r="H202" t="str">
            <v>Luciclei</v>
          </cell>
          <cell r="I202" t="str">
            <v>SECOT</v>
          </cell>
          <cell r="J202">
            <v>1</v>
          </cell>
          <cell r="K202" t="e">
            <v>#REF!</v>
          </cell>
          <cell r="O202">
            <v>0</v>
          </cell>
        </row>
        <row r="203">
          <cell r="B203" t="str">
            <v>DOAÇÕES E SUBVENÇÕES</v>
          </cell>
          <cell r="C203">
            <v>-208527</v>
          </cell>
          <cell r="D203" t="str">
            <v>ANALISADA</v>
          </cell>
          <cell r="E203">
            <v>0</v>
          </cell>
          <cell r="F203">
            <v>0</v>
          </cell>
          <cell r="G203">
            <v>0</v>
          </cell>
          <cell r="H203" t="str">
            <v>Luciclei</v>
          </cell>
          <cell r="I203" t="str">
            <v>SECOT</v>
          </cell>
          <cell r="J203">
            <v>1</v>
          </cell>
          <cell r="K203" t="e">
            <v>#REF!</v>
          </cell>
          <cell r="O203">
            <v>0</v>
          </cell>
        </row>
        <row r="206">
          <cell r="C206">
            <v>22020825.499999866</v>
          </cell>
          <cell r="L206">
            <v>0</v>
          </cell>
          <cell r="M206">
            <v>27053961</v>
          </cell>
          <cell r="N206">
            <v>488700.91</v>
          </cell>
          <cell r="O206">
            <v>27542661.909999996</v>
          </cell>
        </row>
        <row r="207">
          <cell r="J207">
            <v>194</v>
          </cell>
          <cell r="K207" t="e">
            <v>#REF!</v>
          </cell>
        </row>
        <row r="211">
          <cell r="K211" t="e">
            <v>#REF!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_I_P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M1- Mapa"/>
      <sheetName val="M1.1 - PRA"/>
      <sheetName val="M1.2 - Testes"/>
      <sheetName val="M1.3 - Despesas x Saldo"/>
      <sheetName val="M1.4 - Covenants"/>
      <sheetName val="S1"/>
      <sheetName val="S1_Resumo"/>
      <sheetName val="S1.1_Base"/>
      <sheetName val="S1.1_Tributário"/>
      <sheetName val="S1.2_Trabalhistas"/>
      <sheetName val="S1.3_Cível"/>
      <sheetName val="S1.4_Administrativas"/>
      <sheetName val="S2.1_Ativas"/>
    </sheetNames>
    <sheetDataSet>
      <sheetData sheetId="0" refreshError="1">
        <row r="2">
          <cell r="A2" t="str">
            <v>A4 - Balancete de Trabalho.xls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E2"/>
      <sheetName val="E2.1 - PRA"/>
    </sheetNames>
    <sheetDataSet>
      <sheetData sheetId="0">
        <row r="2">
          <cell r="A2" t="str">
            <v>A4 - Balancete de Trabalho.xls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1 - Caixa"/>
      <sheetName val="C1.1 - PRA"/>
      <sheetName val="Input"/>
    </sheetNames>
    <sheetDataSet>
      <sheetData sheetId="0" refreshError="1">
        <row r="2">
          <cell r="A2" t="str">
            <v>A4 - Balancete de Trabalho.xls</v>
          </cell>
        </row>
      </sheetData>
      <sheetData sheetId="1"/>
      <sheetData sheetId="2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2 - Bancos"/>
      <sheetName val="C2.1 - PRA"/>
      <sheetName val="C2.2 Caixa Geral Set_05"/>
      <sheetName val="C2.2.1 Caixa Geral Dez_04"/>
      <sheetName val="C2.3 Fundo Fixo"/>
      <sheetName val="ce"/>
    </sheetNames>
    <sheetDataSet>
      <sheetData sheetId="0" refreshError="1">
        <row r="2">
          <cell r="A2" t="str">
            <v>A4 - BPSN 2005.xls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.2-FLEXIBRAS"/>
      <sheetName val="A4_2_FLEXIBRAS"/>
      <sheetName val="Cupom Cambial"/>
      <sheetName val="Tickers"/>
      <sheetName val="INFO"/>
      <sheetName val="N"/>
      <sheetName val="assi"/>
      <sheetName val="ttel"/>
      <sheetName val="0 &lt; VCM &lt; 1.350"/>
      <sheetName val="A4_2-FLEXIBRAS"/>
      <sheetName val="Cupom_Cambial"/>
      <sheetName val="0_&lt;_VCM_&lt;_1_350"/>
      <sheetName val="ANALITICO_RIG"/>
      <sheetName val="Aging"/>
      <sheetName val="A4_2-FLEXIBRAS1"/>
      <sheetName val="Cupom_Cambial1"/>
      <sheetName val="0_&lt;_VCM_&lt;_1_3501"/>
      <sheetName val="Debtors Testing"/>
      <sheetName val="P&amp;L Assum"/>
    </sheetNames>
    <sheetDataSet>
      <sheetData sheetId="0" refreshError="1">
        <row r="5">
          <cell r="C5">
            <v>179195505.40999997</v>
          </cell>
          <cell r="D5">
            <v>99553058.561111093</v>
          </cell>
          <cell r="F5">
            <v>9667900.9755555745</v>
          </cell>
          <cell r="H5">
            <v>109220959.53666666</v>
          </cell>
          <cell r="J5">
            <v>96744137.743152589</v>
          </cell>
        </row>
        <row r="6">
          <cell r="C6">
            <v>151609738.50999999</v>
          </cell>
          <cell r="D6">
            <v>84227632.505555555</v>
          </cell>
          <cell r="F6">
            <v>-590325.51333332062</v>
          </cell>
          <cell r="H6">
            <v>83637306.99222222</v>
          </cell>
          <cell r="J6">
            <v>76068917.121576279</v>
          </cell>
        </row>
        <row r="7">
          <cell r="C7">
            <v>32422113.700000003</v>
          </cell>
          <cell r="D7">
            <v>18012285.388888892</v>
          </cell>
          <cell r="F7">
            <v>0</v>
          </cell>
          <cell r="H7">
            <v>18012285.388888892</v>
          </cell>
          <cell r="J7">
            <v>12819656.808272779</v>
          </cell>
        </row>
        <row r="8">
          <cell r="C8">
            <v>30911223.290000003</v>
          </cell>
          <cell r="D8">
            <v>17172901.827777781</v>
          </cell>
          <cell r="H8">
            <v>17172901.827777781</v>
          </cell>
          <cell r="J8">
            <v>11756911.643376188</v>
          </cell>
        </row>
        <row r="9">
          <cell r="C9">
            <v>0</v>
          </cell>
          <cell r="D9">
            <v>0</v>
          </cell>
          <cell r="H9">
            <v>0</v>
          </cell>
          <cell r="J9">
            <v>0</v>
          </cell>
        </row>
        <row r="10">
          <cell r="C10">
            <v>1510890.41</v>
          </cell>
          <cell r="D10">
            <v>839383.56111111108</v>
          </cell>
          <cell r="H10">
            <v>839383.56111111108</v>
          </cell>
          <cell r="J10">
            <v>1062745.1648965911</v>
          </cell>
        </row>
        <row r="11">
          <cell r="C11">
            <v>0</v>
          </cell>
          <cell r="D11">
            <v>0</v>
          </cell>
          <cell r="H11">
            <v>0</v>
          </cell>
          <cell r="J11">
            <v>0</v>
          </cell>
        </row>
        <row r="12">
          <cell r="C12">
            <v>27228666.59</v>
          </cell>
          <cell r="D12">
            <v>15127036.994444445</v>
          </cell>
          <cell r="F12">
            <v>0</v>
          </cell>
          <cell r="H12">
            <v>15127036.994444445</v>
          </cell>
          <cell r="J12">
            <v>5638657.8088317504</v>
          </cell>
        </row>
        <row r="13">
          <cell r="C13">
            <v>27228666.59</v>
          </cell>
          <cell r="D13">
            <v>15127036.994444445</v>
          </cell>
          <cell r="H13">
            <v>15127036.994444445</v>
          </cell>
          <cell r="J13">
            <v>5638657.8088317504</v>
          </cell>
        </row>
        <row r="14">
          <cell r="C14">
            <v>0</v>
          </cell>
          <cell r="D14">
            <v>0</v>
          </cell>
          <cell r="H14">
            <v>0</v>
          </cell>
          <cell r="J14">
            <v>0</v>
          </cell>
        </row>
        <row r="15">
          <cell r="C15">
            <v>0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</row>
        <row r="16">
          <cell r="C16">
            <v>0</v>
          </cell>
          <cell r="D16">
            <v>0</v>
          </cell>
          <cell r="H16">
            <v>0</v>
          </cell>
          <cell r="J16">
            <v>0</v>
          </cell>
          <cell r="K16" t="str">
            <v>A4.2.3 -</v>
          </cell>
        </row>
        <row r="17">
          <cell r="C17">
            <v>0</v>
          </cell>
          <cell r="D17">
            <v>0</v>
          </cell>
          <cell r="H17">
            <v>0</v>
          </cell>
          <cell r="J17">
            <v>0</v>
          </cell>
        </row>
        <row r="18">
          <cell r="C18">
            <v>0</v>
          </cell>
          <cell r="D18">
            <v>0</v>
          </cell>
          <cell r="H18">
            <v>0</v>
          </cell>
          <cell r="J18">
            <v>0</v>
          </cell>
        </row>
        <row r="19">
          <cell r="C19">
            <v>0</v>
          </cell>
          <cell r="D19">
            <v>0</v>
          </cell>
          <cell r="H19">
            <v>0</v>
          </cell>
          <cell r="J19">
            <v>0</v>
          </cell>
        </row>
        <row r="20">
          <cell r="C20">
            <v>65498616.779999986</v>
          </cell>
          <cell r="D20">
            <v>36388120.433333322</v>
          </cell>
          <cell r="F20">
            <v>10444963.526666678</v>
          </cell>
          <cell r="G20" t="str">
            <v>A4.2.9 paper profile</v>
          </cell>
          <cell r="H20">
            <v>46833083.960000001</v>
          </cell>
          <cell r="J20">
            <v>51808867.199999996</v>
          </cell>
        </row>
        <row r="21">
          <cell r="C21">
            <v>20216174.579999998</v>
          </cell>
          <cell r="D21">
            <v>11231208.1</v>
          </cell>
          <cell r="F21">
            <v>3107179.67</v>
          </cell>
          <cell r="H21">
            <v>14338387.77</v>
          </cell>
          <cell r="J21">
            <v>20981534.719999999</v>
          </cell>
          <cell r="K21" t="str">
            <v>A4.2.3 -</v>
          </cell>
        </row>
        <row r="22">
          <cell r="C22">
            <v>0</v>
          </cell>
          <cell r="D22">
            <v>0</v>
          </cell>
          <cell r="H22">
            <v>0</v>
          </cell>
          <cell r="J22">
            <v>0</v>
          </cell>
          <cell r="K22" t="str">
            <v>A4.2.3 -</v>
          </cell>
        </row>
        <row r="23">
          <cell r="C23">
            <v>35477963.759999983</v>
          </cell>
          <cell r="D23">
            <v>19709979.866666656</v>
          </cell>
          <cell r="F23">
            <v>5975394.0033333451</v>
          </cell>
          <cell r="H23">
            <v>25685373.870000001</v>
          </cell>
          <cell r="J23">
            <v>20382015.18</v>
          </cell>
          <cell r="K23" t="str">
            <v>A4.2.3 -</v>
          </cell>
        </row>
        <row r="24">
          <cell r="C24">
            <v>0</v>
          </cell>
          <cell r="D24">
            <v>0</v>
          </cell>
          <cell r="H24">
            <v>0</v>
          </cell>
          <cell r="J24">
            <v>0</v>
          </cell>
          <cell r="K24" t="str">
            <v>A4.2.3 -</v>
          </cell>
        </row>
        <row r="25">
          <cell r="C25">
            <v>1933578.6</v>
          </cell>
          <cell r="D25">
            <v>1074210.3333333333</v>
          </cell>
          <cell r="F25">
            <v>-84880.003333333298</v>
          </cell>
          <cell r="H25">
            <v>989330.33</v>
          </cell>
          <cell r="J25">
            <v>4992762.47</v>
          </cell>
        </row>
        <row r="26">
          <cell r="C26">
            <v>0</v>
          </cell>
          <cell r="D26">
            <v>0</v>
          </cell>
          <cell r="H26">
            <v>0</v>
          </cell>
          <cell r="J26">
            <v>0</v>
          </cell>
        </row>
        <row r="27">
          <cell r="C27">
            <v>7870899.8399999999</v>
          </cell>
          <cell r="D27">
            <v>4372722.1333333328</v>
          </cell>
          <cell r="F27">
            <v>1447269.8566666674</v>
          </cell>
          <cell r="H27">
            <v>5819991.9900000002</v>
          </cell>
          <cell r="J27">
            <v>5452554.8300000001</v>
          </cell>
        </row>
        <row r="28">
          <cell r="C28">
            <v>0</v>
          </cell>
          <cell r="D28">
            <v>0</v>
          </cell>
          <cell r="H28">
            <v>0</v>
          </cell>
          <cell r="J28">
            <v>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J29">
            <v>1084195.3</v>
          </cell>
        </row>
        <row r="30">
          <cell r="C30">
            <v>0</v>
          </cell>
          <cell r="D30">
            <v>0</v>
          </cell>
          <cell r="H30">
            <v>0</v>
          </cell>
          <cell r="J30">
            <v>0</v>
          </cell>
          <cell r="K30" t="str">
            <v>A4.2.3 -</v>
          </cell>
        </row>
        <row r="31">
          <cell r="C31">
            <v>0</v>
          </cell>
          <cell r="D31">
            <v>0</v>
          </cell>
          <cell r="H31">
            <v>0</v>
          </cell>
          <cell r="J31">
            <v>0</v>
          </cell>
        </row>
        <row r="32">
          <cell r="C32">
            <v>0</v>
          </cell>
          <cell r="D32">
            <v>0</v>
          </cell>
          <cell r="H32">
            <v>0</v>
          </cell>
          <cell r="J32">
            <v>610005.30000000005</v>
          </cell>
        </row>
        <row r="33">
          <cell r="C33">
            <v>0</v>
          </cell>
          <cell r="D33">
            <v>0</v>
          </cell>
          <cell r="H33">
            <v>0</v>
          </cell>
          <cell r="J33">
            <v>474190</v>
          </cell>
          <cell r="K33" t="str">
            <v>A4.2.3 -</v>
          </cell>
        </row>
        <row r="34">
          <cell r="C34">
            <v>0</v>
          </cell>
          <cell r="D34">
            <v>0</v>
          </cell>
          <cell r="H34">
            <v>0</v>
          </cell>
          <cell r="J34">
            <v>0</v>
          </cell>
        </row>
        <row r="35">
          <cell r="C35">
            <v>26460341.440000001</v>
          </cell>
          <cell r="D35">
            <v>14700189.688888889</v>
          </cell>
          <cell r="F35">
            <v>-11035289.039999999</v>
          </cell>
          <cell r="H35">
            <v>3664900.6488888911</v>
          </cell>
          <cell r="J35">
            <v>4717540.0044717649</v>
          </cell>
        </row>
        <row r="36">
          <cell r="C36">
            <v>15912928.720000001</v>
          </cell>
          <cell r="D36">
            <v>8840515.9555555563</v>
          </cell>
          <cell r="F36">
            <v>-7750623.54</v>
          </cell>
          <cell r="H36">
            <v>1089892.4155555563</v>
          </cell>
          <cell r="J36">
            <v>2967102.4203465628</v>
          </cell>
        </row>
        <row r="37">
          <cell r="C37">
            <v>0</v>
          </cell>
          <cell r="D37">
            <v>0</v>
          </cell>
          <cell r="H37">
            <v>0</v>
          </cell>
          <cell r="J37">
            <v>0</v>
          </cell>
        </row>
        <row r="38">
          <cell r="C38">
            <v>10409256.560000002</v>
          </cell>
          <cell r="D38">
            <v>5782920.3111111121</v>
          </cell>
          <cell r="F38">
            <v>-3284665.5</v>
          </cell>
          <cell r="H38">
            <v>2498254.8111111121</v>
          </cell>
          <cell r="J38">
            <v>1613709.4186696396</v>
          </cell>
        </row>
        <row r="39">
          <cell r="C39">
            <v>0</v>
          </cell>
          <cell r="D39">
            <v>0</v>
          </cell>
          <cell r="H39">
            <v>0</v>
          </cell>
          <cell r="J39">
            <v>0</v>
          </cell>
        </row>
        <row r="40">
          <cell r="C40">
            <v>1754680.5999999999</v>
          </cell>
          <cell r="D40">
            <v>974822.5555555555</v>
          </cell>
          <cell r="H40">
            <v>974822.5555555555</v>
          </cell>
          <cell r="J40">
            <v>136728.16545556177</v>
          </cell>
        </row>
        <row r="41">
          <cell r="C41">
            <v>-1616524.44</v>
          </cell>
          <cell r="D41">
            <v>-898069.1333333333</v>
          </cell>
          <cell r="H41">
            <v>-898069.1333333333</v>
          </cell>
          <cell r="J41">
            <v>0</v>
          </cell>
        </row>
        <row r="42">
          <cell r="C42">
            <v>0</v>
          </cell>
          <cell r="D42">
            <v>0</v>
          </cell>
          <cell r="H42">
            <v>0</v>
          </cell>
          <cell r="J42">
            <v>0</v>
          </cell>
        </row>
        <row r="43">
          <cell r="C43">
            <v>0</v>
          </cell>
          <cell r="D43">
            <v>0</v>
          </cell>
          <cell r="H43">
            <v>0</v>
          </cell>
          <cell r="J43">
            <v>0</v>
          </cell>
        </row>
        <row r="44">
          <cell r="C44">
            <v>0</v>
          </cell>
          <cell r="D44">
            <v>0</v>
          </cell>
          <cell r="H44">
            <v>0</v>
          </cell>
          <cell r="J44">
            <v>0</v>
          </cell>
        </row>
        <row r="45">
          <cell r="C45">
            <v>-12746164.840000004</v>
          </cell>
          <cell r="D45">
            <v>-7081202.6888888907</v>
          </cell>
          <cell r="F45">
            <v>5693715.2333333343</v>
          </cell>
          <cell r="H45">
            <v>-1387487.4555555582</v>
          </cell>
          <cell r="J45">
            <v>-5095542.3784236982</v>
          </cell>
        </row>
        <row r="46">
          <cell r="C46">
            <v>51439308.780000001</v>
          </cell>
          <cell r="D46">
            <v>28577393.766666666</v>
          </cell>
          <cell r="F46">
            <v>5687983.2333333343</v>
          </cell>
          <cell r="H46">
            <v>34265377</v>
          </cell>
          <cell r="J46">
            <v>32920375</v>
          </cell>
        </row>
        <row r="47">
          <cell r="C47">
            <v>51439308.780000001</v>
          </cell>
          <cell r="D47">
            <v>28577393.766666666</v>
          </cell>
          <cell r="F47">
            <v>5687983.2333333343</v>
          </cell>
          <cell r="G47" t="str">
            <v>A4.2.9 paper profile</v>
          </cell>
          <cell r="H47">
            <v>34265377</v>
          </cell>
          <cell r="J47">
            <v>32920375</v>
          </cell>
        </row>
        <row r="48">
          <cell r="C48">
            <v>0</v>
          </cell>
          <cell r="D48">
            <v>0</v>
          </cell>
          <cell r="H48">
            <v>0</v>
          </cell>
          <cell r="J48">
            <v>0</v>
          </cell>
        </row>
        <row r="49">
          <cell r="C49">
            <v>0</v>
          </cell>
          <cell r="D49">
            <v>0</v>
          </cell>
          <cell r="H49">
            <v>0</v>
          </cell>
          <cell r="J49">
            <v>0</v>
          </cell>
        </row>
        <row r="50">
          <cell r="C50">
            <v>0</v>
          </cell>
          <cell r="D50">
            <v>0</v>
          </cell>
          <cell r="H50">
            <v>0</v>
          </cell>
          <cell r="J50">
            <v>0</v>
          </cell>
        </row>
        <row r="51">
          <cell r="C51">
            <v>0</v>
          </cell>
          <cell r="D51">
            <v>0</v>
          </cell>
          <cell r="H51">
            <v>0</v>
          </cell>
          <cell r="J51">
            <v>0</v>
          </cell>
        </row>
        <row r="52">
          <cell r="C52">
            <v>0</v>
          </cell>
          <cell r="D52">
            <v>0</v>
          </cell>
          <cell r="H52">
            <v>0</v>
          </cell>
          <cell r="J52">
            <v>0</v>
          </cell>
        </row>
        <row r="53">
          <cell r="C53">
            <v>-64185473.620000005</v>
          </cell>
          <cell r="D53">
            <v>-35658596.455555558</v>
          </cell>
          <cell r="F53">
            <v>5732</v>
          </cell>
          <cell r="H53">
            <v>-35652864.455555558</v>
          </cell>
          <cell r="J53">
            <v>-38015917.378423698</v>
          </cell>
        </row>
        <row r="54">
          <cell r="C54">
            <v>-64185473.620000005</v>
          </cell>
          <cell r="D54">
            <v>-35658596.455555558</v>
          </cell>
          <cell r="F54">
            <v>5732</v>
          </cell>
          <cell r="H54">
            <v>-35652864.455555558</v>
          </cell>
          <cell r="J54">
            <v>-38015917.378423698</v>
          </cell>
        </row>
        <row r="55">
          <cell r="C55">
            <v>0</v>
          </cell>
          <cell r="D55">
            <v>0</v>
          </cell>
          <cell r="H55">
            <v>0</v>
          </cell>
          <cell r="J55">
            <v>0</v>
          </cell>
        </row>
        <row r="56">
          <cell r="C56">
            <v>-67621253.420000002</v>
          </cell>
          <cell r="D56">
            <v>-37567363.01111111</v>
          </cell>
          <cell r="F56">
            <v>5732</v>
          </cell>
          <cell r="H56">
            <v>-37561631.01111111</v>
          </cell>
          <cell r="J56">
            <v>-39936420.34097261</v>
          </cell>
        </row>
        <row r="57">
          <cell r="C57">
            <v>0</v>
          </cell>
          <cell r="D57">
            <v>0</v>
          </cell>
          <cell r="H57">
            <v>0</v>
          </cell>
          <cell r="J57">
            <v>0</v>
          </cell>
        </row>
        <row r="58">
          <cell r="C58">
            <v>3435779.8000000003</v>
          </cell>
          <cell r="D58">
            <v>1908766.5555555557</v>
          </cell>
          <cell r="H58">
            <v>1908766.5555555557</v>
          </cell>
          <cell r="J58">
            <v>1920502.9625489099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J59">
            <v>0</v>
          </cell>
        </row>
        <row r="60">
          <cell r="C60">
            <v>0</v>
          </cell>
          <cell r="D60">
            <v>0</v>
          </cell>
          <cell r="H60">
            <v>0</v>
          </cell>
          <cell r="J60">
            <v>0</v>
          </cell>
        </row>
        <row r="61">
          <cell r="C61">
            <v>0</v>
          </cell>
          <cell r="D61">
            <v>0</v>
          </cell>
          <cell r="H61">
            <v>0</v>
          </cell>
          <cell r="J61">
            <v>0</v>
          </cell>
        </row>
        <row r="62">
          <cell r="C62">
            <v>0</v>
          </cell>
          <cell r="D62">
            <v>0</v>
          </cell>
          <cell r="H62">
            <v>0</v>
          </cell>
          <cell r="J62">
            <v>0</v>
          </cell>
        </row>
        <row r="63">
          <cell r="C63">
            <v>0</v>
          </cell>
          <cell r="D63">
            <v>0</v>
          </cell>
          <cell r="H63">
            <v>0</v>
          </cell>
          <cell r="J63">
            <v>0</v>
          </cell>
          <cell r="K63" t="str">
            <v>A4.2.3 -</v>
          </cell>
        </row>
        <row r="64">
          <cell r="C64">
            <v>0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</row>
        <row r="65">
          <cell r="C65">
            <v>0</v>
          </cell>
          <cell r="D65">
            <v>0</v>
          </cell>
          <cell r="H65">
            <v>0</v>
          </cell>
          <cell r="J65">
            <v>0</v>
          </cell>
        </row>
        <row r="66">
          <cell r="C66">
            <v>0</v>
          </cell>
          <cell r="D66">
            <v>0</v>
          </cell>
          <cell r="H66">
            <v>0</v>
          </cell>
          <cell r="J66">
            <v>0</v>
          </cell>
        </row>
        <row r="67">
          <cell r="C67">
            <v>0</v>
          </cell>
          <cell r="D67">
            <v>0</v>
          </cell>
          <cell r="H67">
            <v>0</v>
          </cell>
          <cell r="J67">
            <v>0</v>
          </cell>
        </row>
        <row r="68">
          <cell r="C68">
            <v>0</v>
          </cell>
          <cell r="D68">
            <v>0</v>
          </cell>
          <cell r="H68">
            <v>0</v>
          </cell>
          <cell r="J68">
            <v>0</v>
          </cell>
        </row>
        <row r="69">
          <cell r="C69">
            <v>0</v>
          </cell>
          <cell r="D69">
            <v>0</v>
          </cell>
          <cell r="H69">
            <v>0</v>
          </cell>
          <cell r="J69">
            <v>0</v>
          </cell>
        </row>
        <row r="70">
          <cell r="C70">
            <v>0</v>
          </cell>
          <cell r="D70">
            <v>0</v>
          </cell>
          <cell r="H70">
            <v>0</v>
          </cell>
          <cell r="J70">
            <v>0</v>
          </cell>
        </row>
        <row r="71">
          <cell r="C71">
            <v>0</v>
          </cell>
          <cell r="D71">
            <v>0</v>
          </cell>
          <cell r="H71">
            <v>0</v>
          </cell>
          <cell r="J71">
            <v>0</v>
          </cell>
        </row>
        <row r="72">
          <cell r="C72">
            <v>39892029.670000002</v>
          </cell>
          <cell r="D72">
            <v>22162238.705555554</v>
          </cell>
          <cell r="F72">
            <v>3703750.2944444492</v>
          </cell>
          <cell r="G72" t="str">
            <v>K paper profile</v>
          </cell>
          <cell r="H72">
            <v>25865989</v>
          </cell>
          <cell r="J72">
            <v>24665612</v>
          </cell>
        </row>
        <row r="73">
          <cell r="C73">
            <v>86735295.909999996</v>
          </cell>
          <cell r="D73">
            <v>48186275.505555555</v>
          </cell>
          <cell r="F73">
            <v>5671518.4944444504</v>
          </cell>
          <cell r="H73">
            <v>53857794</v>
          </cell>
          <cell r="J73">
            <v>51193700</v>
          </cell>
        </row>
        <row r="74">
          <cell r="C74">
            <v>1384436.0999999999</v>
          </cell>
          <cell r="D74">
            <v>769131.16666666663</v>
          </cell>
          <cell r="F74">
            <v>7627.8333333333721</v>
          </cell>
          <cell r="H74">
            <v>776759</v>
          </cell>
          <cell r="J74">
            <v>776759</v>
          </cell>
        </row>
        <row r="75">
          <cell r="C75">
            <v>1259382.8400000001</v>
          </cell>
          <cell r="D75">
            <v>699657.13333333342</v>
          </cell>
          <cell r="F75">
            <v>130828.86666666658</v>
          </cell>
          <cell r="H75">
            <v>830486</v>
          </cell>
          <cell r="J75">
            <v>830486</v>
          </cell>
        </row>
        <row r="76">
          <cell r="C76">
            <v>81861320.86999999</v>
          </cell>
          <cell r="D76">
            <v>45478511.594444439</v>
          </cell>
          <cell r="F76">
            <v>5159563.4055555612</v>
          </cell>
          <cell r="H76">
            <v>50638075</v>
          </cell>
          <cell r="J76">
            <v>36527150</v>
          </cell>
        </row>
        <row r="77">
          <cell r="C77">
            <v>0</v>
          </cell>
          <cell r="D77">
            <v>0</v>
          </cell>
          <cell r="H77">
            <v>0</v>
          </cell>
          <cell r="J77">
            <v>0</v>
          </cell>
        </row>
        <row r="78">
          <cell r="C78">
            <v>961708.31</v>
          </cell>
          <cell r="D78">
            <v>534282.39444444445</v>
          </cell>
          <cell r="F78">
            <v>421375.60555555555</v>
          </cell>
          <cell r="H78">
            <v>955658</v>
          </cell>
          <cell r="J78">
            <v>927906</v>
          </cell>
        </row>
        <row r="79">
          <cell r="C79">
            <v>1268447.79</v>
          </cell>
          <cell r="D79">
            <v>704693.21666666667</v>
          </cell>
          <cell r="F79">
            <v>-47877.216666666674</v>
          </cell>
          <cell r="H79">
            <v>656816</v>
          </cell>
          <cell r="J79">
            <v>0</v>
          </cell>
        </row>
        <row r="80">
          <cell r="C80">
            <v>0</v>
          </cell>
          <cell r="D80">
            <v>0</v>
          </cell>
          <cell r="H80">
            <v>0</v>
          </cell>
          <cell r="J80">
            <v>12131399</v>
          </cell>
        </row>
        <row r="81">
          <cell r="C81">
            <v>46843266.239999995</v>
          </cell>
          <cell r="D81">
            <v>26024036.799999997</v>
          </cell>
          <cell r="F81">
            <v>1967768.2000000011</v>
          </cell>
          <cell r="H81">
            <v>27991805</v>
          </cell>
          <cell r="J81">
            <v>26528088</v>
          </cell>
        </row>
        <row r="82">
          <cell r="C82">
            <v>399017.01</v>
          </cell>
          <cell r="D82">
            <v>221676.11666666667</v>
          </cell>
          <cell r="F82">
            <v>-26823.116666666669</v>
          </cell>
          <cell r="H82">
            <v>194853</v>
          </cell>
          <cell r="J82">
            <v>194853</v>
          </cell>
        </row>
        <row r="83">
          <cell r="C83">
            <v>45761530.869999997</v>
          </cell>
          <cell r="D83">
            <v>25423072.705555554</v>
          </cell>
          <cell r="F83">
            <v>1823193.2944444455</v>
          </cell>
          <cell r="H83">
            <v>27246266</v>
          </cell>
          <cell r="J83">
            <v>25822033</v>
          </cell>
        </row>
        <row r="84">
          <cell r="C84">
            <v>0</v>
          </cell>
          <cell r="D84">
            <v>0</v>
          </cell>
          <cell r="H84">
            <v>0</v>
          </cell>
          <cell r="J84">
            <v>0</v>
          </cell>
        </row>
        <row r="85">
          <cell r="C85">
            <v>682718.36</v>
          </cell>
          <cell r="D85">
            <v>379287.97777777776</v>
          </cell>
          <cell r="F85">
            <v>171398.02222222224</v>
          </cell>
          <cell r="H85">
            <v>550686</v>
          </cell>
          <cell r="J85">
            <v>511202</v>
          </cell>
        </row>
        <row r="86">
          <cell r="C86">
            <v>0</v>
          </cell>
          <cell r="D86">
            <v>0</v>
          </cell>
          <cell r="H86">
            <v>0</v>
          </cell>
          <cell r="J86">
            <v>0</v>
          </cell>
        </row>
        <row r="87">
          <cell r="C87">
            <v>0</v>
          </cell>
          <cell r="D87">
            <v>0</v>
          </cell>
          <cell r="H87">
            <v>0</v>
          </cell>
          <cell r="J87">
            <v>0</v>
          </cell>
        </row>
        <row r="88">
          <cell r="C88">
            <v>439902.07</v>
          </cell>
          <cell r="D88">
            <v>244390.0388888889</v>
          </cell>
          <cell r="F88">
            <v>860760.9611111111</v>
          </cell>
          <cell r="H88">
            <v>1105151</v>
          </cell>
          <cell r="J88">
            <v>1105151</v>
          </cell>
        </row>
        <row r="89">
          <cell r="C89">
            <v>439902.07</v>
          </cell>
          <cell r="D89">
            <v>244390.0388888889</v>
          </cell>
          <cell r="F89">
            <v>1111852.9611111111</v>
          </cell>
          <cell r="H89">
            <v>1356243</v>
          </cell>
          <cell r="J89">
            <v>1356243</v>
          </cell>
        </row>
        <row r="90">
          <cell r="C90">
            <v>0</v>
          </cell>
          <cell r="D90">
            <v>0</v>
          </cell>
          <cell r="F90">
            <v>251092</v>
          </cell>
          <cell r="H90">
            <v>251092</v>
          </cell>
          <cell r="J90">
            <v>251092</v>
          </cell>
        </row>
        <row r="91">
          <cell r="C91">
            <v>439902.07</v>
          </cell>
          <cell r="D91">
            <v>244390.0388888889</v>
          </cell>
          <cell r="F91">
            <v>860760.9611111111</v>
          </cell>
          <cell r="H91">
            <v>1105151</v>
          </cell>
          <cell r="J91">
            <v>1105151</v>
          </cell>
        </row>
        <row r="92">
          <cell r="C92">
            <v>0</v>
          </cell>
          <cell r="D92">
            <v>0</v>
          </cell>
          <cell r="F92">
            <v>251092</v>
          </cell>
          <cell r="H92">
            <v>251092</v>
          </cell>
          <cell r="J92">
            <v>251092</v>
          </cell>
        </row>
        <row r="93">
          <cell r="C93">
            <v>0</v>
          </cell>
          <cell r="D93">
            <v>0</v>
          </cell>
          <cell r="F93">
            <v>251092</v>
          </cell>
          <cell r="H93">
            <v>251092</v>
          </cell>
          <cell r="J93">
            <v>251092</v>
          </cell>
        </row>
        <row r="94">
          <cell r="C94">
            <v>0</v>
          </cell>
          <cell r="D94">
            <v>0</v>
          </cell>
          <cell r="H94">
            <v>0</v>
          </cell>
          <cell r="J94">
            <v>0</v>
          </cell>
        </row>
        <row r="96">
          <cell r="C96">
            <v>179195505.41000003</v>
          </cell>
          <cell r="D96">
            <v>99553058.561111122</v>
          </cell>
          <cell r="F96">
            <v>9667901.027777778</v>
          </cell>
          <cell r="H96">
            <v>109220959.5888889</v>
          </cell>
          <cell r="J96">
            <v>96744137.713074341</v>
          </cell>
        </row>
        <row r="97">
          <cell r="C97">
            <v>60247222.960000001</v>
          </cell>
          <cell r="D97">
            <v>33470679.422222223</v>
          </cell>
          <cell r="F97">
            <v>-9648987.5888888892</v>
          </cell>
          <cell r="H97">
            <v>23821691.833333336</v>
          </cell>
          <cell r="J97">
            <v>18547917.173510339</v>
          </cell>
        </row>
        <row r="98">
          <cell r="C98">
            <v>0</v>
          </cell>
          <cell r="D98">
            <v>0</v>
          </cell>
          <cell r="F98">
            <v>0</v>
          </cell>
          <cell r="H98">
            <v>0</v>
          </cell>
          <cell r="J98">
            <v>0</v>
          </cell>
        </row>
        <row r="99">
          <cell r="C99">
            <v>0</v>
          </cell>
          <cell r="D99">
            <v>0</v>
          </cell>
          <cell r="F99">
            <v>1024500</v>
          </cell>
          <cell r="H99">
            <v>1024500</v>
          </cell>
          <cell r="J99">
            <v>0</v>
          </cell>
        </row>
        <row r="100">
          <cell r="C100">
            <v>15727287.189999999</v>
          </cell>
          <cell r="D100">
            <v>8737381.7722222209</v>
          </cell>
          <cell r="F100">
            <v>-474060.08</v>
          </cell>
          <cell r="H100">
            <v>8263321.6922222208</v>
          </cell>
          <cell r="J100">
            <v>6666164.3991056457</v>
          </cell>
          <cell r="K100" t="str">
            <v>A4.2.3 -</v>
          </cell>
        </row>
        <row r="101">
          <cell r="C101">
            <v>21730435.27</v>
          </cell>
          <cell r="D101">
            <v>12072464.038888888</v>
          </cell>
          <cell r="F101">
            <v>356069.45111111179</v>
          </cell>
          <cell r="H101">
            <v>12428533.49</v>
          </cell>
          <cell r="J101">
            <v>9623964.6899999995</v>
          </cell>
        </row>
        <row r="102">
          <cell r="C102">
            <v>21730435.27</v>
          </cell>
          <cell r="D102">
            <v>12072464.038888888</v>
          </cell>
          <cell r="F102">
            <v>356069.45111111179</v>
          </cell>
          <cell r="H102">
            <v>12428533.49</v>
          </cell>
          <cell r="J102">
            <v>9623964.6899999995</v>
          </cell>
        </row>
        <row r="103">
          <cell r="C103">
            <v>0</v>
          </cell>
          <cell r="D103">
            <v>0</v>
          </cell>
          <cell r="H103">
            <v>0</v>
          </cell>
          <cell r="J103">
            <v>0</v>
          </cell>
        </row>
        <row r="104">
          <cell r="C104">
            <v>0</v>
          </cell>
          <cell r="D104">
            <v>0</v>
          </cell>
          <cell r="H104">
            <v>0</v>
          </cell>
          <cell r="J104">
            <v>0</v>
          </cell>
        </row>
        <row r="105">
          <cell r="C105">
            <v>0</v>
          </cell>
          <cell r="D105">
            <v>0</v>
          </cell>
          <cell r="F105">
            <v>0</v>
          </cell>
          <cell r="H105">
            <v>0</v>
          </cell>
          <cell r="J105">
            <v>0</v>
          </cell>
        </row>
        <row r="106">
          <cell r="C106">
            <v>0</v>
          </cell>
          <cell r="D106">
            <v>0</v>
          </cell>
          <cell r="H106">
            <v>0</v>
          </cell>
          <cell r="J106">
            <v>0</v>
          </cell>
        </row>
        <row r="107">
          <cell r="C107">
            <v>0</v>
          </cell>
          <cell r="D107">
            <v>0</v>
          </cell>
          <cell r="H107">
            <v>0</v>
          </cell>
          <cell r="J107">
            <v>0</v>
          </cell>
          <cell r="K107" t="str">
            <v>A4.2.3 -</v>
          </cell>
        </row>
        <row r="108">
          <cell r="C108">
            <v>0</v>
          </cell>
          <cell r="D108">
            <v>0</v>
          </cell>
          <cell r="H108">
            <v>0</v>
          </cell>
          <cell r="J108">
            <v>0</v>
          </cell>
        </row>
        <row r="109">
          <cell r="C109">
            <v>0</v>
          </cell>
          <cell r="D109">
            <v>0</v>
          </cell>
          <cell r="H109">
            <v>0</v>
          </cell>
          <cell r="J109">
            <v>0</v>
          </cell>
        </row>
        <row r="110">
          <cell r="C110">
            <v>22789500.5</v>
          </cell>
          <cell r="D110">
            <v>12660833.61111111</v>
          </cell>
          <cell r="F110">
            <v>-10555496.960000001</v>
          </cell>
          <cell r="H110">
            <v>2105336.6511111092</v>
          </cell>
          <cell r="J110">
            <v>2257788.0844046953</v>
          </cell>
        </row>
        <row r="111">
          <cell r="C111">
            <v>0</v>
          </cell>
          <cell r="D111">
            <v>0</v>
          </cell>
          <cell r="H111">
            <v>0</v>
          </cell>
          <cell r="J111">
            <v>0</v>
          </cell>
        </row>
        <row r="112">
          <cell r="C112">
            <v>17505912.510000002</v>
          </cell>
          <cell r="D112">
            <v>9725506.9500000011</v>
          </cell>
          <cell r="F112">
            <v>-7837132.96</v>
          </cell>
          <cell r="H112">
            <v>1888373.9900000012</v>
          </cell>
          <cell r="J112">
            <v>880193.39854667417</v>
          </cell>
          <cell r="K112" t="str">
            <v>A4.2.3 -</v>
          </cell>
        </row>
        <row r="113">
          <cell r="C113">
            <v>-45416.229999999996</v>
          </cell>
          <cell r="D113">
            <v>-25231.238888888885</v>
          </cell>
          <cell r="F113">
            <v>25231</v>
          </cell>
          <cell r="H113">
            <v>-0.2388888888854126</v>
          </cell>
          <cell r="J113">
            <v>1143647</v>
          </cell>
          <cell r="K113" t="str">
            <v>A4.2.3 -</v>
          </cell>
        </row>
        <row r="114">
          <cell r="C114">
            <v>4938471.8099999996</v>
          </cell>
          <cell r="D114">
            <v>2743595.4499999997</v>
          </cell>
          <cell r="F114">
            <v>-2743595</v>
          </cell>
          <cell r="H114">
            <v>0.44999999972060323</v>
          </cell>
          <cell r="J114">
            <v>0</v>
          </cell>
        </row>
        <row r="115">
          <cell r="C115">
            <v>390532.41</v>
          </cell>
          <cell r="D115">
            <v>216962.44999999998</v>
          </cell>
          <cell r="H115">
            <v>216962.44999999998</v>
          </cell>
          <cell r="J115">
            <v>233947.68585802123</v>
          </cell>
          <cell r="K115" t="str">
            <v>A4.2.3 -</v>
          </cell>
        </row>
        <row r="116">
          <cell r="C116">
            <v>0</v>
          </cell>
          <cell r="D116">
            <v>0</v>
          </cell>
          <cell r="H116">
            <v>0</v>
          </cell>
          <cell r="J116">
            <v>0</v>
          </cell>
        </row>
        <row r="117">
          <cell r="C117">
            <v>11959230.18</v>
          </cell>
          <cell r="D117">
            <v>6644016.7666666666</v>
          </cell>
          <cell r="F117">
            <v>-1024500</v>
          </cell>
          <cell r="H117">
            <v>5619516.7666666666</v>
          </cell>
          <cell r="J117">
            <v>4828750.49</v>
          </cell>
        </row>
        <row r="118">
          <cell r="C118">
            <v>11959230.18</v>
          </cell>
          <cell r="D118">
            <v>6644016.7666666666</v>
          </cell>
          <cell r="F118">
            <v>-1024500</v>
          </cell>
          <cell r="H118">
            <v>5619516.7666666666</v>
          </cell>
          <cell r="J118">
            <v>4828750.49</v>
          </cell>
        </row>
        <row r="119">
          <cell r="C119">
            <v>0</v>
          </cell>
          <cell r="D119">
            <v>0</v>
          </cell>
          <cell r="F119">
            <v>0</v>
          </cell>
          <cell r="H119">
            <v>0</v>
          </cell>
          <cell r="J119">
            <v>0</v>
          </cell>
        </row>
        <row r="120">
          <cell r="C120">
            <v>0</v>
          </cell>
          <cell r="D120">
            <v>0</v>
          </cell>
          <cell r="H120">
            <v>0</v>
          </cell>
          <cell r="J120">
            <v>0</v>
          </cell>
        </row>
        <row r="121">
          <cell r="C121">
            <v>0</v>
          </cell>
          <cell r="D121">
            <v>0</v>
          </cell>
          <cell r="H121">
            <v>0</v>
          </cell>
          <cell r="J121">
            <v>0</v>
          </cell>
        </row>
        <row r="122">
          <cell r="C122">
            <v>0</v>
          </cell>
          <cell r="D122">
            <v>0</v>
          </cell>
          <cell r="H122">
            <v>0</v>
          </cell>
          <cell r="J122">
            <v>0</v>
          </cell>
        </row>
        <row r="123">
          <cell r="C123">
            <v>0</v>
          </cell>
          <cell r="D123">
            <v>0</v>
          </cell>
          <cell r="H123">
            <v>0</v>
          </cell>
          <cell r="J123">
            <v>0</v>
          </cell>
        </row>
        <row r="124">
          <cell r="C124">
            <v>0</v>
          </cell>
          <cell r="D124">
            <v>0</v>
          </cell>
          <cell r="H124">
            <v>0</v>
          </cell>
          <cell r="J124">
            <v>0</v>
          </cell>
        </row>
        <row r="125">
          <cell r="C125">
            <v>0</v>
          </cell>
          <cell r="D125">
            <v>0</v>
          </cell>
          <cell r="H125">
            <v>0</v>
          </cell>
          <cell r="J125">
            <v>0</v>
          </cell>
        </row>
        <row r="126">
          <cell r="C126">
            <v>0</v>
          </cell>
          <cell r="D126">
            <v>0</v>
          </cell>
          <cell r="F126">
            <v>0</v>
          </cell>
          <cell r="H126">
            <v>0</v>
          </cell>
          <cell r="J126">
            <v>0</v>
          </cell>
        </row>
        <row r="127">
          <cell r="C127">
            <v>0</v>
          </cell>
          <cell r="D127">
            <v>0</v>
          </cell>
          <cell r="H127">
            <v>0</v>
          </cell>
          <cell r="J127">
            <v>0</v>
          </cell>
        </row>
        <row r="128">
          <cell r="C128">
            <v>0</v>
          </cell>
          <cell r="D128">
            <v>0</v>
          </cell>
          <cell r="H128">
            <v>0</v>
          </cell>
          <cell r="J128">
            <v>0</v>
          </cell>
        </row>
        <row r="129">
          <cell r="C129">
            <v>0</v>
          </cell>
          <cell r="D129">
            <v>0</v>
          </cell>
          <cell r="H129">
            <v>0</v>
          </cell>
          <cell r="J129">
            <v>0</v>
          </cell>
        </row>
        <row r="130">
          <cell r="C130">
            <v>0</v>
          </cell>
          <cell r="D130">
            <v>0</v>
          </cell>
          <cell r="H130">
            <v>0</v>
          </cell>
          <cell r="J130">
            <v>0</v>
          </cell>
          <cell r="K130" t="str">
            <v>A4.2.3 -</v>
          </cell>
        </row>
        <row r="131">
          <cell r="C131">
            <v>0</v>
          </cell>
          <cell r="D131">
            <v>0</v>
          </cell>
          <cell r="H131">
            <v>0</v>
          </cell>
          <cell r="J131">
            <v>0</v>
          </cell>
        </row>
        <row r="132">
          <cell r="C132">
            <v>0</v>
          </cell>
          <cell r="D132">
            <v>0</v>
          </cell>
          <cell r="H132">
            <v>0</v>
          </cell>
          <cell r="J132">
            <v>0</v>
          </cell>
          <cell r="K132" t="str">
            <v>A4.2.3 -</v>
          </cell>
        </row>
        <row r="133">
          <cell r="C133">
            <v>0</v>
          </cell>
          <cell r="D133">
            <v>0</v>
          </cell>
          <cell r="F133">
            <v>0</v>
          </cell>
          <cell r="H133">
            <v>0</v>
          </cell>
          <cell r="J133">
            <v>0</v>
          </cell>
        </row>
        <row r="134">
          <cell r="C134">
            <v>106989052.27000001</v>
          </cell>
          <cell r="D134">
            <v>59438362.37222223</v>
          </cell>
          <cell r="F134">
            <v>20341388.616666667</v>
          </cell>
          <cell r="H134">
            <v>79779750.98888889</v>
          </cell>
          <cell r="J134">
            <v>73367470.049564004</v>
          </cell>
        </row>
        <row r="135">
          <cell r="C135">
            <v>81548197.890000015</v>
          </cell>
          <cell r="D135">
            <v>45304554.38333334</v>
          </cell>
          <cell r="F135">
            <v>28062915.616666667</v>
          </cell>
          <cell r="H135">
            <v>73367470</v>
          </cell>
          <cell r="J135">
            <v>77496083.030000001</v>
          </cell>
        </row>
        <row r="136">
          <cell r="C136">
            <v>2923394</v>
          </cell>
          <cell r="D136">
            <v>1624107.7777777778</v>
          </cell>
          <cell r="F136">
            <v>21360892.222222224</v>
          </cell>
          <cell r="H136">
            <v>22985000</v>
          </cell>
          <cell r="J136">
            <v>22985000</v>
          </cell>
        </row>
        <row r="137">
          <cell r="C137">
            <v>0</v>
          </cell>
          <cell r="D137">
            <v>0</v>
          </cell>
          <cell r="F137">
            <v>1554000</v>
          </cell>
          <cell r="H137">
            <v>1554000</v>
          </cell>
          <cell r="J137">
            <v>1554000</v>
          </cell>
        </row>
        <row r="138">
          <cell r="C138">
            <v>0</v>
          </cell>
          <cell r="D138">
            <v>0</v>
          </cell>
          <cell r="H138">
            <v>0</v>
          </cell>
          <cell r="J138">
            <v>0</v>
          </cell>
        </row>
        <row r="139">
          <cell r="C139">
            <v>0</v>
          </cell>
          <cell r="D139">
            <v>0</v>
          </cell>
          <cell r="F139">
            <v>742000</v>
          </cell>
          <cell r="H139">
            <v>742000</v>
          </cell>
          <cell r="J139">
            <v>742000</v>
          </cell>
        </row>
        <row r="140">
          <cell r="C140">
            <v>0</v>
          </cell>
          <cell r="D140">
            <v>0</v>
          </cell>
          <cell r="H140">
            <v>0</v>
          </cell>
          <cell r="J140">
            <v>0</v>
          </cell>
        </row>
        <row r="141">
          <cell r="C141">
            <v>0</v>
          </cell>
          <cell r="D141">
            <v>0</v>
          </cell>
          <cell r="H141">
            <v>0</v>
          </cell>
          <cell r="J141">
            <v>0</v>
          </cell>
        </row>
        <row r="142">
          <cell r="C142">
            <v>47610844.050000012</v>
          </cell>
          <cell r="D142">
            <v>26450468.916666672</v>
          </cell>
          <cell r="F142">
            <v>-26450468.916666672</v>
          </cell>
          <cell r="H142">
            <v>0</v>
          </cell>
          <cell r="J142">
            <v>0</v>
          </cell>
        </row>
        <row r="143">
          <cell r="C143">
            <v>0</v>
          </cell>
          <cell r="D143">
            <v>0</v>
          </cell>
          <cell r="H143">
            <v>0</v>
          </cell>
          <cell r="J143">
            <v>0</v>
          </cell>
        </row>
        <row r="144">
          <cell r="C144">
            <v>0</v>
          </cell>
          <cell r="D144">
            <v>0</v>
          </cell>
          <cell r="H144">
            <v>0</v>
          </cell>
          <cell r="J144">
            <v>0</v>
          </cell>
        </row>
        <row r="145">
          <cell r="C145">
            <v>31013959.839999996</v>
          </cell>
          <cell r="D145">
            <v>17229977.688888885</v>
          </cell>
          <cell r="F145">
            <v>30856492.311111115</v>
          </cell>
          <cell r="H145">
            <v>48086470</v>
          </cell>
          <cell r="J145">
            <v>52215083.030000001</v>
          </cell>
          <cell r="K145" t="str">
            <v>A4.2.3 -</v>
          </cell>
        </row>
        <row r="146">
          <cell r="C146">
            <v>0</v>
          </cell>
          <cell r="D146">
            <v>0</v>
          </cell>
          <cell r="H146">
            <v>0</v>
          </cell>
          <cell r="J146">
            <v>0</v>
          </cell>
        </row>
        <row r="147">
          <cell r="C147">
            <v>0</v>
          </cell>
          <cell r="D147">
            <v>0</v>
          </cell>
          <cell r="H147">
            <v>0</v>
          </cell>
          <cell r="J147">
            <v>0</v>
          </cell>
        </row>
        <row r="148">
          <cell r="C148">
            <v>0</v>
          </cell>
          <cell r="D148">
            <v>0</v>
          </cell>
          <cell r="H148">
            <v>0</v>
          </cell>
          <cell r="J148">
            <v>0</v>
          </cell>
        </row>
        <row r="149">
          <cell r="C149">
            <v>25440854.379999999</v>
          </cell>
          <cell r="D149">
            <v>14133807.988888888</v>
          </cell>
          <cell r="F149">
            <v>-7721527</v>
          </cell>
          <cell r="H149">
            <v>6412280.9888888877</v>
          </cell>
          <cell r="J149">
            <v>-4128612.9804359982</v>
          </cell>
        </row>
        <row r="151">
          <cell r="C151">
            <v>25440854.379999999</v>
          </cell>
          <cell r="D151">
            <v>14211343.95000002</v>
          </cell>
          <cell r="F151">
            <v>-7799062.7900000196</v>
          </cell>
          <cell r="H151">
            <v>6412281.1599999983</v>
          </cell>
          <cell r="J151">
            <v>-4128613.3800000008</v>
          </cell>
        </row>
        <row r="152">
          <cell r="C152">
            <v>77578254.929999992</v>
          </cell>
          <cell r="D152">
            <v>43424859.670000009</v>
          </cell>
          <cell r="F152">
            <v>-195294.67000000924</v>
          </cell>
          <cell r="H152">
            <v>43229565</v>
          </cell>
          <cell r="J152">
            <v>65943323</v>
          </cell>
          <cell r="K152" t="str">
            <v>A4.2.3 -</v>
          </cell>
        </row>
        <row r="153">
          <cell r="C153">
            <v>0</v>
          </cell>
          <cell r="D153">
            <v>0</v>
          </cell>
          <cell r="F153">
            <v>117985</v>
          </cell>
          <cell r="H153">
            <v>117985</v>
          </cell>
          <cell r="J153">
            <v>420320</v>
          </cell>
        </row>
        <row r="154">
          <cell r="C154">
            <v>77578254.929999992</v>
          </cell>
          <cell r="D154">
            <v>43424859.670000009</v>
          </cell>
          <cell r="F154">
            <v>-77309.670000009239</v>
          </cell>
          <cell r="H154">
            <v>43347550</v>
          </cell>
          <cell r="J154">
            <v>66363643</v>
          </cell>
        </row>
        <row r="155">
          <cell r="C155">
            <v>-60128515.819999993</v>
          </cell>
          <cell r="D155">
            <v>-33706622.919999987</v>
          </cell>
          <cell r="F155">
            <v>-112928.08000001109</v>
          </cell>
          <cell r="H155">
            <v>-33819551</v>
          </cell>
          <cell r="J155">
            <v>-75828320</v>
          </cell>
        </row>
        <row r="156">
          <cell r="C156">
            <v>0</v>
          </cell>
          <cell r="D156">
            <v>0</v>
          </cell>
          <cell r="H156">
            <v>0</v>
          </cell>
          <cell r="J156">
            <v>0</v>
          </cell>
          <cell r="K156" t="str">
            <v>A4.2.3 -</v>
          </cell>
        </row>
        <row r="157">
          <cell r="C157">
            <v>0</v>
          </cell>
          <cell r="D157">
            <v>0</v>
          </cell>
          <cell r="H157">
            <v>0</v>
          </cell>
          <cell r="J157">
            <v>0</v>
          </cell>
        </row>
        <row r="158">
          <cell r="C158">
            <v>0</v>
          </cell>
          <cell r="D158">
            <v>0</v>
          </cell>
          <cell r="H158">
            <v>0</v>
          </cell>
          <cell r="J158">
            <v>0</v>
          </cell>
        </row>
        <row r="159">
          <cell r="C159">
            <v>0</v>
          </cell>
          <cell r="D159">
            <v>0</v>
          </cell>
          <cell r="H159">
            <v>0</v>
          </cell>
          <cell r="J159">
            <v>0</v>
          </cell>
          <cell r="K159" t="str">
            <v>A4.2.3 -</v>
          </cell>
        </row>
        <row r="160">
          <cell r="C160">
            <v>0</v>
          </cell>
          <cell r="D160">
            <v>0</v>
          </cell>
          <cell r="H160">
            <v>0</v>
          </cell>
          <cell r="J160">
            <v>0</v>
          </cell>
        </row>
        <row r="161">
          <cell r="C161">
            <v>-54577015.869999997</v>
          </cell>
          <cell r="D161">
            <v>-30609779.839999989</v>
          </cell>
          <cell r="F161">
            <v>-172071.16000001132</v>
          </cell>
          <cell r="H161">
            <v>-30781851</v>
          </cell>
          <cell r="J161">
            <v>-72718109</v>
          </cell>
          <cell r="K161" t="str">
            <v>A4.2.3 -</v>
          </cell>
        </row>
        <row r="162">
          <cell r="C162">
            <v>0</v>
          </cell>
          <cell r="D162">
            <v>0</v>
          </cell>
          <cell r="H162">
            <v>0</v>
          </cell>
          <cell r="J162">
            <v>0</v>
          </cell>
          <cell r="K162" t="str">
            <v>A4.2.3 -</v>
          </cell>
        </row>
        <row r="163">
          <cell r="C163">
            <v>0</v>
          </cell>
          <cell r="D163">
            <v>0</v>
          </cell>
          <cell r="F163">
            <v>-59640</v>
          </cell>
          <cell r="H163">
            <v>-59640</v>
          </cell>
          <cell r="J163">
            <v>-310003</v>
          </cell>
        </row>
        <row r="164">
          <cell r="C164">
            <v>0</v>
          </cell>
          <cell r="D164">
            <v>0</v>
          </cell>
          <cell r="H164">
            <v>0</v>
          </cell>
          <cell r="J164">
            <v>0</v>
          </cell>
        </row>
        <row r="165">
          <cell r="C165">
            <v>-2628853.0299999979</v>
          </cell>
          <cell r="D165">
            <v>-1472190.2500000002</v>
          </cell>
          <cell r="F165">
            <v>-301979.74999999977</v>
          </cell>
          <cell r="H165">
            <v>-1774170</v>
          </cell>
          <cell r="J165">
            <v>-2469130</v>
          </cell>
        </row>
        <row r="166">
          <cell r="C166">
            <v>-1268874</v>
          </cell>
          <cell r="D166">
            <v>-717548.25</v>
          </cell>
          <cell r="F166">
            <v>717548.25</v>
          </cell>
          <cell r="H166">
            <v>0</v>
          </cell>
          <cell r="J166">
            <v>0</v>
          </cell>
          <cell r="K166" t="str">
            <v>A4.2.3 -</v>
          </cell>
        </row>
        <row r="167">
          <cell r="C167">
            <v>0</v>
          </cell>
          <cell r="D167">
            <v>0</v>
          </cell>
          <cell r="H167">
            <v>0</v>
          </cell>
          <cell r="J167">
            <v>0</v>
          </cell>
        </row>
        <row r="168">
          <cell r="C168">
            <v>210733.74</v>
          </cell>
          <cell r="D168">
            <v>116627.3</v>
          </cell>
          <cell r="F168">
            <v>-116627.3</v>
          </cell>
          <cell r="H168">
            <v>0</v>
          </cell>
          <cell r="J168">
            <v>113715</v>
          </cell>
        </row>
        <row r="169">
          <cell r="C169">
            <v>-1864506.6600000001</v>
          </cell>
          <cell r="D169">
            <v>-1023731.88</v>
          </cell>
          <cell r="F169">
            <v>-180158.12</v>
          </cell>
          <cell r="H169">
            <v>-1203890</v>
          </cell>
          <cell r="J169">
            <v>-444793</v>
          </cell>
        </row>
        <row r="170">
          <cell r="C170">
            <v>0</v>
          </cell>
          <cell r="D170">
            <v>0</v>
          </cell>
          <cell r="H170">
            <v>0</v>
          </cell>
          <cell r="J170">
            <v>0</v>
          </cell>
        </row>
        <row r="171">
          <cell r="C171">
            <v>-1668635.62</v>
          </cell>
          <cell r="D171">
            <v>-935936.97000000009</v>
          </cell>
          <cell r="F171">
            <v>-550106.02999999991</v>
          </cell>
          <cell r="H171">
            <v>-1486043</v>
          </cell>
          <cell r="J171">
            <v>-2229850</v>
          </cell>
        </row>
        <row r="172">
          <cell r="C172">
            <v>0</v>
          </cell>
          <cell r="D172">
            <v>0</v>
          </cell>
          <cell r="H172">
            <v>0</v>
          </cell>
          <cell r="J172">
            <v>0</v>
          </cell>
        </row>
        <row r="173">
          <cell r="C173">
            <v>0</v>
          </cell>
          <cell r="D173">
            <v>0</v>
          </cell>
          <cell r="H173">
            <v>0</v>
          </cell>
          <cell r="J173">
            <v>0</v>
          </cell>
        </row>
        <row r="174">
          <cell r="C174">
            <v>0</v>
          </cell>
          <cell r="D174">
            <v>0</v>
          </cell>
          <cell r="H174">
            <v>0</v>
          </cell>
          <cell r="J174">
            <v>0</v>
          </cell>
        </row>
        <row r="175">
          <cell r="C175">
            <v>-1668635.62</v>
          </cell>
          <cell r="D175">
            <v>-935936.97000000009</v>
          </cell>
          <cell r="F175">
            <v>-550106.02999999991</v>
          </cell>
          <cell r="G175" t="str">
            <v>K paper profile</v>
          </cell>
          <cell r="H175">
            <v>-1486043</v>
          </cell>
          <cell r="J175">
            <v>-2229850</v>
          </cell>
        </row>
        <row r="176">
          <cell r="C176">
            <v>-2987999.23</v>
          </cell>
          <cell r="D176">
            <v>-1683673.79</v>
          </cell>
          <cell r="F176">
            <v>-137106.81999999995</v>
          </cell>
          <cell r="H176">
            <v>-1820780.61</v>
          </cell>
          <cell r="J176">
            <v>-3084053.68</v>
          </cell>
        </row>
        <row r="177">
          <cell r="C177">
            <v>0</v>
          </cell>
          <cell r="D177">
            <v>0</v>
          </cell>
          <cell r="H177">
            <v>0</v>
          </cell>
          <cell r="J177">
            <v>0</v>
          </cell>
        </row>
        <row r="178">
          <cell r="C178">
            <v>0</v>
          </cell>
          <cell r="D178">
            <v>0</v>
          </cell>
          <cell r="H178">
            <v>0</v>
          </cell>
          <cell r="J178">
            <v>0</v>
          </cell>
        </row>
        <row r="179">
          <cell r="C179">
            <v>0</v>
          </cell>
          <cell r="D179">
            <v>0</v>
          </cell>
          <cell r="H179">
            <v>0</v>
          </cell>
          <cell r="J179">
            <v>0</v>
          </cell>
        </row>
        <row r="180">
          <cell r="C180">
            <v>0</v>
          </cell>
          <cell r="D180">
            <v>0</v>
          </cell>
          <cell r="H180">
            <v>0</v>
          </cell>
          <cell r="J180">
            <v>0</v>
          </cell>
        </row>
        <row r="181">
          <cell r="C181">
            <v>-2898512.7499999995</v>
          </cell>
          <cell r="D181">
            <v>-1625989.49</v>
          </cell>
          <cell r="F181">
            <v>19526.510000000009</v>
          </cell>
          <cell r="H181">
            <v>-1606462.98</v>
          </cell>
          <cell r="J181">
            <v>-2224054.9900000002</v>
          </cell>
          <cell r="K181" t="str">
            <v>A4.2.3 -</v>
          </cell>
        </row>
        <row r="182">
          <cell r="C182">
            <v>-30301.1</v>
          </cell>
          <cell r="D182">
            <v>-19828.11</v>
          </cell>
          <cell r="H182">
            <v>-19828.11</v>
          </cell>
          <cell r="J182">
            <v>-23153.08</v>
          </cell>
        </row>
        <row r="183">
          <cell r="C183">
            <v>-771599.26000000013</v>
          </cell>
          <cell r="D183">
            <v>-431798.68999999994</v>
          </cell>
          <cell r="H183">
            <v>-431798.68999999994</v>
          </cell>
          <cell r="J183">
            <v>-830408.61</v>
          </cell>
        </row>
        <row r="184">
          <cell r="C184">
            <v>0</v>
          </cell>
          <cell r="D184">
            <v>0</v>
          </cell>
          <cell r="H184">
            <v>0</v>
          </cell>
          <cell r="J184">
            <v>0</v>
          </cell>
        </row>
        <row r="185">
          <cell r="C185">
            <v>0</v>
          </cell>
          <cell r="D185">
            <v>0</v>
          </cell>
          <cell r="H185">
            <v>0</v>
          </cell>
          <cell r="J185">
            <v>0</v>
          </cell>
        </row>
        <row r="186">
          <cell r="C186">
            <v>0</v>
          </cell>
          <cell r="D186">
            <v>0</v>
          </cell>
          <cell r="H186">
            <v>0</v>
          </cell>
          <cell r="J186">
            <v>0</v>
          </cell>
        </row>
        <row r="187">
          <cell r="C187">
            <v>0</v>
          </cell>
          <cell r="D187">
            <v>0</v>
          </cell>
          <cell r="H187">
            <v>0</v>
          </cell>
          <cell r="J187">
            <v>0</v>
          </cell>
        </row>
        <row r="188">
          <cell r="C188">
            <v>0</v>
          </cell>
          <cell r="D188">
            <v>0</v>
          </cell>
          <cell r="H188">
            <v>0</v>
          </cell>
          <cell r="J188">
            <v>0</v>
          </cell>
        </row>
        <row r="189">
          <cell r="C189">
            <v>714585.42</v>
          </cell>
          <cell r="D189">
            <v>395165.73</v>
          </cell>
          <cell r="F189">
            <v>-155549.55999999997</v>
          </cell>
          <cell r="H189">
            <v>239616.17</v>
          </cell>
          <cell r="J189">
            <v>27500</v>
          </cell>
        </row>
        <row r="190">
          <cell r="C190">
            <v>-2171.54</v>
          </cell>
          <cell r="D190">
            <v>-1223.23</v>
          </cell>
          <cell r="F190">
            <v>-1083.77</v>
          </cell>
          <cell r="H190">
            <v>-2307</v>
          </cell>
          <cell r="J190">
            <v>-33937</v>
          </cell>
        </row>
        <row r="191">
          <cell r="C191">
            <v>0</v>
          </cell>
          <cell r="D191">
            <v>0</v>
          </cell>
          <cell r="H191">
            <v>0</v>
          </cell>
          <cell r="J191">
            <v>0</v>
          </cell>
        </row>
        <row r="192">
          <cell r="C192">
            <v>12793104.259999998</v>
          </cell>
          <cell r="D192">
            <v>7098625.9900000216</v>
          </cell>
          <cell r="F192">
            <v>-877450.60000002023</v>
          </cell>
          <cell r="H192">
            <v>6221175.3899999997</v>
          </cell>
          <cell r="J192">
            <v>-14778580.68</v>
          </cell>
        </row>
        <row r="193">
          <cell r="C193">
            <v>5099817.84</v>
          </cell>
          <cell r="D193">
            <v>2863608.38</v>
          </cell>
          <cell r="F193">
            <v>0</v>
          </cell>
          <cell r="H193">
            <v>2863608.38</v>
          </cell>
          <cell r="J193">
            <v>21240978.539999999</v>
          </cell>
        </row>
        <row r="194">
          <cell r="C194">
            <v>0</v>
          </cell>
          <cell r="D194">
            <v>0</v>
          </cell>
          <cell r="H194">
            <v>0</v>
          </cell>
          <cell r="J194">
            <v>0</v>
          </cell>
        </row>
        <row r="195">
          <cell r="C195">
            <v>0</v>
          </cell>
          <cell r="D195">
            <v>0</v>
          </cell>
          <cell r="H195">
            <v>0</v>
          </cell>
          <cell r="J195">
            <v>0</v>
          </cell>
        </row>
        <row r="196">
          <cell r="C196">
            <v>0</v>
          </cell>
          <cell r="D196">
            <v>0</v>
          </cell>
          <cell r="H196">
            <v>0</v>
          </cell>
          <cell r="J196">
            <v>0</v>
          </cell>
        </row>
        <row r="197">
          <cell r="C197">
            <v>0</v>
          </cell>
          <cell r="D197">
            <v>0</v>
          </cell>
          <cell r="H197">
            <v>0</v>
          </cell>
          <cell r="J197">
            <v>0</v>
          </cell>
        </row>
        <row r="198">
          <cell r="C198">
            <v>2079894.32</v>
          </cell>
          <cell r="D198">
            <v>1161618.83</v>
          </cell>
          <cell r="H198">
            <v>1161618.83</v>
          </cell>
          <cell r="J198">
            <v>443325.21</v>
          </cell>
        </row>
        <row r="199">
          <cell r="C199">
            <v>0</v>
          </cell>
          <cell r="D199">
            <v>0</v>
          </cell>
          <cell r="H199">
            <v>0</v>
          </cell>
          <cell r="J199">
            <v>0</v>
          </cell>
        </row>
        <row r="200">
          <cell r="C200">
            <v>0</v>
          </cell>
          <cell r="D200">
            <v>0</v>
          </cell>
          <cell r="H200">
            <v>0</v>
          </cell>
          <cell r="J200">
            <v>17359506.59</v>
          </cell>
        </row>
        <row r="201">
          <cell r="C201">
            <v>0</v>
          </cell>
          <cell r="D201">
            <v>0</v>
          </cell>
          <cell r="H201">
            <v>0</v>
          </cell>
          <cell r="J201">
            <v>0</v>
          </cell>
        </row>
        <row r="202">
          <cell r="C202">
            <v>0</v>
          </cell>
          <cell r="D202">
            <v>0</v>
          </cell>
          <cell r="H202">
            <v>0</v>
          </cell>
          <cell r="J202">
            <v>0</v>
          </cell>
        </row>
        <row r="203">
          <cell r="C203">
            <v>0</v>
          </cell>
          <cell r="D203">
            <v>0</v>
          </cell>
          <cell r="H203">
            <v>0</v>
          </cell>
          <cell r="J203">
            <v>0</v>
          </cell>
        </row>
        <row r="204">
          <cell r="C204">
            <v>3019923.52</v>
          </cell>
          <cell r="D204">
            <v>1701989.5499999998</v>
          </cell>
          <cell r="H204">
            <v>1701989.5499999998</v>
          </cell>
          <cell r="J204">
            <v>3438146.74</v>
          </cell>
        </row>
        <row r="205">
          <cell r="C205">
            <v>-1703186.9500000002</v>
          </cell>
          <cell r="D205">
            <v>-950949.32</v>
          </cell>
          <cell r="F205">
            <v>-1036855.4599999998</v>
          </cell>
          <cell r="H205">
            <v>-1987804.78</v>
          </cell>
          <cell r="J205">
            <v>-2262588.2400000002</v>
          </cell>
        </row>
        <row r="206">
          <cell r="C206">
            <v>-793444.18</v>
          </cell>
          <cell r="D206">
            <v>-444074.19</v>
          </cell>
          <cell r="F206">
            <v>440862.19</v>
          </cell>
          <cell r="H206">
            <v>-3212</v>
          </cell>
          <cell r="J206">
            <v>-0.2900000000372529</v>
          </cell>
        </row>
        <row r="207">
          <cell r="C207">
            <v>0</v>
          </cell>
          <cell r="D207">
            <v>0</v>
          </cell>
          <cell r="H207">
            <v>0</v>
          </cell>
          <cell r="J207">
            <v>0</v>
          </cell>
        </row>
        <row r="208">
          <cell r="C208">
            <v>0</v>
          </cell>
          <cell r="D208">
            <v>0</v>
          </cell>
          <cell r="H208">
            <v>0</v>
          </cell>
          <cell r="J208">
            <v>0</v>
          </cell>
        </row>
        <row r="209">
          <cell r="C209">
            <v>0</v>
          </cell>
          <cell r="D209">
            <v>0</v>
          </cell>
          <cell r="F209">
            <v>-480246</v>
          </cell>
          <cell r="H209">
            <v>-480246</v>
          </cell>
          <cell r="J209">
            <v>0</v>
          </cell>
        </row>
        <row r="210">
          <cell r="C210">
            <v>0</v>
          </cell>
          <cell r="D210">
            <v>0</v>
          </cell>
          <cell r="H210">
            <v>0</v>
          </cell>
          <cell r="J210">
            <v>0</v>
          </cell>
        </row>
        <row r="211">
          <cell r="C211">
            <v>0</v>
          </cell>
          <cell r="D211">
            <v>0</v>
          </cell>
          <cell r="H211">
            <v>0</v>
          </cell>
          <cell r="J211">
            <v>0</v>
          </cell>
        </row>
        <row r="212">
          <cell r="C212">
            <v>0</v>
          </cell>
          <cell r="D212">
            <v>0</v>
          </cell>
          <cell r="E212" t="str">
            <v>A4.2.9</v>
          </cell>
          <cell r="F212">
            <v>-1000683.33</v>
          </cell>
          <cell r="H212">
            <v>-1000683.33</v>
          </cell>
          <cell r="J212">
            <v>0</v>
          </cell>
        </row>
        <row r="213">
          <cell r="C213">
            <v>-5600.6500000000005</v>
          </cell>
          <cell r="D213">
            <v>-3211.6800000000003</v>
          </cell>
          <cell r="F213">
            <v>3211.6800000000003</v>
          </cell>
          <cell r="H213">
            <v>0</v>
          </cell>
          <cell r="J213">
            <v>-1244897.3600000001</v>
          </cell>
        </row>
        <row r="214">
          <cell r="C214">
            <v>0</v>
          </cell>
          <cell r="D214">
            <v>0</v>
          </cell>
          <cell r="H214">
            <v>0</v>
          </cell>
          <cell r="J214">
            <v>0</v>
          </cell>
        </row>
        <row r="215">
          <cell r="C215">
            <v>0</v>
          </cell>
          <cell r="D215">
            <v>0</v>
          </cell>
          <cell r="H215">
            <v>0</v>
          </cell>
          <cell r="J215">
            <v>0</v>
          </cell>
        </row>
        <row r="216">
          <cell r="C216">
            <v>0</v>
          </cell>
          <cell r="D216">
            <v>0</v>
          </cell>
          <cell r="H216">
            <v>0</v>
          </cell>
          <cell r="J216">
            <v>0</v>
          </cell>
        </row>
        <row r="217">
          <cell r="C217">
            <v>0</v>
          </cell>
          <cell r="D217">
            <v>0</v>
          </cell>
          <cell r="H217">
            <v>0</v>
          </cell>
          <cell r="J217">
            <v>0</v>
          </cell>
        </row>
        <row r="218">
          <cell r="C218">
            <v>0</v>
          </cell>
          <cell r="D218">
            <v>0</v>
          </cell>
          <cell r="H218">
            <v>0</v>
          </cell>
          <cell r="J218">
            <v>0</v>
          </cell>
        </row>
        <row r="219">
          <cell r="C219">
            <v>-904142.12</v>
          </cell>
          <cell r="D219">
            <v>-503663.44999999995</v>
          </cell>
          <cell r="H219">
            <v>-503663.44999999995</v>
          </cell>
          <cell r="J219">
            <v>-1017690.59</v>
          </cell>
          <cell r="K219" t="str">
            <v>A4.2.3 -</v>
          </cell>
        </row>
        <row r="220">
          <cell r="C220">
            <v>191647.53</v>
          </cell>
          <cell r="D220">
            <v>110130.18000000001</v>
          </cell>
          <cell r="F220">
            <v>838314.82000000007</v>
          </cell>
          <cell r="H220">
            <v>948445</v>
          </cell>
          <cell r="J220">
            <v>-10835625</v>
          </cell>
        </row>
        <row r="221">
          <cell r="C221">
            <v>333946.98</v>
          </cell>
          <cell r="D221">
            <v>189922.19</v>
          </cell>
          <cell r="F221">
            <v>-189922.19</v>
          </cell>
          <cell r="H221">
            <v>0</v>
          </cell>
          <cell r="J221">
            <v>0</v>
          </cell>
        </row>
        <row r="222">
          <cell r="C222">
            <v>0</v>
          </cell>
          <cell r="D222">
            <v>0</v>
          </cell>
          <cell r="H222">
            <v>0</v>
          </cell>
          <cell r="J222">
            <v>0</v>
          </cell>
        </row>
        <row r="223">
          <cell r="C223">
            <v>0</v>
          </cell>
          <cell r="D223">
            <v>0</v>
          </cell>
          <cell r="H223">
            <v>0</v>
          </cell>
          <cell r="J223">
            <v>0</v>
          </cell>
          <cell r="K223" t="str">
            <v>A4.2.3 -</v>
          </cell>
        </row>
        <row r="224">
          <cell r="C224">
            <v>-142299.44999999998</v>
          </cell>
          <cell r="D224">
            <v>-79792.009999999995</v>
          </cell>
          <cell r="F224">
            <v>1028237.01</v>
          </cell>
          <cell r="H224">
            <v>948445</v>
          </cell>
          <cell r="J224">
            <v>-10835625</v>
          </cell>
        </row>
        <row r="225">
          <cell r="C225">
            <v>0</v>
          </cell>
          <cell r="D225">
            <v>0</v>
          </cell>
          <cell r="H225">
            <v>0</v>
          </cell>
          <cell r="J225">
            <v>0</v>
          </cell>
        </row>
        <row r="226">
          <cell r="C226">
            <v>0</v>
          </cell>
          <cell r="D226">
            <v>0</v>
          </cell>
          <cell r="H226">
            <v>0</v>
          </cell>
          <cell r="J226">
            <v>0</v>
          </cell>
        </row>
        <row r="227">
          <cell r="C227">
            <v>12484301.17</v>
          </cell>
          <cell r="D227">
            <v>7002123.96</v>
          </cell>
          <cell r="F227">
            <v>-5657121.96</v>
          </cell>
          <cell r="H227">
            <v>1345002</v>
          </cell>
          <cell r="J227">
            <v>775280</v>
          </cell>
        </row>
        <row r="228">
          <cell r="C228">
            <v>12484301.17</v>
          </cell>
          <cell r="D228">
            <v>7002123.96</v>
          </cell>
          <cell r="F228">
            <v>-5657121.96</v>
          </cell>
          <cell r="G228" t="str">
            <v>A4.2.9 paper profile</v>
          </cell>
          <cell r="H228">
            <v>1345002</v>
          </cell>
          <cell r="J228">
            <v>775280</v>
          </cell>
        </row>
        <row r="229">
          <cell r="C229">
            <v>0</v>
          </cell>
          <cell r="D229">
            <v>0</v>
          </cell>
          <cell r="H229">
            <v>0</v>
          </cell>
          <cell r="J229">
            <v>0</v>
          </cell>
        </row>
        <row r="230">
          <cell r="C230">
            <v>0</v>
          </cell>
          <cell r="D230">
            <v>0</v>
          </cell>
          <cell r="H230">
            <v>0</v>
          </cell>
          <cell r="J230">
            <v>0</v>
          </cell>
        </row>
        <row r="231">
          <cell r="C231">
            <v>0</v>
          </cell>
          <cell r="D231">
            <v>0</v>
          </cell>
          <cell r="H231">
            <v>0</v>
          </cell>
          <cell r="J231">
            <v>0</v>
          </cell>
        </row>
        <row r="232">
          <cell r="C232">
            <v>28865683.849999998</v>
          </cell>
          <cell r="D232">
            <v>16123539.19000002</v>
          </cell>
          <cell r="F232">
            <v>-6733113.2000000197</v>
          </cell>
          <cell r="H232">
            <v>9390425.9899999984</v>
          </cell>
          <cell r="J232">
            <v>-5860535.3800000008</v>
          </cell>
        </row>
        <row r="234">
          <cell r="C234">
            <v>-3424829.47</v>
          </cell>
          <cell r="D234">
            <v>-1912195.24</v>
          </cell>
          <cell r="F234">
            <v>-1065949.5900000001</v>
          </cell>
          <cell r="H234">
            <v>-2978144.83</v>
          </cell>
          <cell r="J234">
            <v>1731922</v>
          </cell>
        </row>
        <row r="235">
          <cell r="C235">
            <v>-3424829.47</v>
          </cell>
          <cell r="D235">
            <v>-1912195.24</v>
          </cell>
          <cell r="F235">
            <v>18245.409999999916</v>
          </cell>
          <cell r="H235">
            <v>-1893949.83</v>
          </cell>
          <cell r="J235">
            <v>0</v>
          </cell>
        </row>
        <row r="236">
          <cell r="C236">
            <v>0</v>
          </cell>
          <cell r="D236">
            <v>0</v>
          </cell>
          <cell r="F236">
            <v>-1084195</v>
          </cell>
          <cell r="H236">
            <v>-1084195</v>
          </cell>
          <cell r="J236">
            <v>1731922</v>
          </cell>
          <cell r="K236" t="str">
            <v>A4.2.3 -</v>
          </cell>
        </row>
        <row r="238">
          <cell r="C238">
            <v>0</v>
          </cell>
          <cell r="D238">
            <v>0</v>
          </cell>
          <cell r="F238">
            <v>0</v>
          </cell>
          <cell r="H238">
            <v>0</v>
          </cell>
          <cell r="J23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.4-MARFLEX"/>
      <sheetName val="A4_4_MARFLEX"/>
      <sheetName val="A4.2-FLEXIBRAS"/>
      <sheetName val="A4_4-MARFLEX"/>
      <sheetName val="A4_2-FLEXIBRAS"/>
      <sheetName val="For approval Consolidated "/>
      <sheetName val="A4_4-MARFLEX1"/>
      <sheetName val="A4_2-FLEXIBRAS1"/>
    </sheetNames>
    <sheetDataSet>
      <sheetData sheetId="0" refreshError="1">
        <row r="5">
          <cell r="C5">
            <v>18036444.380000003</v>
          </cell>
          <cell r="D5">
            <v>10020246.877777778</v>
          </cell>
          <cell r="E5">
            <v>-1045193.0999999996</v>
          </cell>
          <cell r="F5">
            <v>8975053.7777777761</v>
          </cell>
          <cell r="G5">
            <v>7810282.515930688</v>
          </cell>
          <cell r="I5">
            <v>-84938</v>
          </cell>
          <cell r="J5">
            <v>8890115.7777777761</v>
          </cell>
          <cell r="K5" t="str">
            <v>A4 consolidado</v>
          </cell>
          <cell r="L5">
            <v>7774157.3999441024</v>
          </cell>
        </row>
        <row r="6">
          <cell r="C6">
            <v>7938191.2400000002</v>
          </cell>
          <cell r="D6">
            <v>4410106.2444444438</v>
          </cell>
          <cell r="E6">
            <v>-1837087.8822222222</v>
          </cell>
          <cell r="F6">
            <v>2573018.3622222217</v>
          </cell>
          <cell r="G6">
            <v>3343915.7511011739</v>
          </cell>
          <cell r="I6">
            <v>45160</v>
          </cell>
          <cell r="J6">
            <v>2618178.3622222217</v>
          </cell>
          <cell r="L6">
            <v>3165709.1351145892</v>
          </cell>
        </row>
        <row r="7">
          <cell r="C7">
            <v>1472098.71</v>
          </cell>
          <cell r="D7">
            <v>817832.6166666667</v>
          </cell>
          <cell r="E7">
            <v>0</v>
          </cell>
          <cell r="F7">
            <v>817832.6166666667</v>
          </cell>
          <cell r="G7">
            <v>1942914.4494130802</v>
          </cell>
          <cell r="I7">
            <v>0</v>
          </cell>
          <cell r="J7">
            <v>817832.6166666667</v>
          </cell>
          <cell r="L7">
            <v>1942914.4494130802</v>
          </cell>
        </row>
        <row r="8">
          <cell r="C8">
            <v>326807.63</v>
          </cell>
          <cell r="D8">
            <v>181559.79444444444</v>
          </cell>
          <cell r="F8">
            <v>181559.79444444444</v>
          </cell>
          <cell r="G8">
            <v>0</v>
          </cell>
          <cell r="J8">
            <v>181559.79444444444</v>
          </cell>
          <cell r="L8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J9">
            <v>0</v>
          </cell>
          <cell r="L9">
            <v>0</v>
          </cell>
        </row>
        <row r="10">
          <cell r="C10">
            <v>1145291.08</v>
          </cell>
          <cell r="D10">
            <v>636272.82222222222</v>
          </cell>
          <cell r="F10">
            <v>636272.82222222222</v>
          </cell>
          <cell r="G10">
            <v>1942914.4494130802</v>
          </cell>
          <cell r="J10">
            <v>636272.82222222222</v>
          </cell>
          <cell r="L10">
            <v>1942914.4494130802</v>
          </cell>
        </row>
        <row r="11">
          <cell r="C11">
            <v>0</v>
          </cell>
          <cell r="D11">
            <v>0</v>
          </cell>
          <cell r="F11">
            <v>0</v>
          </cell>
          <cell r="G11">
            <v>0</v>
          </cell>
          <cell r="J11">
            <v>0</v>
          </cell>
          <cell r="L11">
            <v>0</v>
          </cell>
        </row>
        <row r="12">
          <cell r="C12">
            <v>2600615.75</v>
          </cell>
          <cell r="D12">
            <v>1444786.5277777778</v>
          </cell>
          <cell r="E12">
            <v>-763738.06</v>
          </cell>
          <cell r="F12">
            <v>681048.4677777777</v>
          </cell>
          <cell r="G12">
            <v>683809.4526103969</v>
          </cell>
          <cell r="I12">
            <v>0</v>
          </cell>
          <cell r="J12">
            <v>681048.4677777777</v>
          </cell>
          <cell r="L12">
            <v>683809.4526103969</v>
          </cell>
        </row>
        <row r="13">
          <cell r="C13">
            <v>2600615.75</v>
          </cell>
          <cell r="D13">
            <v>1444786.5277777778</v>
          </cell>
          <cell r="E13">
            <v>-763738.06</v>
          </cell>
          <cell r="F13">
            <v>681048.4677777777</v>
          </cell>
          <cell r="G13">
            <v>683809.4526103969</v>
          </cell>
          <cell r="J13">
            <v>681048.4677777777</v>
          </cell>
          <cell r="L13">
            <v>683809.4526103969</v>
          </cell>
        </row>
        <row r="14">
          <cell r="C14">
            <v>0</v>
          </cell>
          <cell r="D14">
            <v>0</v>
          </cell>
          <cell r="F14">
            <v>0</v>
          </cell>
          <cell r="G14">
            <v>0</v>
          </cell>
          <cell r="J14">
            <v>0</v>
          </cell>
          <cell r="L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0</v>
          </cell>
          <cell r="J15">
            <v>0</v>
          </cell>
          <cell r="L15">
            <v>0</v>
          </cell>
        </row>
        <row r="16">
          <cell r="C16">
            <v>0</v>
          </cell>
          <cell r="D16">
            <v>0</v>
          </cell>
          <cell r="F16">
            <v>0</v>
          </cell>
          <cell r="G16">
            <v>0</v>
          </cell>
          <cell r="J16">
            <v>0</v>
          </cell>
          <cell r="L16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0</v>
          </cell>
          <cell r="J17">
            <v>0</v>
          </cell>
          <cell r="L17">
            <v>0</v>
          </cell>
        </row>
        <row r="18">
          <cell r="C18">
            <v>0</v>
          </cell>
          <cell r="D18">
            <v>0</v>
          </cell>
          <cell r="F18">
            <v>0</v>
          </cell>
          <cell r="G18">
            <v>0</v>
          </cell>
          <cell r="J18">
            <v>0</v>
          </cell>
          <cell r="L18">
            <v>0</v>
          </cell>
        </row>
        <row r="19">
          <cell r="C19">
            <v>0</v>
          </cell>
          <cell r="D19">
            <v>0</v>
          </cell>
          <cell r="F19">
            <v>0</v>
          </cell>
          <cell r="G19">
            <v>0</v>
          </cell>
          <cell r="J19">
            <v>0</v>
          </cell>
          <cell r="L19">
            <v>0</v>
          </cell>
        </row>
        <row r="20">
          <cell r="C20">
            <v>999262.03</v>
          </cell>
          <cell r="D20">
            <v>555145.57222222222</v>
          </cell>
          <cell r="E20">
            <v>46228.127777777729</v>
          </cell>
          <cell r="F20">
            <v>601373.69999999995</v>
          </cell>
          <cell r="G20">
            <v>220642.61598658471</v>
          </cell>
          <cell r="I20">
            <v>0</v>
          </cell>
          <cell r="J20">
            <v>601373.69999999995</v>
          </cell>
          <cell r="L20">
            <v>0</v>
          </cell>
        </row>
        <row r="21">
          <cell r="C21">
            <v>999262.03</v>
          </cell>
          <cell r="D21">
            <v>555145.57222222222</v>
          </cell>
          <cell r="E21">
            <v>-555145.57222222222</v>
          </cell>
          <cell r="F21">
            <v>0</v>
          </cell>
          <cell r="G21">
            <v>0</v>
          </cell>
          <cell r="J21">
            <v>0</v>
          </cell>
          <cell r="L21">
            <v>0</v>
          </cell>
        </row>
        <row r="22">
          <cell r="C22">
            <v>0</v>
          </cell>
          <cell r="D22">
            <v>0</v>
          </cell>
          <cell r="F22">
            <v>0</v>
          </cell>
          <cell r="G22">
            <v>0</v>
          </cell>
          <cell r="J22">
            <v>0</v>
          </cell>
          <cell r="L22">
            <v>0</v>
          </cell>
        </row>
        <row r="23">
          <cell r="C23">
            <v>0</v>
          </cell>
          <cell r="D23">
            <v>0</v>
          </cell>
          <cell r="F23">
            <v>0</v>
          </cell>
          <cell r="G23">
            <v>0</v>
          </cell>
          <cell r="J23">
            <v>0</v>
          </cell>
          <cell r="L23">
            <v>0</v>
          </cell>
        </row>
        <row r="24">
          <cell r="C24">
            <v>0</v>
          </cell>
          <cell r="D24">
            <v>0</v>
          </cell>
          <cell r="F24">
            <v>0</v>
          </cell>
          <cell r="G24">
            <v>0</v>
          </cell>
          <cell r="J24">
            <v>0</v>
          </cell>
          <cell r="L24">
            <v>0</v>
          </cell>
        </row>
        <row r="25">
          <cell r="C25">
            <v>0</v>
          </cell>
          <cell r="D25">
            <v>0</v>
          </cell>
          <cell r="F25">
            <v>0</v>
          </cell>
          <cell r="G25">
            <v>0</v>
          </cell>
          <cell r="J25">
            <v>0</v>
          </cell>
          <cell r="L25">
            <v>0</v>
          </cell>
        </row>
        <row r="26">
          <cell r="C26">
            <v>0</v>
          </cell>
          <cell r="D26">
            <v>0</v>
          </cell>
          <cell r="F26">
            <v>0</v>
          </cell>
          <cell r="G26">
            <v>0</v>
          </cell>
          <cell r="J26">
            <v>0</v>
          </cell>
          <cell r="L26">
            <v>0</v>
          </cell>
        </row>
        <row r="27">
          <cell r="C27">
            <v>0</v>
          </cell>
          <cell r="D27">
            <v>0</v>
          </cell>
          <cell r="E27">
            <v>601373.69999999995</v>
          </cell>
          <cell r="F27">
            <v>601373.69999999995</v>
          </cell>
          <cell r="G27">
            <v>220642.61598658471</v>
          </cell>
          <cell r="J27">
            <v>601373.69999999995</v>
          </cell>
          <cell r="L27">
            <v>220642.61598658471</v>
          </cell>
        </row>
        <row r="28">
          <cell r="C28">
            <v>0</v>
          </cell>
          <cell r="D28">
            <v>0</v>
          </cell>
          <cell r="F28">
            <v>0</v>
          </cell>
          <cell r="G28">
            <v>0</v>
          </cell>
          <cell r="J28">
            <v>0</v>
          </cell>
          <cell r="L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45160</v>
          </cell>
          <cell r="J29">
            <v>45160</v>
          </cell>
          <cell r="L29">
            <v>42436</v>
          </cell>
        </row>
        <row r="30">
          <cell r="C30">
            <v>0</v>
          </cell>
          <cell r="D30">
            <v>0</v>
          </cell>
          <cell r="F30">
            <v>0</v>
          </cell>
          <cell r="G30">
            <v>0</v>
          </cell>
          <cell r="J30">
            <v>0</v>
          </cell>
          <cell r="L30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G31">
            <v>0</v>
          </cell>
          <cell r="J31">
            <v>0</v>
          </cell>
          <cell r="L31">
            <v>0</v>
          </cell>
        </row>
        <row r="32">
          <cell r="C32">
            <v>0</v>
          </cell>
          <cell r="D32">
            <v>0</v>
          </cell>
          <cell r="F32">
            <v>0</v>
          </cell>
          <cell r="G32">
            <v>0</v>
          </cell>
          <cell r="J32">
            <v>0</v>
          </cell>
          <cell r="L32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 t="str">
            <v>A4.4.3</v>
          </cell>
          <cell r="I33">
            <v>45160</v>
          </cell>
          <cell r="J33">
            <v>45160</v>
          </cell>
          <cell r="L33">
            <v>71141</v>
          </cell>
        </row>
        <row r="34">
          <cell r="C34">
            <v>0</v>
          </cell>
          <cell r="D34">
            <v>0</v>
          </cell>
          <cell r="F34">
            <v>0</v>
          </cell>
          <cell r="G34">
            <v>0</v>
          </cell>
          <cell r="J34">
            <v>0</v>
          </cell>
          <cell r="L34">
            <v>0</v>
          </cell>
        </row>
        <row r="35">
          <cell r="C35">
            <v>2866214.75</v>
          </cell>
          <cell r="D35">
            <v>1592341.5277777775</v>
          </cell>
          <cell r="E35">
            <v>-1119577.95</v>
          </cell>
          <cell r="F35">
            <v>472763.57777777757</v>
          </cell>
          <cell r="G35">
            <v>496549.23309111234</v>
          </cell>
          <cell r="I35">
            <v>0</v>
          </cell>
          <cell r="J35">
            <v>472763.57777777757</v>
          </cell>
          <cell r="L35">
            <v>496549.23309111234</v>
          </cell>
        </row>
        <row r="36">
          <cell r="C36">
            <v>1587043.89</v>
          </cell>
          <cell r="D36">
            <v>881691.04999999993</v>
          </cell>
          <cell r="E36">
            <v>-798861.05</v>
          </cell>
          <cell r="F36">
            <v>82829.999999999884</v>
          </cell>
          <cell r="G36">
            <v>33648.714365567321</v>
          </cell>
          <cell r="J36">
            <v>82829.999999999884</v>
          </cell>
          <cell r="L36">
            <v>33648.714365567321</v>
          </cell>
        </row>
        <row r="37">
          <cell r="C37">
            <v>0</v>
          </cell>
          <cell r="D37">
            <v>0</v>
          </cell>
          <cell r="F37">
            <v>0</v>
          </cell>
          <cell r="G37">
            <v>0</v>
          </cell>
          <cell r="J37">
            <v>0</v>
          </cell>
          <cell r="L37">
            <v>0</v>
          </cell>
        </row>
        <row r="38">
          <cell r="C38">
            <v>1279170.8599999999</v>
          </cell>
          <cell r="D38">
            <v>710650.47777777771</v>
          </cell>
          <cell r="E38">
            <v>-320716.89999999997</v>
          </cell>
          <cell r="F38">
            <v>389933.57777777774</v>
          </cell>
          <cell r="G38">
            <v>454178.51872554503</v>
          </cell>
          <cell r="J38">
            <v>389933.57777777774</v>
          </cell>
          <cell r="L38">
            <v>454178.51872554503</v>
          </cell>
        </row>
        <row r="39">
          <cell r="C39">
            <v>0</v>
          </cell>
          <cell r="D39">
            <v>0</v>
          </cell>
          <cell r="F39">
            <v>0</v>
          </cell>
          <cell r="G39">
            <v>0</v>
          </cell>
          <cell r="J39">
            <v>0</v>
          </cell>
          <cell r="L39">
            <v>0</v>
          </cell>
        </row>
        <row r="40">
          <cell r="C40">
            <v>250016.91</v>
          </cell>
          <cell r="D40">
            <v>138898.28333333333</v>
          </cell>
          <cell r="E40">
            <v>101433.71666666667</v>
          </cell>
          <cell r="F40">
            <v>240332</v>
          </cell>
          <cell r="G40">
            <v>240332</v>
          </cell>
          <cell r="J40">
            <v>240332</v>
          </cell>
          <cell r="L40">
            <v>240332</v>
          </cell>
        </row>
        <row r="41">
          <cell r="C41">
            <v>-250016.91</v>
          </cell>
          <cell r="D41">
            <v>-138898.28333333333</v>
          </cell>
          <cell r="E41">
            <v>-101433.71666666667</v>
          </cell>
          <cell r="F41">
            <v>-240332</v>
          </cell>
          <cell r="G41">
            <v>-231610</v>
          </cell>
          <cell r="J41">
            <v>-240332</v>
          </cell>
          <cell r="L41">
            <v>-231610</v>
          </cell>
        </row>
        <row r="42">
          <cell r="C42">
            <v>0</v>
          </cell>
          <cell r="D42">
            <v>0</v>
          </cell>
          <cell r="F42">
            <v>0</v>
          </cell>
          <cell r="G42">
            <v>0</v>
          </cell>
          <cell r="J42">
            <v>0</v>
          </cell>
          <cell r="L42">
            <v>0</v>
          </cell>
        </row>
        <row r="43">
          <cell r="C43">
            <v>0</v>
          </cell>
          <cell r="D43">
            <v>0</v>
          </cell>
          <cell r="F43">
            <v>0</v>
          </cell>
          <cell r="G43">
            <v>0</v>
          </cell>
          <cell r="J43">
            <v>0</v>
          </cell>
          <cell r="L43">
            <v>0</v>
          </cell>
        </row>
        <row r="44">
          <cell r="C44">
            <v>0</v>
          </cell>
          <cell r="D44">
            <v>0</v>
          </cell>
          <cell r="F44">
            <v>0</v>
          </cell>
          <cell r="G44">
            <v>0</v>
          </cell>
          <cell r="J44">
            <v>0</v>
          </cell>
          <cell r="L44">
            <v>0</v>
          </cell>
        </row>
        <row r="45">
          <cell r="C45">
            <v>9564032.4400000013</v>
          </cell>
          <cell r="D45">
            <v>5313351.3555555558</v>
          </cell>
          <cell r="E45">
            <v>763738.06</v>
          </cell>
          <cell r="F45">
            <v>6077089.4155555554</v>
          </cell>
          <cell r="G45">
            <v>4109629.7648295136</v>
          </cell>
          <cell r="I45">
            <v>-130098</v>
          </cell>
          <cell r="J45">
            <v>5946991.4155555554</v>
          </cell>
          <cell r="L45">
            <v>4079731.7648295136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>
            <v>0</v>
          </cell>
          <cell r="J46">
            <v>0</v>
          </cell>
          <cell r="L46">
            <v>0</v>
          </cell>
        </row>
        <row r="47">
          <cell r="C47">
            <v>0</v>
          </cell>
          <cell r="D47">
            <v>0</v>
          </cell>
          <cell r="F47">
            <v>0</v>
          </cell>
          <cell r="G47">
            <v>0</v>
          </cell>
          <cell r="J47">
            <v>0</v>
          </cell>
          <cell r="L47">
            <v>0</v>
          </cell>
        </row>
        <row r="48">
          <cell r="C48">
            <v>0</v>
          </cell>
          <cell r="D48">
            <v>0</v>
          </cell>
          <cell r="F48">
            <v>0</v>
          </cell>
          <cell r="G48">
            <v>0</v>
          </cell>
          <cell r="J48">
            <v>0</v>
          </cell>
          <cell r="L48">
            <v>0</v>
          </cell>
        </row>
        <row r="49">
          <cell r="C49">
            <v>0</v>
          </cell>
          <cell r="D49">
            <v>0</v>
          </cell>
          <cell r="F49">
            <v>0</v>
          </cell>
          <cell r="G49">
            <v>0</v>
          </cell>
          <cell r="J49">
            <v>0</v>
          </cell>
          <cell r="L49">
            <v>0</v>
          </cell>
        </row>
        <row r="50">
          <cell r="C50">
            <v>0</v>
          </cell>
          <cell r="D50">
            <v>0</v>
          </cell>
          <cell r="F50">
            <v>0</v>
          </cell>
          <cell r="G50">
            <v>0</v>
          </cell>
          <cell r="J50">
            <v>0</v>
          </cell>
          <cell r="L50">
            <v>0</v>
          </cell>
        </row>
        <row r="51">
          <cell r="C51">
            <v>0</v>
          </cell>
          <cell r="D51">
            <v>0</v>
          </cell>
          <cell r="F51">
            <v>0</v>
          </cell>
          <cell r="G51">
            <v>0</v>
          </cell>
          <cell r="J51">
            <v>0</v>
          </cell>
          <cell r="L51">
            <v>0</v>
          </cell>
        </row>
        <row r="52">
          <cell r="C52">
            <v>0</v>
          </cell>
          <cell r="D52">
            <v>0</v>
          </cell>
          <cell r="F52">
            <v>0</v>
          </cell>
          <cell r="G52">
            <v>0</v>
          </cell>
          <cell r="J52">
            <v>0</v>
          </cell>
          <cell r="L52">
            <v>0</v>
          </cell>
        </row>
        <row r="53">
          <cell r="C53">
            <v>9564032.4400000013</v>
          </cell>
          <cell r="D53">
            <v>5313351.3555555558</v>
          </cell>
          <cell r="E53">
            <v>763738.06</v>
          </cell>
          <cell r="F53">
            <v>6077089.4155555554</v>
          </cell>
          <cell r="G53">
            <v>4109629.7648295136</v>
          </cell>
          <cell r="I53">
            <v>-130098</v>
          </cell>
          <cell r="J53">
            <v>5946991.4155555554</v>
          </cell>
          <cell r="L53">
            <v>4079731.7648295136</v>
          </cell>
        </row>
        <row r="54">
          <cell r="C54">
            <v>9564032.4400000013</v>
          </cell>
          <cell r="D54">
            <v>5313351.3555555558</v>
          </cell>
          <cell r="E54">
            <v>763738.06</v>
          </cell>
          <cell r="F54">
            <v>6077089.4155555554</v>
          </cell>
          <cell r="G54">
            <v>4109629.7648295136</v>
          </cell>
          <cell r="I54">
            <v>0</v>
          </cell>
          <cell r="J54">
            <v>6077089.4155555554</v>
          </cell>
          <cell r="L54">
            <v>4109629.7648295136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J55">
            <v>0</v>
          </cell>
          <cell r="L55">
            <v>0</v>
          </cell>
        </row>
        <row r="56">
          <cell r="C56">
            <v>9306867.8900000006</v>
          </cell>
          <cell r="D56">
            <v>5170482.1611111118</v>
          </cell>
          <cell r="E56">
            <v>763738.06</v>
          </cell>
          <cell r="F56">
            <v>5934220.2211111113</v>
          </cell>
          <cell r="G56">
            <v>3971842.1516377865</v>
          </cell>
          <cell r="J56">
            <v>5934220.2211111113</v>
          </cell>
          <cell r="L56">
            <v>3971842.1516377865</v>
          </cell>
        </row>
        <row r="57">
          <cell r="C57">
            <v>0</v>
          </cell>
          <cell r="D57">
            <v>0</v>
          </cell>
          <cell r="F57">
            <v>0</v>
          </cell>
          <cell r="G57">
            <v>0</v>
          </cell>
          <cell r="J57">
            <v>0</v>
          </cell>
          <cell r="L57">
            <v>0</v>
          </cell>
        </row>
        <row r="58">
          <cell r="C58">
            <v>257164.55</v>
          </cell>
          <cell r="D58">
            <v>142869.19444444444</v>
          </cell>
          <cell r="F58">
            <v>142869.19444444444</v>
          </cell>
          <cell r="G58">
            <v>137787.61319172723</v>
          </cell>
          <cell r="J58">
            <v>142869.19444444444</v>
          </cell>
          <cell r="L58">
            <v>137787.61319172723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I59">
            <v>-130098</v>
          </cell>
          <cell r="J59">
            <v>-130098</v>
          </cell>
          <cell r="L59">
            <v>-29898</v>
          </cell>
        </row>
        <row r="60">
          <cell r="C60">
            <v>0</v>
          </cell>
          <cell r="D60">
            <v>0</v>
          </cell>
          <cell r="F60">
            <v>0</v>
          </cell>
          <cell r="G60">
            <v>0</v>
          </cell>
          <cell r="J60">
            <v>0</v>
          </cell>
          <cell r="L60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G61">
            <v>0</v>
          </cell>
          <cell r="J61">
            <v>0</v>
          </cell>
          <cell r="L61">
            <v>0</v>
          </cell>
        </row>
        <row r="62">
          <cell r="C62">
            <v>0</v>
          </cell>
          <cell r="D62">
            <v>0</v>
          </cell>
          <cell r="F62">
            <v>0</v>
          </cell>
          <cell r="G62">
            <v>0</v>
          </cell>
          <cell r="J62">
            <v>0</v>
          </cell>
          <cell r="L62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G63">
            <v>0</v>
          </cell>
          <cell r="H63" t="str">
            <v>A4.4.3</v>
          </cell>
          <cell r="I63">
            <v>-130098</v>
          </cell>
          <cell r="J63">
            <v>-130098</v>
          </cell>
          <cell r="L63">
            <v>-130898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I64">
            <v>0</v>
          </cell>
          <cell r="J64">
            <v>0</v>
          </cell>
          <cell r="L64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G65">
            <v>0</v>
          </cell>
          <cell r="J65">
            <v>0</v>
          </cell>
          <cell r="L65">
            <v>0</v>
          </cell>
        </row>
        <row r="66">
          <cell r="C66">
            <v>0</v>
          </cell>
          <cell r="D66">
            <v>0</v>
          </cell>
          <cell r="F66">
            <v>0</v>
          </cell>
          <cell r="G66">
            <v>0</v>
          </cell>
          <cell r="J66">
            <v>0</v>
          </cell>
          <cell r="L66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G67">
            <v>0</v>
          </cell>
          <cell r="J67">
            <v>0</v>
          </cell>
          <cell r="L67">
            <v>0</v>
          </cell>
        </row>
        <row r="68">
          <cell r="C68">
            <v>0</v>
          </cell>
          <cell r="D68">
            <v>0</v>
          </cell>
          <cell r="F68">
            <v>0</v>
          </cell>
          <cell r="G68">
            <v>0</v>
          </cell>
          <cell r="J68">
            <v>0</v>
          </cell>
          <cell r="L68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G69">
            <v>0</v>
          </cell>
          <cell r="J69">
            <v>0</v>
          </cell>
          <cell r="L69">
            <v>0</v>
          </cell>
        </row>
        <row r="70">
          <cell r="C70">
            <v>0</v>
          </cell>
          <cell r="D70">
            <v>0</v>
          </cell>
          <cell r="F70">
            <v>0</v>
          </cell>
          <cell r="G70">
            <v>0</v>
          </cell>
          <cell r="J70">
            <v>0</v>
          </cell>
          <cell r="L70">
            <v>0</v>
          </cell>
        </row>
        <row r="71">
          <cell r="C71">
            <v>0</v>
          </cell>
          <cell r="D71">
            <v>0</v>
          </cell>
          <cell r="F71">
            <v>0</v>
          </cell>
          <cell r="G71">
            <v>0</v>
          </cell>
          <cell r="J71">
            <v>0</v>
          </cell>
          <cell r="L71">
            <v>0</v>
          </cell>
        </row>
        <row r="72">
          <cell r="C72">
            <v>509034.5299999998</v>
          </cell>
          <cell r="D72">
            <v>282796.96111111098</v>
          </cell>
          <cell r="E72">
            <v>21443.038888889074</v>
          </cell>
          <cell r="F72">
            <v>304240</v>
          </cell>
          <cell r="G72">
            <v>336031</v>
          </cell>
          <cell r="I72">
            <v>0</v>
          </cell>
          <cell r="J72">
            <v>304240</v>
          </cell>
          <cell r="L72">
            <v>508010.5</v>
          </cell>
        </row>
        <row r="73">
          <cell r="C73">
            <v>1992980.0199999998</v>
          </cell>
          <cell r="D73">
            <v>1107211.1222222222</v>
          </cell>
          <cell r="E73">
            <v>403527.8777777779</v>
          </cell>
          <cell r="F73">
            <v>1510739</v>
          </cell>
          <cell r="G73">
            <v>1487656</v>
          </cell>
          <cell r="I73">
            <v>0</v>
          </cell>
          <cell r="J73">
            <v>1510739</v>
          </cell>
          <cell r="L73">
            <v>1405302.5</v>
          </cell>
        </row>
        <row r="74">
          <cell r="C74">
            <v>0</v>
          </cell>
          <cell r="D74">
            <v>0</v>
          </cell>
          <cell r="F74">
            <v>0</v>
          </cell>
          <cell r="G74">
            <v>0</v>
          </cell>
          <cell r="J74">
            <v>0</v>
          </cell>
          <cell r="L74">
            <v>0</v>
          </cell>
        </row>
        <row r="75">
          <cell r="C75">
            <v>0</v>
          </cell>
          <cell r="D75">
            <v>0</v>
          </cell>
          <cell r="F75">
            <v>0</v>
          </cell>
          <cell r="G75">
            <v>0</v>
          </cell>
          <cell r="J75">
            <v>0</v>
          </cell>
          <cell r="L75">
            <v>0</v>
          </cell>
        </row>
        <row r="76">
          <cell r="C76">
            <v>206391.43</v>
          </cell>
          <cell r="D76">
            <v>114661.90555555555</v>
          </cell>
          <cell r="E76">
            <v>815031.0944444444</v>
          </cell>
          <cell r="F76">
            <v>929693</v>
          </cell>
          <cell r="G76">
            <v>907616</v>
          </cell>
          <cell r="J76">
            <v>929693</v>
          </cell>
          <cell r="L76">
            <v>907616</v>
          </cell>
        </row>
        <row r="77">
          <cell r="C77">
            <v>1489623.63</v>
          </cell>
          <cell r="D77">
            <v>827568.68333333323</v>
          </cell>
          <cell r="E77">
            <v>-432165.68333333323</v>
          </cell>
          <cell r="F77">
            <v>395403</v>
          </cell>
          <cell r="G77">
            <v>395403</v>
          </cell>
          <cell r="J77">
            <v>395403</v>
          </cell>
          <cell r="L77">
            <v>395403</v>
          </cell>
        </row>
        <row r="78">
          <cell r="C78">
            <v>269941.92</v>
          </cell>
          <cell r="D78">
            <v>149967.73333333331</v>
          </cell>
          <cell r="E78">
            <v>21154.266666666692</v>
          </cell>
          <cell r="F78">
            <v>171122</v>
          </cell>
          <cell r="G78">
            <v>170116</v>
          </cell>
          <cell r="J78">
            <v>171122</v>
          </cell>
          <cell r="L78">
            <v>170116</v>
          </cell>
        </row>
        <row r="79">
          <cell r="C79">
            <v>27023.040000000001</v>
          </cell>
          <cell r="D79">
            <v>15012.8</v>
          </cell>
          <cell r="E79">
            <v>-491.79999999999927</v>
          </cell>
          <cell r="F79">
            <v>14521</v>
          </cell>
          <cell r="G79">
            <v>14521</v>
          </cell>
          <cell r="J79">
            <v>14521</v>
          </cell>
          <cell r="L79">
            <v>14521</v>
          </cell>
        </row>
        <row r="80">
          <cell r="C80">
            <v>0</v>
          </cell>
          <cell r="D80">
            <v>0</v>
          </cell>
          <cell r="F80">
            <v>0</v>
          </cell>
          <cell r="G80">
            <v>0</v>
          </cell>
          <cell r="J80">
            <v>0</v>
          </cell>
          <cell r="L80">
            <v>0</v>
          </cell>
        </row>
        <row r="81">
          <cell r="C81">
            <v>1483945.49</v>
          </cell>
          <cell r="D81">
            <v>824414.16111111117</v>
          </cell>
          <cell r="E81">
            <v>382084.83888888883</v>
          </cell>
          <cell r="F81">
            <v>1206499</v>
          </cell>
          <cell r="G81">
            <v>1151625</v>
          </cell>
          <cell r="I81">
            <v>0</v>
          </cell>
          <cell r="J81">
            <v>1206499</v>
          </cell>
          <cell r="L81">
            <v>897292</v>
          </cell>
        </row>
        <row r="82">
          <cell r="C82">
            <v>0</v>
          </cell>
          <cell r="D82">
            <v>0</v>
          </cell>
          <cell r="F82">
            <v>0</v>
          </cell>
          <cell r="G82">
            <v>0</v>
          </cell>
          <cell r="J82">
            <v>0</v>
          </cell>
          <cell r="L82">
            <v>0</v>
          </cell>
        </row>
        <row r="83">
          <cell r="C83">
            <v>75937.709999999992</v>
          </cell>
          <cell r="D83">
            <v>42187.616666666661</v>
          </cell>
          <cell r="E83">
            <v>774211.3833333333</v>
          </cell>
          <cell r="F83">
            <v>816399</v>
          </cell>
          <cell r="G83">
            <v>785684</v>
          </cell>
          <cell r="J83">
            <v>816399</v>
          </cell>
          <cell r="L83">
            <v>785684</v>
          </cell>
        </row>
        <row r="84">
          <cell r="C84">
            <v>1276513.54</v>
          </cell>
          <cell r="D84">
            <v>709174.18888888892</v>
          </cell>
          <cell r="E84">
            <v>-431887.18888888892</v>
          </cell>
          <cell r="F84">
            <v>277287</v>
          </cell>
          <cell r="G84">
            <v>266219</v>
          </cell>
          <cell r="J84">
            <v>277287</v>
          </cell>
          <cell r="L84">
            <v>266219</v>
          </cell>
        </row>
        <row r="85">
          <cell r="C85">
            <v>131494.24</v>
          </cell>
          <cell r="D85">
            <v>73052.35555555555</v>
          </cell>
          <cell r="E85">
            <v>39760.64444444445</v>
          </cell>
          <cell r="F85">
            <v>112813</v>
          </cell>
          <cell r="G85">
            <v>99722</v>
          </cell>
          <cell r="J85">
            <v>112813</v>
          </cell>
          <cell r="L85">
            <v>99722</v>
          </cell>
        </row>
        <row r="86">
          <cell r="C86">
            <v>0</v>
          </cell>
          <cell r="D86">
            <v>0</v>
          </cell>
          <cell r="F86">
            <v>0</v>
          </cell>
          <cell r="G86">
            <v>0</v>
          </cell>
          <cell r="J86">
            <v>0</v>
          </cell>
          <cell r="L86">
            <v>0</v>
          </cell>
        </row>
        <row r="87">
          <cell r="C87">
            <v>0</v>
          </cell>
          <cell r="D87">
            <v>0</v>
          </cell>
          <cell r="F87">
            <v>0</v>
          </cell>
          <cell r="G87">
            <v>0</v>
          </cell>
          <cell r="J87">
            <v>0</v>
          </cell>
          <cell r="L87">
            <v>0</v>
          </cell>
        </row>
        <row r="88">
          <cell r="C88">
            <v>25186.17</v>
          </cell>
          <cell r="D88">
            <v>13992.316666666666</v>
          </cell>
          <cell r="E88">
            <v>6713.6833333333343</v>
          </cell>
          <cell r="F88">
            <v>20706</v>
          </cell>
          <cell r="G88">
            <v>20706</v>
          </cell>
          <cell r="I88">
            <v>0</v>
          </cell>
          <cell r="J88">
            <v>20706</v>
          </cell>
          <cell r="L88">
            <v>20706</v>
          </cell>
        </row>
        <row r="89">
          <cell r="C89">
            <v>25186.17</v>
          </cell>
          <cell r="D89">
            <v>13992.316666666666</v>
          </cell>
          <cell r="E89">
            <v>6713.6833333333343</v>
          </cell>
          <cell r="F89">
            <v>20706</v>
          </cell>
          <cell r="G89">
            <v>20706</v>
          </cell>
          <cell r="I89">
            <v>0</v>
          </cell>
          <cell r="J89">
            <v>20706</v>
          </cell>
          <cell r="L89">
            <v>20706</v>
          </cell>
        </row>
        <row r="90">
          <cell r="C90">
            <v>0</v>
          </cell>
          <cell r="D90">
            <v>0</v>
          </cell>
          <cell r="F90">
            <v>0</v>
          </cell>
          <cell r="G90">
            <v>0</v>
          </cell>
          <cell r="J90">
            <v>0</v>
          </cell>
          <cell r="L90">
            <v>0</v>
          </cell>
        </row>
        <row r="91">
          <cell r="C91">
            <v>25186.17</v>
          </cell>
          <cell r="D91">
            <v>13992.316666666666</v>
          </cell>
          <cell r="E91">
            <v>6713.6833333333343</v>
          </cell>
          <cell r="F91">
            <v>20706</v>
          </cell>
          <cell r="G91">
            <v>20706</v>
          </cell>
          <cell r="J91">
            <v>20706</v>
          </cell>
          <cell r="L91">
            <v>20706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I92">
            <v>0</v>
          </cell>
          <cell r="J92">
            <v>0</v>
          </cell>
          <cell r="L92">
            <v>0</v>
          </cell>
        </row>
        <row r="93">
          <cell r="C93">
            <v>0</v>
          </cell>
          <cell r="D93">
            <v>0</v>
          </cell>
          <cell r="F93">
            <v>0</v>
          </cell>
          <cell r="G93">
            <v>0</v>
          </cell>
          <cell r="J93">
            <v>0</v>
          </cell>
          <cell r="L93">
            <v>0</v>
          </cell>
        </row>
        <row r="94">
          <cell r="C94">
            <v>0</v>
          </cell>
          <cell r="D94">
            <v>0</v>
          </cell>
          <cell r="F94">
            <v>0</v>
          </cell>
          <cell r="G94">
            <v>0</v>
          </cell>
          <cell r="J94">
            <v>0</v>
          </cell>
          <cell r="L94">
            <v>0</v>
          </cell>
        </row>
        <row r="96">
          <cell r="C96">
            <v>18036444.379999999</v>
          </cell>
          <cell r="D96">
            <v>10020246.877777778</v>
          </cell>
          <cell r="E96">
            <v>-1045193.0000000003</v>
          </cell>
          <cell r="F96">
            <v>8975053.8777777776</v>
          </cell>
          <cell r="G96">
            <v>7810282.2213527113</v>
          </cell>
          <cell r="I96">
            <v>-84938</v>
          </cell>
          <cell r="J96">
            <v>8890115.8777777776</v>
          </cell>
          <cell r="L96">
            <v>14992915.321192052</v>
          </cell>
        </row>
        <row r="97">
          <cell r="C97">
            <v>6302916.8200000003</v>
          </cell>
          <cell r="D97">
            <v>3501620.4555555559</v>
          </cell>
          <cell r="E97">
            <v>-1073350.25</v>
          </cell>
          <cell r="F97">
            <v>2428270.2055555559</v>
          </cell>
          <cell r="G97">
            <v>2224731.263275573</v>
          </cell>
          <cell r="I97">
            <v>55714</v>
          </cell>
          <cell r="J97">
            <v>2483984.2055555554</v>
          </cell>
          <cell r="L97">
            <v>8213744.2632450331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I98">
            <v>0</v>
          </cell>
          <cell r="J98">
            <v>0</v>
          </cell>
          <cell r="L98">
            <v>0</v>
          </cell>
        </row>
        <row r="99">
          <cell r="C99">
            <v>0</v>
          </cell>
          <cell r="D99">
            <v>0</v>
          </cell>
          <cell r="F99">
            <v>0</v>
          </cell>
          <cell r="G99">
            <v>0</v>
          </cell>
          <cell r="I99">
            <v>0</v>
          </cell>
          <cell r="J99">
            <v>0</v>
          </cell>
          <cell r="L99">
            <v>0</v>
          </cell>
        </row>
        <row r="100">
          <cell r="C100">
            <v>956015.14</v>
          </cell>
          <cell r="D100">
            <v>531119.52222222218</v>
          </cell>
          <cell r="E100">
            <v>-163455.18</v>
          </cell>
          <cell r="F100">
            <v>367664.34222222219</v>
          </cell>
          <cell r="G100">
            <v>240611.5707098938</v>
          </cell>
          <cell r="I100">
            <v>0</v>
          </cell>
          <cell r="J100">
            <v>367664.34222222219</v>
          </cell>
          <cell r="L100">
            <v>240611.5707098938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L101">
            <v>0</v>
          </cell>
        </row>
        <row r="102">
          <cell r="C102">
            <v>0</v>
          </cell>
          <cell r="D102">
            <v>0</v>
          </cell>
          <cell r="F102">
            <v>0</v>
          </cell>
          <cell r="G102">
            <v>0</v>
          </cell>
          <cell r="J102">
            <v>0</v>
          </cell>
          <cell r="L102">
            <v>0</v>
          </cell>
        </row>
        <row r="103">
          <cell r="C103">
            <v>0</v>
          </cell>
          <cell r="D103">
            <v>0</v>
          </cell>
          <cell r="F103">
            <v>0</v>
          </cell>
          <cell r="G103">
            <v>0</v>
          </cell>
          <cell r="J103">
            <v>0</v>
          </cell>
          <cell r="L103">
            <v>0</v>
          </cell>
        </row>
        <row r="104">
          <cell r="C104">
            <v>0</v>
          </cell>
          <cell r="D104">
            <v>0</v>
          </cell>
          <cell r="F104">
            <v>0</v>
          </cell>
          <cell r="G104">
            <v>0</v>
          </cell>
          <cell r="J104">
            <v>0</v>
          </cell>
          <cell r="L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I105">
            <v>0</v>
          </cell>
          <cell r="J105">
            <v>0</v>
          </cell>
          <cell r="L105">
            <v>0</v>
          </cell>
        </row>
        <row r="106">
          <cell r="C106">
            <v>0</v>
          </cell>
          <cell r="D106">
            <v>0</v>
          </cell>
          <cell r="F106">
            <v>0</v>
          </cell>
          <cell r="G106">
            <v>0</v>
          </cell>
          <cell r="J106">
            <v>0</v>
          </cell>
          <cell r="L106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J107">
            <v>0</v>
          </cell>
          <cell r="L107">
            <v>0</v>
          </cell>
        </row>
        <row r="108">
          <cell r="C108">
            <v>0</v>
          </cell>
          <cell r="D108">
            <v>0</v>
          </cell>
          <cell r="F108">
            <v>0</v>
          </cell>
          <cell r="G108">
            <v>0</v>
          </cell>
          <cell r="J108">
            <v>0</v>
          </cell>
          <cell r="L108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0</v>
          </cell>
          <cell r="J109">
            <v>0</v>
          </cell>
          <cell r="L109">
            <v>0</v>
          </cell>
        </row>
        <row r="110">
          <cell r="C110">
            <v>5346901.6800000006</v>
          </cell>
          <cell r="D110">
            <v>2970500.9333333336</v>
          </cell>
          <cell r="E110">
            <v>-909895.07000000007</v>
          </cell>
          <cell r="F110">
            <v>2060605.8633333335</v>
          </cell>
          <cell r="G110">
            <v>1984119.6925656793</v>
          </cell>
          <cell r="I110">
            <v>55714</v>
          </cell>
          <cell r="J110">
            <v>2116319.8633333333</v>
          </cell>
          <cell r="L110">
            <v>7972349.925496689</v>
          </cell>
        </row>
        <row r="111">
          <cell r="C111">
            <v>0</v>
          </cell>
          <cell r="D111">
            <v>0</v>
          </cell>
          <cell r="F111">
            <v>0</v>
          </cell>
          <cell r="G111">
            <v>0</v>
          </cell>
          <cell r="J111">
            <v>0</v>
          </cell>
          <cell r="L111">
            <v>0</v>
          </cell>
        </row>
        <row r="112">
          <cell r="C112">
            <v>3039313.1000000006</v>
          </cell>
          <cell r="D112">
            <v>1688507.277777778</v>
          </cell>
          <cell r="E112">
            <v>-956107.79</v>
          </cell>
          <cell r="F112">
            <v>732399.48777777795</v>
          </cell>
          <cell r="G112">
            <v>804746.75796534377</v>
          </cell>
          <cell r="H112" t="str">
            <v>A4.4.3</v>
          </cell>
          <cell r="I112">
            <v>55714</v>
          </cell>
          <cell r="J112">
            <v>788113.48777777795</v>
          </cell>
          <cell r="L112">
            <v>825049.75796534377</v>
          </cell>
        </row>
        <row r="113">
          <cell r="C113">
            <v>2307561.62</v>
          </cell>
          <cell r="D113">
            <v>1281978.6777777779</v>
          </cell>
          <cell r="E113">
            <v>46227.700000000004</v>
          </cell>
          <cell r="F113">
            <v>1328206.3777777778</v>
          </cell>
          <cell r="G113">
            <v>1179357.864728899</v>
          </cell>
          <cell r="J113">
            <v>1328206.3777777778</v>
          </cell>
          <cell r="L113">
            <v>1179357.864728899</v>
          </cell>
        </row>
        <row r="114">
          <cell r="C114">
            <v>26.96</v>
          </cell>
          <cell r="D114">
            <v>14.977777777777778</v>
          </cell>
          <cell r="E114">
            <v>-14.98</v>
          </cell>
          <cell r="F114">
            <v>-2.2222222222225696E-3</v>
          </cell>
          <cell r="G114">
            <v>15.069871436556737</v>
          </cell>
          <cell r="J114">
            <v>-2.2222222222225696E-3</v>
          </cell>
          <cell r="L114">
            <v>15.069871436556737</v>
          </cell>
        </row>
        <row r="115">
          <cell r="C115">
            <v>0</v>
          </cell>
          <cell r="D115">
            <v>0</v>
          </cell>
          <cell r="F115">
            <v>0</v>
          </cell>
          <cell r="G115">
            <v>0</v>
          </cell>
          <cell r="J115">
            <v>0</v>
          </cell>
          <cell r="L115">
            <v>0</v>
          </cell>
        </row>
        <row r="116">
          <cell r="C116">
            <v>0</v>
          </cell>
          <cell r="D116">
            <v>0</v>
          </cell>
          <cell r="F116">
            <v>0</v>
          </cell>
          <cell r="G116">
            <v>0</v>
          </cell>
          <cell r="J116">
            <v>0</v>
          </cell>
          <cell r="L116">
            <v>0</v>
          </cell>
        </row>
        <row r="117">
          <cell r="C117">
            <v>152321.54999999999</v>
          </cell>
          <cell r="D117">
            <v>84623.083333333328</v>
          </cell>
          <cell r="E117">
            <v>0</v>
          </cell>
          <cell r="F117">
            <v>84623.083333333328</v>
          </cell>
          <cell r="G117">
            <v>0</v>
          </cell>
          <cell r="I117">
            <v>42672</v>
          </cell>
          <cell r="J117">
            <v>127295.08333333333</v>
          </cell>
          <cell r="L117">
            <v>121344</v>
          </cell>
        </row>
        <row r="118">
          <cell r="C118">
            <v>152321.54999999999</v>
          </cell>
          <cell r="D118">
            <v>84623.083333333328</v>
          </cell>
          <cell r="E118">
            <v>0</v>
          </cell>
          <cell r="F118">
            <v>84623.083333333328</v>
          </cell>
          <cell r="G118">
            <v>0</v>
          </cell>
          <cell r="I118">
            <v>0</v>
          </cell>
          <cell r="J118">
            <v>84623.083333333328</v>
          </cell>
          <cell r="L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I119">
            <v>0</v>
          </cell>
          <cell r="J119">
            <v>0</v>
          </cell>
          <cell r="L119">
            <v>0</v>
          </cell>
        </row>
        <row r="120">
          <cell r="C120">
            <v>0</v>
          </cell>
          <cell r="D120">
            <v>0</v>
          </cell>
          <cell r="F120">
            <v>0</v>
          </cell>
          <cell r="G120">
            <v>0</v>
          </cell>
          <cell r="J120">
            <v>0</v>
          </cell>
          <cell r="L120">
            <v>0</v>
          </cell>
        </row>
        <row r="121">
          <cell r="C121">
            <v>0</v>
          </cell>
          <cell r="D121">
            <v>0</v>
          </cell>
          <cell r="F121">
            <v>0</v>
          </cell>
          <cell r="G121">
            <v>0</v>
          </cell>
          <cell r="J121">
            <v>0</v>
          </cell>
          <cell r="L121">
            <v>0</v>
          </cell>
        </row>
        <row r="122">
          <cell r="C122">
            <v>0</v>
          </cell>
          <cell r="D122">
            <v>0</v>
          </cell>
          <cell r="F122">
            <v>0</v>
          </cell>
          <cell r="G122">
            <v>0</v>
          </cell>
          <cell r="J122">
            <v>0</v>
          </cell>
          <cell r="L122">
            <v>0</v>
          </cell>
        </row>
        <row r="123">
          <cell r="C123">
            <v>0</v>
          </cell>
          <cell r="D123">
            <v>0</v>
          </cell>
          <cell r="F123">
            <v>0</v>
          </cell>
          <cell r="G123">
            <v>0</v>
          </cell>
          <cell r="J123">
            <v>0</v>
          </cell>
          <cell r="L123">
            <v>0</v>
          </cell>
        </row>
        <row r="124">
          <cell r="C124">
            <v>0</v>
          </cell>
          <cell r="D124">
            <v>0</v>
          </cell>
          <cell r="F124">
            <v>0</v>
          </cell>
          <cell r="G124">
            <v>0</v>
          </cell>
          <cell r="J124">
            <v>0</v>
          </cell>
          <cell r="L124">
            <v>0</v>
          </cell>
        </row>
        <row r="125">
          <cell r="C125">
            <v>0</v>
          </cell>
          <cell r="D125">
            <v>0</v>
          </cell>
          <cell r="F125">
            <v>0</v>
          </cell>
          <cell r="G125">
            <v>0</v>
          </cell>
          <cell r="J125">
            <v>0</v>
          </cell>
          <cell r="L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I126">
            <v>42672</v>
          </cell>
          <cell r="J126">
            <v>42672</v>
          </cell>
          <cell r="L126">
            <v>121344</v>
          </cell>
        </row>
        <row r="127">
          <cell r="C127">
            <v>0</v>
          </cell>
          <cell r="D127">
            <v>0</v>
          </cell>
          <cell r="F127">
            <v>0</v>
          </cell>
          <cell r="G127">
            <v>0</v>
          </cell>
          <cell r="J127">
            <v>0</v>
          </cell>
          <cell r="L127">
            <v>0</v>
          </cell>
        </row>
        <row r="128">
          <cell r="C128">
            <v>0</v>
          </cell>
          <cell r="D128">
            <v>0</v>
          </cell>
          <cell r="F128">
            <v>0</v>
          </cell>
          <cell r="G128">
            <v>0</v>
          </cell>
          <cell r="J128">
            <v>0</v>
          </cell>
          <cell r="L128">
            <v>0</v>
          </cell>
        </row>
        <row r="129">
          <cell r="C129">
            <v>0</v>
          </cell>
          <cell r="D129">
            <v>0</v>
          </cell>
          <cell r="F129">
            <v>0</v>
          </cell>
          <cell r="G129">
            <v>0</v>
          </cell>
          <cell r="J129">
            <v>0</v>
          </cell>
          <cell r="L129">
            <v>0</v>
          </cell>
        </row>
        <row r="130">
          <cell r="C130">
            <v>0</v>
          </cell>
          <cell r="D130">
            <v>0</v>
          </cell>
          <cell r="F130">
            <v>0</v>
          </cell>
          <cell r="G130">
            <v>0</v>
          </cell>
          <cell r="H130" t="str">
            <v>A4.4.3</v>
          </cell>
          <cell r="I130">
            <v>42672</v>
          </cell>
          <cell r="J130">
            <v>42672</v>
          </cell>
          <cell r="L130">
            <v>154285</v>
          </cell>
        </row>
        <row r="131">
          <cell r="C131">
            <v>0</v>
          </cell>
          <cell r="D131">
            <v>0</v>
          </cell>
          <cell r="F131">
            <v>0</v>
          </cell>
          <cell r="G131">
            <v>0</v>
          </cell>
          <cell r="J131">
            <v>0</v>
          </cell>
          <cell r="L131">
            <v>0</v>
          </cell>
        </row>
        <row r="132">
          <cell r="C132">
            <v>0</v>
          </cell>
          <cell r="D132">
            <v>0</v>
          </cell>
          <cell r="F132">
            <v>0</v>
          </cell>
          <cell r="G132">
            <v>0</v>
          </cell>
          <cell r="J132">
            <v>0</v>
          </cell>
          <cell r="L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I133">
            <v>0</v>
          </cell>
          <cell r="J133">
            <v>0</v>
          </cell>
          <cell r="L133">
            <v>0</v>
          </cell>
        </row>
        <row r="134">
          <cell r="C134">
            <v>11581206.01</v>
          </cell>
          <cell r="D134">
            <v>6434003.3388888882</v>
          </cell>
          <cell r="E134">
            <v>28157.24999999968</v>
          </cell>
          <cell r="F134">
            <v>6462160.5888888892</v>
          </cell>
          <cell r="G134">
            <v>5585550.9580771383</v>
          </cell>
          <cell r="I134">
            <v>-183324</v>
          </cell>
          <cell r="J134">
            <v>6278836.5888888892</v>
          </cell>
          <cell r="L134">
            <v>5351205.9580771383</v>
          </cell>
        </row>
        <row r="135">
          <cell r="C135">
            <v>9910678.9499999993</v>
          </cell>
          <cell r="D135">
            <v>5505932.75</v>
          </cell>
          <cell r="E135">
            <v>79618.24999999968</v>
          </cell>
          <cell r="F135">
            <v>5585551</v>
          </cell>
          <cell r="G135">
            <v>6766633</v>
          </cell>
          <cell r="I135">
            <v>-234345</v>
          </cell>
          <cell r="J135">
            <v>5351206</v>
          </cell>
          <cell r="L135">
            <v>6657827</v>
          </cell>
        </row>
        <row r="136">
          <cell r="C136">
            <v>1950000</v>
          </cell>
          <cell r="D136">
            <v>1083333.3333333333</v>
          </cell>
          <cell r="E136">
            <v>294708.66666666674</v>
          </cell>
          <cell r="F136">
            <v>1378042</v>
          </cell>
          <cell r="G136">
            <v>1378042</v>
          </cell>
          <cell r="J136">
            <v>1378042</v>
          </cell>
          <cell r="L136">
            <v>1378042</v>
          </cell>
        </row>
        <row r="137">
          <cell r="C137">
            <v>0</v>
          </cell>
          <cell r="D137">
            <v>0</v>
          </cell>
          <cell r="F137">
            <v>0</v>
          </cell>
          <cell r="G137">
            <v>0</v>
          </cell>
          <cell r="J137">
            <v>0</v>
          </cell>
          <cell r="L137">
            <v>0</v>
          </cell>
        </row>
        <row r="138">
          <cell r="C138">
            <v>0</v>
          </cell>
          <cell r="D138">
            <v>0</v>
          </cell>
          <cell r="F138">
            <v>0</v>
          </cell>
          <cell r="G138">
            <v>0</v>
          </cell>
          <cell r="J138">
            <v>0</v>
          </cell>
          <cell r="L138">
            <v>0</v>
          </cell>
        </row>
        <row r="139">
          <cell r="C139">
            <v>0</v>
          </cell>
          <cell r="D139">
            <v>0</v>
          </cell>
          <cell r="F139">
            <v>0</v>
          </cell>
          <cell r="G139">
            <v>0</v>
          </cell>
          <cell r="J139">
            <v>0</v>
          </cell>
          <cell r="L139">
            <v>0</v>
          </cell>
        </row>
        <row r="140">
          <cell r="C140">
            <v>0</v>
          </cell>
          <cell r="D140">
            <v>0</v>
          </cell>
          <cell r="F140">
            <v>0</v>
          </cell>
          <cell r="G140">
            <v>0</v>
          </cell>
          <cell r="J140">
            <v>0</v>
          </cell>
          <cell r="L140">
            <v>0</v>
          </cell>
        </row>
        <row r="141">
          <cell r="C141">
            <v>0</v>
          </cell>
          <cell r="D141">
            <v>0</v>
          </cell>
          <cell r="F141">
            <v>0</v>
          </cell>
          <cell r="G141">
            <v>0</v>
          </cell>
          <cell r="J141">
            <v>0</v>
          </cell>
          <cell r="L141">
            <v>0</v>
          </cell>
        </row>
        <row r="142">
          <cell r="C142">
            <v>245153.59</v>
          </cell>
          <cell r="D142">
            <v>136196.43888888889</v>
          </cell>
          <cell r="E142">
            <v>-136196.43888888889</v>
          </cell>
          <cell r="F142">
            <v>0</v>
          </cell>
          <cell r="G142">
            <v>0</v>
          </cell>
          <cell r="J142">
            <v>0</v>
          </cell>
          <cell r="L142">
            <v>0</v>
          </cell>
        </row>
        <row r="143">
          <cell r="C143">
            <v>0</v>
          </cell>
          <cell r="D143">
            <v>0</v>
          </cell>
          <cell r="F143">
            <v>0</v>
          </cell>
          <cell r="G143">
            <v>0</v>
          </cell>
          <cell r="J143">
            <v>0</v>
          </cell>
          <cell r="L143">
            <v>0</v>
          </cell>
        </row>
        <row r="144">
          <cell r="C144">
            <v>0</v>
          </cell>
          <cell r="D144">
            <v>0</v>
          </cell>
          <cell r="F144">
            <v>0</v>
          </cell>
          <cell r="G144">
            <v>0</v>
          </cell>
          <cell r="J144">
            <v>0</v>
          </cell>
          <cell r="L144">
            <v>0</v>
          </cell>
        </row>
        <row r="145">
          <cell r="C145">
            <v>7715525.3600000003</v>
          </cell>
          <cell r="D145">
            <v>4286402.9777777782</v>
          </cell>
          <cell r="E145">
            <v>-78893.977777778171</v>
          </cell>
          <cell r="F145">
            <v>4207509</v>
          </cell>
          <cell r="G145">
            <v>5388591</v>
          </cell>
          <cell r="H145" t="str">
            <v>A4.4.3</v>
          </cell>
          <cell r="I145">
            <v>-234345</v>
          </cell>
          <cell r="J145">
            <v>3973164</v>
          </cell>
          <cell r="L145">
            <v>5279785</v>
          </cell>
        </row>
        <row r="146">
          <cell r="C146">
            <v>0</v>
          </cell>
          <cell r="D146">
            <v>0</v>
          </cell>
          <cell r="F146">
            <v>0</v>
          </cell>
          <cell r="G146">
            <v>0</v>
          </cell>
          <cell r="J146">
            <v>0</v>
          </cell>
          <cell r="L146">
            <v>0</v>
          </cell>
        </row>
        <row r="147">
          <cell r="C147">
            <v>0</v>
          </cell>
          <cell r="D147">
            <v>0</v>
          </cell>
          <cell r="F147">
            <v>0</v>
          </cell>
          <cell r="G147">
            <v>0</v>
          </cell>
          <cell r="J147">
            <v>0</v>
          </cell>
          <cell r="L147">
            <v>0</v>
          </cell>
        </row>
        <row r="148">
          <cell r="C148">
            <v>0</v>
          </cell>
          <cell r="D148">
            <v>0</v>
          </cell>
          <cell r="F148">
            <v>0</v>
          </cell>
          <cell r="G148">
            <v>0</v>
          </cell>
          <cell r="J148">
            <v>0</v>
          </cell>
          <cell r="L148">
            <v>0</v>
          </cell>
        </row>
        <row r="149">
          <cell r="C149">
            <v>1670527.06</v>
          </cell>
          <cell r="D149">
            <v>928070.58888888895</v>
          </cell>
          <cell r="E149">
            <v>-51461</v>
          </cell>
          <cell r="F149">
            <v>876609.58888888895</v>
          </cell>
          <cell r="G149">
            <v>-1181082.0419228617</v>
          </cell>
          <cell r="I149">
            <v>51021</v>
          </cell>
          <cell r="J149">
            <v>927630.58888888895</v>
          </cell>
          <cell r="L149">
            <v>-1306621.0419228617</v>
          </cell>
        </row>
        <row r="151">
          <cell r="C151">
            <v>1670527.0600000024</v>
          </cell>
          <cell r="D151">
            <v>941912.08999999962</v>
          </cell>
          <cell r="E151">
            <v>-65302.529999999329</v>
          </cell>
          <cell r="F151">
            <v>876609.56000000099</v>
          </cell>
          <cell r="G151">
            <v>-1181082.2799999993</v>
          </cell>
          <cell r="I151">
            <v>51021.399999999994</v>
          </cell>
          <cell r="J151">
            <v>927630.96000000136</v>
          </cell>
          <cell r="L151">
            <v>-1306621.2799999993</v>
          </cell>
        </row>
        <row r="152">
          <cell r="C152">
            <v>15556208.180000002</v>
          </cell>
          <cell r="D152">
            <v>8744027.0899999999</v>
          </cell>
          <cell r="E152">
            <v>865.97000000067055</v>
          </cell>
          <cell r="F152">
            <v>8744893.0600000005</v>
          </cell>
          <cell r="G152">
            <v>8140589.6900000004</v>
          </cell>
          <cell r="J152">
            <v>8744893.0600000005</v>
          </cell>
          <cell r="L152">
            <v>8140589.6900000004</v>
          </cell>
        </row>
        <row r="153">
          <cell r="C153">
            <v>0</v>
          </cell>
          <cell r="D153">
            <v>0</v>
          </cell>
          <cell r="F153">
            <v>0</v>
          </cell>
          <cell r="G153">
            <v>0</v>
          </cell>
          <cell r="J153">
            <v>0</v>
          </cell>
          <cell r="L153">
            <v>0</v>
          </cell>
        </row>
        <row r="154">
          <cell r="C154">
            <v>15556208.180000002</v>
          </cell>
          <cell r="D154">
            <v>8744027.0899999999</v>
          </cell>
          <cell r="E154">
            <v>865.97000000067055</v>
          </cell>
          <cell r="F154">
            <v>8744893.0600000005</v>
          </cell>
          <cell r="G154">
            <v>8140589.6900000004</v>
          </cell>
          <cell r="I154">
            <v>0</v>
          </cell>
          <cell r="J154">
            <v>8744893.0600000005</v>
          </cell>
          <cell r="L154">
            <v>8140589.6900000004</v>
          </cell>
        </row>
        <row r="155">
          <cell r="C155">
            <v>-12661586.189999999</v>
          </cell>
          <cell r="D155">
            <v>-7113580.3700000001</v>
          </cell>
          <cell r="E155">
            <v>-9328.32</v>
          </cell>
          <cell r="F155">
            <v>-7122908.6899999995</v>
          </cell>
          <cell r="G155">
            <v>-7008903.8499999996</v>
          </cell>
          <cell r="I155">
            <v>111613.9</v>
          </cell>
          <cell r="J155">
            <v>-7011294.7899999991</v>
          </cell>
          <cell r="L155">
            <v>-7041844.8499999996</v>
          </cell>
        </row>
        <row r="156">
          <cell r="C156">
            <v>0</v>
          </cell>
          <cell r="D156">
            <v>0</v>
          </cell>
          <cell r="F156">
            <v>0</v>
          </cell>
          <cell r="G156">
            <v>0</v>
          </cell>
          <cell r="J156">
            <v>0</v>
          </cell>
          <cell r="L156">
            <v>0</v>
          </cell>
        </row>
        <row r="157">
          <cell r="C157">
            <v>0</v>
          </cell>
          <cell r="D157">
            <v>0</v>
          </cell>
          <cell r="F157">
            <v>0</v>
          </cell>
          <cell r="G157">
            <v>0</v>
          </cell>
          <cell r="J157">
            <v>0</v>
          </cell>
          <cell r="L157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J158">
            <v>0</v>
          </cell>
          <cell r="L158">
            <v>0</v>
          </cell>
        </row>
        <row r="159">
          <cell r="C159">
            <v>0</v>
          </cell>
          <cell r="D159">
            <v>0</v>
          </cell>
          <cell r="F159">
            <v>0</v>
          </cell>
          <cell r="G159">
            <v>0</v>
          </cell>
          <cell r="H159" t="str">
            <v>A4.4.3</v>
          </cell>
          <cell r="I159">
            <v>150086.39999999999</v>
          </cell>
          <cell r="J159">
            <v>150086.39999999999</v>
          </cell>
          <cell r="L159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J160">
            <v>0</v>
          </cell>
          <cell r="L160">
            <v>0</v>
          </cell>
        </row>
        <row r="161">
          <cell r="C161">
            <v>-8604618.8599999994</v>
          </cell>
          <cell r="D161">
            <v>-4833134.8999999994</v>
          </cell>
          <cell r="E161">
            <v>2068.11</v>
          </cell>
          <cell r="F161">
            <v>-4831066.7899999991</v>
          </cell>
          <cell r="G161">
            <v>-3149962.47</v>
          </cell>
          <cell r="J161">
            <v>-4831066.7899999991</v>
          </cell>
          <cell r="L161">
            <v>-3149962.47</v>
          </cell>
        </row>
        <row r="162">
          <cell r="C162">
            <v>0</v>
          </cell>
          <cell r="D162">
            <v>0</v>
          </cell>
          <cell r="F162">
            <v>0</v>
          </cell>
          <cell r="G162">
            <v>0</v>
          </cell>
          <cell r="J162">
            <v>0</v>
          </cell>
          <cell r="L162">
            <v>0</v>
          </cell>
        </row>
        <row r="163">
          <cell r="C163">
            <v>0</v>
          </cell>
          <cell r="D163">
            <v>0</v>
          </cell>
          <cell r="F163">
            <v>0</v>
          </cell>
          <cell r="G163">
            <v>0</v>
          </cell>
          <cell r="J163">
            <v>0</v>
          </cell>
          <cell r="L163">
            <v>0</v>
          </cell>
        </row>
        <row r="164">
          <cell r="C164">
            <v>0</v>
          </cell>
          <cell r="D164">
            <v>0</v>
          </cell>
          <cell r="F164">
            <v>0</v>
          </cell>
          <cell r="G164">
            <v>0</v>
          </cell>
          <cell r="J164">
            <v>0</v>
          </cell>
          <cell r="L164">
            <v>0</v>
          </cell>
        </row>
        <row r="165">
          <cell r="C165">
            <v>-4219409.7700000005</v>
          </cell>
          <cell r="D165">
            <v>-2371279.66</v>
          </cell>
          <cell r="E165">
            <v>-12557.34</v>
          </cell>
          <cell r="F165">
            <v>-2383837</v>
          </cell>
          <cell r="G165">
            <v>-4035371.04</v>
          </cell>
          <cell r="J165">
            <v>-2383837</v>
          </cell>
          <cell r="L165">
            <v>-4035371.04</v>
          </cell>
        </row>
        <row r="166">
          <cell r="C166">
            <v>0</v>
          </cell>
          <cell r="D166">
            <v>0</v>
          </cell>
          <cell r="F166">
            <v>0</v>
          </cell>
          <cell r="G166">
            <v>0</v>
          </cell>
          <cell r="H166" t="str">
            <v>A4.4.3</v>
          </cell>
          <cell r="I166">
            <v>-38472.5</v>
          </cell>
          <cell r="J166">
            <v>-38472.5</v>
          </cell>
          <cell r="L166">
            <v>-32941</v>
          </cell>
        </row>
        <row r="167">
          <cell r="C167">
            <v>-17763.669999999998</v>
          </cell>
          <cell r="D167">
            <v>-10000.74</v>
          </cell>
          <cell r="E167">
            <v>1279.2399999999998</v>
          </cell>
          <cell r="F167">
            <v>-8721.5</v>
          </cell>
          <cell r="G167">
            <v>-52440</v>
          </cell>
          <cell r="J167">
            <v>-8721.5</v>
          </cell>
          <cell r="L167">
            <v>-52440</v>
          </cell>
        </row>
        <row r="168">
          <cell r="C168">
            <v>180206.11</v>
          </cell>
          <cell r="D168">
            <v>100834.93000000001</v>
          </cell>
          <cell r="E168">
            <v>-118.33</v>
          </cell>
          <cell r="F168">
            <v>100716.6</v>
          </cell>
          <cell r="G168">
            <v>228869.66</v>
          </cell>
          <cell r="J168">
            <v>100716.6</v>
          </cell>
          <cell r="L168">
            <v>228869.66</v>
          </cell>
        </row>
        <row r="169">
          <cell r="C169">
            <v>0</v>
          </cell>
          <cell r="D169">
            <v>0</v>
          </cell>
          <cell r="F169">
            <v>0</v>
          </cell>
          <cell r="G169">
            <v>0</v>
          </cell>
          <cell r="J169">
            <v>0</v>
          </cell>
          <cell r="L169">
            <v>0</v>
          </cell>
        </row>
        <row r="170">
          <cell r="C170">
            <v>0</v>
          </cell>
          <cell r="D170">
            <v>0</v>
          </cell>
          <cell r="F170">
            <v>0</v>
          </cell>
          <cell r="G170">
            <v>0</v>
          </cell>
          <cell r="J170">
            <v>0</v>
          </cell>
          <cell r="L170">
            <v>0</v>
          </cell>
        </row>
        <row r="171">
          <cell r="C171">
            <v>-54059.360000000001</v>
          </cell>
          <cell r="D171">
            <v>-30012.34</v>
          </cell>
          <cell r="E171">
            <v>-24861.66</v>
          </cell>
          <cell r="F171">
            <v>-54874</v>
          </cell>
          <cell r="G171">
            <v>-284930</v>
          </cell>
          <cell r="I171">
            <v>0</v>
          </cell>
          <cell r="J171">
            <v>-54874</v>
          </cell>
          <cell r="L171">
            <v>-284930</v>
          </cell>
        </row>
        <row r="172">
          <cell r="C172">
            <v>0</v>
          </cell>
          <cell r="D172">
            <v>0</v>
          </cell>
          <cell r="F172">
            <v>0</v>
          </cell>
          <cell r="G172">
            <v>0</v>
          </cell>
          <cell r="J172">
            <v>0</v>
          </cell>
          <cell r="L172">
            <v>0</v>
          </cell>
        </row>
        <row r="173">
          <cell r="C173">
            <v>0</v>
          </cell>
          <cell r="D173">
            <v>0</v>
          </cell>
          <cell r="F173">
            <v>0</v>
          </cell>
          <cell r="G173">
            <v>0</v>
          </cell>
          <cell r="J173">
            <v>0</v>
          </cell>
          <cell r="L173">
            <v>0</v>
          </cell>
        </row>
        <row r="174">
          <cell r="C174">
            <v>0</v>
          </cell>
          <cell r="D174">
            <v>0</v>
          </cell>
          <cell r="F174">
            <v>0</v>
          </cell>
          <cell r="G174">
            <v>0</v>
          </cell>
          <cell r="J174">
            <v>0</v>
          </cell>
          <cell r="L174">
            <v>0</v>
          </cell>
        </row>
        <row r="175">
          <cell r="C175">
            <v>-54059.360000000001</v>
          </cell>
          <cell r="D175">
            <v>-30012.34</v>
          </cell>
          <cell r="E175">
            <v>-24861.66</v>
          </cell>
          <cell r="F175">
            <v>-54874</v>
          </cell>
          <cell r="G175">
            <v>-284930</v>
          </cell>
          <cell r="J175">
            <v>-54874</v>
          </cell>
          <cell r="L175">
            <v>-284930</v>
          </cell>
        </row>
        <row r="176">
          <cell r="C176">
            <v>-199718.16999999998</v>
          </cell>
          <cell r="D176">
            <v>-111501.42</v>
          </cell>
          <cell r="E176">
            <v>16477.159999999996</v>
          </cell>
          <cell r="F176">
            <v>-95024.260000000009</v>
          </cell>
          <cell r="G176">
            <v>-397693.15</v>
          </cell>
          <cell r="I176">
            <v>0</v>
          </cell>
          <cell r="J176">
            <v>-95024.260000000009</v>
          </cell>
          <cell r="L176">
            <v>-397693.15</v>
          </cell>
        </row>
        <row r="177">
          <cell r="C177">
            <v>0</v>
          </cell>
          <cell r="D177">
            <v>0</v>
          </cell>
          <cell r="F177">
            <v>0</v>
          </cell>
          <cell r="G177">
            <v>0</v>
          </cell>
          <cell r="J177">
            <v>0</v>
          </cell>
          <cell r="L177">
            <v>0</v>
          </cell>
        </row>
        <row r="178">
          <cell r="C178">
            <v>0</v>
          </cell>
          <cell r="D178">
            <v>0</v>
          </cell>
          <cell r="F178">
            <v>0</v>
          </cell>
          <cell r="G178">
            <v>0</v>
          </cell>
          <cell r="J178">
            <v>0</v>
          </cell>
          <cell r="L178">
            <v>0</v>
          </cell>
        </row>
        <row r="179">
          <cell r="C179">
            <v>0</v>
          </cell>
          <cell r="D179">
            <v>0</v>
          </cell>
          <cell r="F179">
            <v>0</v>
          </cell>
          <cell r="G179">
            <v>0</v>
          </cell>
          <cell r="J179">
            <v>0</v>
          </cell>
          <cell r="L179">
            <v>0</v>
          </cell>
        </row>
        <row r="180">
          <cell r="C180">
            <v>0</v>
          </cell>
          <cell r="D180">
            <v>0</v>
          </cell>
          <cell r="F180">
            <v>0</v>
          </cell>
          <cell r="G180">
            <v>0</v>
          </cell>
          <cell r="J180">
            <v>0</v>
          </cell>
          <cell r="L180">
            <v>0</v>
          </cell>
        </row>
        <row r="181">
          <cell r="C181">
            <v>-28916.57</v>
          </cell>
          <cell r="D181">
            <v>-16168.44</v>
          </cell>
          <cell r="E181">
            <v>-29784.050000000003</v>
          </cell>
          <cell r="F181">
            <v>-45952.490000000005</v>
          </cell>
          <cell r="G181">
            <v>-105994.84</v>
          </cell>
          <cell r="J181">
            <v>-45952.490000000005</v>
          </cell>
          <cell r="L181">
            <v>-105994.84</v>
          </cell>
        </row>
        <row r="182">
          <cell r="C182">
            <v>-5784.36</v>
          </cell>
          <cell r="D182">
            <v>-3217.83</v>
          </cell>
          <cell r="F182">
            <v>-3217.83</v>
          </cell>
          <cell r="G182">
            <v>-1339.5</v>
          </cell>
          <cell r="J182">
            <v>-3217.83</v>
          </cell>
          <cell r="L182">
            <v>-1339.5</v>
          </cell>
        </row>
        <row r="183">
          <cell r="C183">
            <v>-156047.25</v>
          </cell>
          <cell r="D183">
            <v>-87042.62</v>
          </cell>
          <cell r="E183">
            <v>41188.68</v>
          </cell>
          <cell r="F183">
            <v>-45853.939999999995</v>
          </cell>
          <cell r="G183">
            <v>-292872.81</v>
          </cell>
          <cell r="J183">
            <v>-45853.939999999995</v>
          </cell>
          <cell r="L183">
            <v>-292872.81</v>
          </cell>
        </row>
        <row r="184">
          <cell r="C184">
            <v>0</v>
          </cell>
          <cell r="D184">
            <v>0</v>
          </cell>
          <cell r="F184">
            <v>0</v>
          </cell>
          <cell r="G184">
            <v>0</v>
          </cell>
          <cell r="J184">
            <v>0</v>
          </cell>
          <cell r="L184">
            <v>0</v>
          </cell>
        </row>
        <row r="185">
          <cell r="C185">
            <v>0</v>
          </cell>
          <cell r="D185">
            <v>0</v>
          </cell>
          <cell r="F185">
            <v>0</v>
          </cell>
          <cell r="G185">
            <v>0</v>
          </cell>
          <cell r="J185">
            <v>0</v>
          </cell>
          <cell r="L185">
            <v>0</v>
          </cell>
        </row>
        <row r="186">
          <cell r="C186">
            <v>0</v>
          </cell>
          <cell r="D186">
            <v>0</v>
          </cell>
          <cell r="F186">
            <v>0</v>
          </cell>
          <cell r="G186">
            <v>0</v>
          </cell>
          <cell r="J186">
            <v>0</v>
          </cell>
          <cell r="L186">
            <v>0</v>
          </cell>
        </row>
        <row r="187">
          <cell r="C187">
            <v>0</v>
          </cell>
          <cell r="D187">
            <v>0</v>
          </cell>
          <cell r="F187">
            <v>0</v>
          </cell>
          <cell r="G187">
            <v>0</v>
          </cell>
          <cell r="J187">
            <v>0</v>
          </cell>
          <cell r="L187">
            <v>0</v>
          </cell>
        </row>
        <row r="188">
          <cell r="C188">
            <v>0</v>
          </cell>
          <cell r="D188">
            <v>0</v>
          </cell>
          <cell r="F188">
            <v>0</v>
          </cell>
          <cell r="G188">
            <v>0</v>
          </cell>
          <cell r="J188">
            <v>0</v>
          </cell>
          <cell r="L188">
            <v>0</v>
          </cell>
        </row>
        <row r="189">
          <cell r="C189">
            <v>0</v>
          </cell>
          <cell r="D189">
            <v>0</v>
          </cell>
          <cell r="F189">
            <v>0</v>
          </cell>
          <cell r="G189">
            <v>6334</v>
          </cell>
          <cell r="J189">
            <v>0</v>
          </cell>
          <cell r="L189">
            <v>6334</v>
          </cell>
        </row>
        <row r="190">
          <cell r="C190">
            <v>-8969.99</v>
          </cell>
          <cell r="D190">
            <v>-5072.53</v>
          </cell>
          <cell r="E190">
            <v>5072.53</v>
          </cell>
          <cell r="F190">
            <v>0</v>
          </cell>
          <cell r="G190">
            <v>-3820</v>
          </cell>
          <cell r="J190">
            <v>0</v>
          </cell>
          <cell r="L190">
            <v>-3820</v>
          </cell>
        </row>
        <row r="191">
          <cell r="C191">
            <v>0</v>
          </cell>
          <cell r="D191">
            <v>0</v>
          </cell>
          <cell r="F191">
            <v>0</v>
          </cell>
          <cell r="G191">
            <v>0</v>
          </cell>
          <cell r="J191">
            <v>0</v>
          </cell>
          <cell r="L191">
            <v>0</v>
          </cell>
        </row>
        <row r="192">
          <cell r="C192">
            <v>2640844.4600000023</v>
          </cell>
          <cell r="D192">
            <v>1488932.9599999997</v>
          </cell>
          <cell r="E192">
            <v>-16846.849999999329</v>
          </cell>
          <cell r="F192">
            <v>1472086.110000001</v>
          </cell>
          <cell r="G192">
            <v>449062.69000000076</v>
          </cell>
          <cell r="I192">
            <v>111613.9</v>
          </cell>
          <cell r="J192">
            <v>1583700.0100000014</v>
          </cell>
          <cell r="L192">
            <v>416121.69000000076</v>
          </cell>
        </row>
        <row r="193">
          <cell r="C193">
            <v>117789.41</v>
          </cell>
          <cell r="D193">
            <v>66675.740000000005</v>
          </cell>
          <cell r="E193">
            <v>65316.66</v>
          </cell>
          <cell r="F193">
            <v>131992.4</v>
          </cell>
          <cell r="G193">
            <v>33934.29</v>
          </cell>
          <cell r="I193">
            <v>0</v>
          </cell>
          <cell r="J193">
            <v>131992.4</v>
          </cell>
          <cell r="L193">
            <v>33934.29</v>
          </cell>
        </row>
        <row r="194">
          <cell r="C194">
            <v>0</v>
          </cell>
          <cell r="D194">
            <v>0</v>
          </cell>
          <cell r="F194">
            <v>0</v>
          </cell>
          <cell r="G194">
            <v>0</v>
          </cell>
          <cell r="J194">
            <v>0</v>
          </cell>
          <cell r="L194">
            <v>0</v>
          </cell>
        </row>
        <row r="195">
          <cell r="C195">
            <v>0</v>
          </cell>
          <cell r="D195">
            <v>0</v>
          </cell>
          <cell r="F195">
            <v>0</v>
          </cell>
          <cell r="G195">
            <v>0</v>
          </cell>
          <cell r="J195">
            <v>0</v>
          </cell>
          <cell r="L195">
            <v>0</v>
          </cell>
        </row>
        <row r="196">
          <cell r="C196">
            <v>0</v>
          </cell>
          <cell r="D196">
            <v>0</v>
          </cell>
          <cell r="F196">
            <v>0</v>
          </cell>
          <cell r="G196">
            <v>0</v>
          </cell>
          <cell r="J196">
            <v>0</v>
          </cell>
          <cell r="L196">
            <v>0</v>
          </cell>
        </row>
        <row r="197">
          <cell r="C197">
            <v>0</v>
          </cell>
          <cell r="D197">
            <v>0</v>
          </cell>
          <cell r="F197">
            <v>0</v>
          </cell>
          <cell r="G197">
            <v>0</v>
          </cell>
          <cell r="J197">
            <v>0</v>
          </cell>
          <cell r="L197">
            <v>0</v>
          </cell>
        </row>
        <row r="198">
          <cell r="C198">
            <v>115136.52</v>
          </cell>
          <cell r="D198">
            <v>65209.61</v>
          </cell>
          <cell r="F198">
            <v>65209.61</v>
          </cell>
          <cell r="G198">
            <v>36.28</v>
          </cell>
          <cell r="J198">
            <v>65209.61</v>
          </cell>
          <cell r="L198">
            <v>36.28</v>
          </cell>
        </row>
        <row r="199">
          <cell r="C199">
            <v>0</v>
          </cell>
          <cell r="D199">
            <v>0</v>
          </cell>
          <cell r="F199">
            <v>0</v>
          </cell>
          <cell r="G199">
            <v>0</v>
          </cell>
          <cell r="J199">
            <v>0</v>
          </cell>
          <cell r="L199">
            <v>0</v>
          </cell>
        </row>
        <row r="200">
          <cell r="C200">
            <v>0</v>
          </cell>
          <cell r="D200">
            <v>0</v>
          </cell>
          <cell r="E200">
            <v>65316.66</v>
          </cell>
          <cell r="F200">
            <v>65316.66</v>
          </cell>
          <cell r="G200">
            <v>0</v>
          </cell>
          <cell r="J200">
            <v>65316.66</v>
          </cell>
          <cell r="L200">
            <v>0</v>
          </cell>
        </row>
        <row r="201">
          <cell r="C201">
            <v>0</v>
          </cell>
          <cell r="D201">
            <v>0</v>
          </cell>
          <cell r="F201">
            <v>0</v>
          </cell>
          <cell r="G201">
            <v>0</v>
          </cell>
          <cell r="J201">
            <v>0</v>
          </cell>
          <cell r="L201">
            <v>0</v>
          </cell>
        </row>
        <row r="202">
          <cell r="C202">
            <v>0</v>
          </cell>
          <cell r="D202">
            <v>0</v>
          </cell>
          <cell r="F202">
            <v>0</v>
          </cell>
          <cell r="G202">
            <v>0</v>
          </cell>
          <cell r="J202">
            <v>0</v>
          </cell>
          <cell r="L202">
            <v>0</v>
          </cell>
        </row>
        <row r="203">
          <cell r="C203">
            <v>0</v>
          </cell>
          <cell r="D203">
            <v>0</v>
          </cell>
          <cell r="F203">
            <v>0</v>
          </cell>
          <cell r="G203">
            <v>0</v>
          </cell>
          <cell r="J203">
            <v>0</v>
          </cell>
          <cell r="L203">
            <v>0</v>
          </cell>
        </row>
        <row r="204">
          <cell r="C204">
            <v>2652.8900000000003</v>
          </cell>
          <cell r="D204">
            <v>1466.1299999999999</v>
          </cell>
          <cell r="F204">
            <v>1466.1299999999999</v>
          </cell>
          <cell r="G204">
            <v>33898.01</v>
          </cell>
          <cell r="J204">
            <v>1466.1299999999999</v>
          </cell>
          <cell r="L204">
            <v>33898.01</v>
          </cell>
        </row>
        <row r="205">
          <cell r="C205">
            <v>-137623.36000000002</v>
          </cell>
          <cell r="D205">
            <v>-76805.22</v>
          </cell>
          <cell r="E205">
            <v>0</v>
          </cell>
          <cell r="F205">
            <v>-76805.22</v>
          </cell>
          <cell r="G205">
            <v>-1553443.8</v>
          </cell>
          <cell r="I205">
            <v>-35411.5</v>
          </cell>
          <cell r="J205">
            <v>-112216.72</v>
          </cell>
          <cell r="L205">
            <v>-1573746.8</v>
          </cell>
        </row>
        <row r="206">
          <cell r="C206">
            <v>-561.91999999999996</v>
          </cell>
          <cell r="D206">
            <v>-316.41000000000003</v>
          </cell>
          <cell r="F206">
            <v>-316.41000000000003</v>
          </cell>
          <cell r="G206">
            <v>0</v>
          </cell>
          <cell r="J206">
            <v>-316.41000000000003</v>
          </cell>
          <cell r="L206">
            <v>0</v>
          </cell>
        </row>
        <row r="207">
          <cell r="C207">
            <v>0</v>
          </cell>
          <cell r="D207">
            <v>0</v>
          </cell>
          <cell r="F207">
            <v>0</v>
          </cell>
          <cell r="G207">
            <v>0</v>
          </cell>
          <cell r="J207">
            <v>0</v>
          </cell>
          <cell r="L207">
            <v>0</v>
          </cell>
        </row>
        <row r="208">
          <cell r="C208">
            <v>0</v>
          </cell>
          <cell r="D208">
            <v>0</v>
          </cell>
          <cell r="F208">
            <v>0</v>
          </cell>
          <cell r="G208">
            <v>0</v>
          </cell>
          <cell r="J208">
            <v>0</v>
          </cell>
          <cell r="L208">
            <v>0</v>
          </cell>
        </row>
        <row r="209">
          <cell r="C209">
            <v>0</v>
          </cell>
          <cell r="D209">
            <v>0</v>
          </cell>
          <cell r="F209">
            <v>0</v>
          </cell>
          <cell r="G209">
            <v>0</v>
          </cell>
          <cell r="J209">
            <v>0</v>
          </cell>
          <cell r="L209">
            <v>0</v>
          </cell>
        </row>
        <row r="210">
          <cell r="C210">
            <v>0</v>
          </cell>
          <cell r="D210">
            <v>0</v>
          </cell>
          <cell r="F210">
            <v>0</v>
          </cell>
          <cell r="G210">
            <v>0</v>
          </cell>
          <cell r="J210">
            <v>0</v>
          </cell>
          <cell r="L210">
            <v>0</v>
          </cell>
        </row>
        <row r="211">
          <cell r="C211">
            <v>0</v>
          </cell>
          <cell r="D211">
            <v>0</v>
          </cell>
          <cell r="F211">
            <v>0</v>
          </cell>
          <cell r="G211">
            <v>0</v>
          </cell>
          <cell r="J211">
            <v>0</v>
          </cell>
          <cell r="L211">
            <v>0</v>
          </cell>
        </row>
        <row r="212">
          <cell r="C212">
            <v>0</v>
          </cell>
          <cell r="D212">
            <v>0</v>
          </cell>
          <cell r="F212">
            <v>0</v>
          </cell>
          <cell r="G212">
            <v>-1504673.83</v>
          </cell>
          <cell r="J212">
            <v>0</v>
          </cell>
          <cell r="L212">
            <v>-1504673.83</v>
          </cell>
        </row>
        <row r="213">
          <cell r="C213">
            <v>-6.28</v>
          </cell>
          <cell r="D213">
            <v>-3.47</v>
          </cell>
          <cell r="F213">
            <v>-3.47</v>
          </cell>
          <cell r="G213">
            <v>0</v>
          </cell>
          <cell r="J213">
            <v>-3.47</v>
          </cell>
          <cell r="L213">
            <v>0</v>
          </cell>
        </row>
        <row r="214">
          <cell r="C214">
            <v>0</v>
          </cell>
          <cell r="D214">
            <v>0</v>
          </cell>
          <cell r="F214">
            <v>0</v>
          </cell>
          <cell r="G214">
            <v>0</v>
          </cell>
          <cell r="J214">
            <v>0</v>
          </cell>
          <cell r="L214">
            <v>0</v>
          </cell>
        </row>
        <row r="215">
          <cell r="C215">
            <v>0</v>
          </cell>
          <cell r="D215">
            <v>0</v>
          </cell>
          <cell r="F215">
            <v>0</v>
          </cell>
          <cell r="G215">
            <v>0</v>
          </cell>
          <cell r="J215">
            <v>0</v>
          </cell>
          <cell r="L215">
            <v>0</v>
          </cell>
        </row>
        <row r="216">
          <cell r="C216">
            <v>0</v>
          </cell>
          <cell r="D216">
            <v>0</v>
          </cell>
          <cell r="F216">
            <v>0</v>
          </cell>
          <cell r="G216">
            <v>0</v>
          </cell>
          <cell r="J216">
            <v>0</v>
          </cell>
          <cell r="L216">
            <v>0</v>
          </cell>
        </row>
        <row r="217">
          <cell r="C217">
            <v>0</v>
          </cell>
          <cell r="D217">
            <v>0</v>
          </cell>
          <cell r="F217">
            <v>0</v>
          </cell>
          <cell r="G217">
            <v>0</v>
          </cell>
          <cell r="J217">
            <v>0</v>
          </cell>
          <cell r="L217">
            <v>0</v>
          </cell>
        </row>
        <row r="218">
          <cell r="C218">
            <v>0</v>
          </cell>
          <cell r="D218">
            <v>0</v>
          </cell>
          <cell r="F218">
            <v>0</v>
          </cell>
          <cell r="G218">
            <v>0</v>
          </cell>
          <cell r="J218">
            <v>0</v>
          </cell>
          <cell r="L218">
            <v>0</v>
          </cell>
        </row>
        <row r="219">
          <cell r="C219">
            <v>-137055.16</v>
          </cell>
          <cell r="D219">
            <v>-76485.34</v>
          </cell>
          <cell r="F219">
            <v>-76485.34</v>
          </cell>
          <cell r="G219">
            <v>-48769.97</v>
          </cell>
          <cell r="H219" t="str">
            <v>A4.4.3</v>
          </cell>
          <cell r="I219">
            <v>-35411.5</v>
          </cell>
          <cell r="J219">
            <v>-111896.84</v>
          </cell>
          <cell r="L219">
            <v>-69072.97</v>
          </cell>
        </row>
        <row r="220">
          <cell r="C220">
            <v>-32126.12</v>
          </cell>
          <cell r="D220">
            <v>-19239.330000000002</v>
          </cell>
          <cell r="E220">
            <v>-123567.67000000001</v>
          </cell>
          <cell r="F220">
            <v>-142807</v>
          </cell>
          <cell r="G220">
            <v>312822</v>
          </cell>
          <cell r="I220">
            <v>800</v>
          </cell>
          <cell r="J220">
            <v>-142007</v>
          </cell>
          <cell r="L220">
            <v>211822</v>
          </cell>
        </row>
        <row r="221">
          <cell r="C221">
            <v>-32055.5</v>
          </cell>
          <cell r="D221">
            <v>-19200.18</v>
          </cell>
          <cell r="E221">
            <v>19200.18</v>
          </cell>
          <cell r="F221">
            <v>0</v>
          </cell>
          <cell r="G221">
            <v>312822</v>
          </cell>
          <cell r="J221">
            <v>0</v>
          </cell>
          <cell r="L221">
            <v>312822</v>
          </cell>
        </row>
        <row r="222">
          <cell r="C222">
            <v>0</v>
          </cell>
          <cell r="D222">
            <v>0</v>
          </cell>
          <cell r="F222">
            <v>0</v>
          </cell>
          <cell r="G222">
            <v>0</v>
          </cell>
          <cell r="J222">
            <v>0</v>
          </cell>
          <cell r="L222">
            <v>0</v>
          </cell>
        </row>
        <row r="223">
          <cell r="C223">
            <v>0</v>
          </cell>
          <cell r="D223">
            <v>0</v>
          </cell>
          <cell r="F223">
            <v>0</v>
          </cell>
          <cell r="G223">
            <v>0</v>
          </cell>
          <cell r="H223" t="str">
            <v>A4.4.3</v>
          </cell>
          <cell r="I223">
            <v>800</v>
          </cell>
          <cell r="J223">
            <v>800</v>
          </cell>
          <cell r="L223">
            <v>0</v>
          </cell>
        </row>
        <row r="224">
          <cell r="C224">
            <v>-70.62</v>
          </cell>
          <cell r="D224">
            <v>-39.15</v>
          </cell>
          <cell r="E224">
            <v>-142767.85</v>
          </cell>
          <cell r="F224">
            <v>-142807</v>
          </cell>
          <cell r="G224">
            <v>0</v>
          </cell>
          <cell r="J224">
            <v>-142807</v>
          </cell>
          <cell r="L224">
            <v>0</v>
          </cell>
        </row>
        <row r="225">
          <cell r="C225">
            <v>0</v>
          </cell>
          <cell r="D225">
            <v>0</v>
          </cell>
          <cell r="F225">
            <v>0</v>
          </cell>
          <cell r="G225">
            <v>0</v>
          </cell>
          <cell r="J225">
            <v>0</v>
          </cell>
          <cell r="L225">
            <v>0</v>
          </cell>
        </row>
        <row r="226">
          <cell r="C226">
            <v>0</v>
          </cell>
          <cell r="D226">
            <v>0</v>
          </cell>
          <cell r="F226">
            <v>0</v>
          </cell>
          <cell r="G226">
            <v>0</v>
          </cell>
          <cell r="J226">
            <v>0</v>
          </cell>
          <cell r="L226">
            <v>-101000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I227">
            <v>0</v>
          </cell>
          <cell r="J227">
            <v>0</v>
          </cell>
          <cell r="L227">
            <v>0</v>
          </cell>
        </row>
        <row r="228">
          <cell r="C228">
            <v>0</v>
          </cell>
          <cell r="D228">
            <v>0</v>
          </cell>
          <cell r="F228">
            <v>0</v>
          </cell>
          <cell r="G228">
            <v>0</v>
          </cell>
          <cell r="J228">
            <v>0</v>
          </cell>
          <cell r="L228">
            <v>0</v>
          </cell>
        </row>
        <row r="229">
          <cell r="C229">
            <v>0</v>
          </cell>
          <cell r="D229">
            <v>0</v>
          </cell>
          <cell r="F229">
            <v>0</v>
          </cell>
          <cell r="G229">
            <v>0</v>
          </cell>
          <cell r="J229">
            <v>0</v>
          </cell>
          <cell r="L229">
            <v>0</v>
          </cell>
        </row>
        <row r="230">
          <cell r="C230">
            <v>0</v>
          </cell>
          <cell r="D230">
            <v>0</v>
          </cell>
          <cell r="F230">
            <v>0</v>
          </cell>
          <cell r="G230">
            <v>0</v>
          </cell>
          <cell r="J230">
            <v>0</v>
          </cell>
          <cell r="L230">
            <v>0</v>
          </cell>
        </row>
        <row r="231">
          <cell r="C231">
            <v>0</v>
          </cell>
          <cell r="D231">
            <v>0</v>
          </cell>
          <cell r="F231">
            <v>0</v>
          </cell>
          <cell r="G231">
            <v>0</v>
          </cell>
          <cell r="J231">
            <v>0</v>
          </cell>
          <cell r="L231">
            <v>0</v>
          </cell>
        </row>
        <row r="232">
          <cell r="C232">
            <v>2588884.3900000025</v>
          </cell>
          <cell r="D232">
            <v>1459564.1499999997</v>
          </cell>
          <cell r="E232">
            <v>-75097.859999999346</v>
          </cell>
          <cell r="F232">
            <v>1384466.290000001</v>
          </cell>
          <cell r="G232">
            <v>-757624.81999999937</v>
          </cell>
          <cell r="I232">
            <v>77002.399999999994</v>
          </cell>
          <cell r="J232">
            <v>1461468.6900000013</v>
          </cell>
          <cell r="L232">
            <v>-911868.81999999937</v>
          </cell>
        </row>
        <row r="233">
          <cell r="J233">
            <v>0</v>
          </cell>
          <cell r="L233">
            <v>0</v>
          </cell>
        </row>
        <row r="234">
          <cell r="C234">
            <v>-918357.33000000007</v>
          </cell>
          <cell r="D234">
            <v>-517652.06</v>
          </cell>
          <cell r="E234">
            <v>9795.3300000000163</v>
          </cell>
          <cell r="F234">
            <v>-507856.73</v>
          </cell>
          <cell r="G234">
            <v>-423457.46</v>
          </cell>
          <cell r="I234">
            <v>-25981</v>
          </cell>
          <cell r="J234">
            <v>-533837.73</v>
          </cell>
          <cell r="L234">
            <v>-394752.46</v>
          </cell>
        </row>
        <row r="235">
          <cell r="C235">
            <v>-918357.33000000007</v>
          </cell>
          <cell r="D235">
            <v>-517652.06</v>
          </cell>
          <cell r="E235">
            <v>9795.3300000000163</v>
          </cell>
          <cell r="F235">
            <v>-507856.73</v>
          </cell>
          <cell r="G235">
            <v>-423457.46</v>
          </cell>
          <cell r="J235">
            <v>-507856.73</v>
          </cell>
          <cell r="L235">
            <v>-423457.46</v>
          </cell>
        </row>
        <row r="236">
          <cell r="C236">
            <v>0</v>
          </cell>
          <cell r="D236">
            <v>0</v>
          </cell>
          <cell r="F236">
            <v>0</v>
          </cell>
          <cell r="G236">
            <v>0</v>
          </cell>
          <cell r="H236" t="str">
            <v>A4.4.3</v>
          </cell>
          <cell r="I236">
            <v>-25981</v>
          </cell>
          <cell r="J236">
            <v>-25981</v>
          </cell>
          <cell r="L236">
            <v>28705</v>
          </cell>
        </row>
        <row r="237">
          <cell r="J237">
            <v>0</v>
          </cell>
          <cell r="L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I238">
            <v>0</v>
          </cell>
          <cell r="J238">
            <v>0</v>
          </cell>
          <cell r="L23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.6-SEAOIL"/>
      <sheetName val="A4_6_SEAOIL"/>
      <sheetName val="A4.4-MARFLEX"/>
      <sheetName val="Dados"/>
      <sheetName val="Codificação"/>
      <sheetName val="A4.2-FLEXIBRAS"/>
      <sheetName val="A4_6-SEAOIL"/>
      <sheetName val="A4_4-MARFLEX"/>
      <sheetName val="A4_2-FLEXIBRAS"/>
      <sheetName val="Outstanding"/>
      <sheetName val="A4_6-SEAOIL1"/>
      <sheetName val="A4_4-MARFLEX1"/>
      <sheetName val="A4_2-FLEXIBRAS1"/>
      <sheetName val="INFO"/>
    </sheetNames>
    <sheetDataSet>
      <sheetData sheetId="0" refreshError="1">
        <row r="5">
          <cell r="C5">
            <v>0</v>
          </cell>
          <cell r="D5">
            <v>2430870.08</v>
          </cell>
          <cell r="E5">
            <v>0</v>
          </cell>
          <cell r="F5">
            <v>2430870.08</v>
          </cell>
          <cell r="G5">
            <v>2355812.0300000003</v>
          </cell>
          <cell r="H5">
            <v>0</v>
          </cell>
          <cell r="I5">
            <v>2430870.08</v>
          </cell>
          <cell r="J5" t="str">
            <v>A4 consolidado</v>
          </cell>
          <cell r="K5">
            <v>2355812.0300000003</v>
          </cell>
        </row>
        <row r="6">
          <cell r="C6">
            <v>0</v>
          </cell>
          <cell r="D6">
            <v>752813.21</v>
          </cell>
          <cell r="E6">
            <v>0</v>
          </cell>
          <cell r="F6">
            <v>752813.21</v>
          </cell>
          <cell r="G6">
            <v>677755.16</v>
          </cell>
          <cell r="H6">
            <v>0</v>
          </cell>
          <cell r="I6">
            <v>752813.21</v>
          </cell>
          <cell r="K6">
            <v>677755.16</v>
          </cell>
        </row>
        <row r="7">
          <cell r="C7">
            <v>0</v>
          </cell>
          <cell r="D7">
            <v>679736.44</v>
          </cell>
          <cell r="E7">
            <v>0</v>
          </cell>
          <cell r="F7">
            <v>679736.44</v>
          </cell>
          <cell r="G7">
            <v>677755.16</v>
          </cell>
          <cell r="H7">
            <v>0</v>
          </cell>
          <cell r="I7">
            <v>679736.44</v>
          </cell>
          <cell r="K7">
            <v>677755.16</v>
          </cell>
        </row>
        <row r="8">
          <cell r="D8">
            <v>0</v>
          </cell>
          <cell r="F8">
            <v>0</v>
          </cell>
          <cell r="G8">
            <v>677755.16</v>
          </cell>
          <cell r="I8">
            <v>0</v>
          </cell>
          <cell r="K8">
            <v>677755.16</v>
          </cell>
        </row>
        <row r="9">
          <cell r="D9">
            <v>0</v>
          </cell>
          <cell r="F9">
            <v>0</v>
          </cell>
          <cell r="G9">
            <v>0</v>
          </cell>
          <cell r="I9">
            <v>0</v>
          </cell>
          <cell r="K9">
            <v>0</v>
          </cell>
        </row>
        <row r="10">
          <cell r="D10">
            <v>679736.44</v>
          </cell>
          <cell r="F10">
            <v>679736.44</v>
          </cell>
          <cell r="G10">
            <v>0</v>
          </cell>
          <cell r="I10">
            <v>679736.44</v>
          </cell>
          <cell r="K10">
            <v>0</v>
          </cell>
        </row>
        <row r="11">
          <cell r="D11">
            <v>0</v>
          </cell>
          <cell r="F11">
            <v>0</v>
          </cell>
          <cell r="G11">
            <v>0</v>
          </cell>
          <cell r="I11">
            <v>0</v>
          </cell>
          <cell r="K11">
            <v>0</v>
          </cell>
        </row>
        <row r="12">
          <cell r="C12">
            <v>0</v>
          </cell>
          <cell r="D12">
            <v>73076.77</v>
          </cell>
          <cell r="E12">
            <v>0</v>
          </cell>
          <cell r="F12">
            <v>73076.77</v>
          </cell>
          <cell r="G12">
            <v>0</v>
          </cell>
          <cell r="H12">
            <v>0</v>
          </cell>
          <cell r="I12">
            <v>73076.77</v>
          </cell>
          <cell r="K12">
            <v>0</v>
          </cell>
        </row>
        <row r="13">
          <cell r="D13">
            <v>73076.77</v>
          </cell>
          <cell r="F13">
            <v>73076.77</v>
          </cell>
          <cell r="G13">
            <v>0</v>
          </cell>
          <cell r="I13">
            <v>73076.77</v>
          </cell>
          <cell r="K13">
            <v>0</v>
          </cell>
        </row>
        <row r="14">
          <cell r="D14">
            <v>0</v>
          </cell>
          <cell r="F14">
            <v>0</v>
          </cell>
          <cell r="G14">
            <v>0</v>
          </cell>
          <cell r="I14">
            <v>0</v>
          </cell>
          <cell r="K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K15">
            <v>0</v>
          </cell>
        </row>
        <row r="16">
          <cell r="D16">
            <v>0</v>
          </cell>
          <cell r="F16">
            <v>0</v>
          </cell>
          <cell r="G16">
            <v>0</v>
          </cell>
          <cell r="I16">
            <v>0</v>
          </cell>
          <cell r="K16">
            <v>0</v>
          </cell>
        </row>
        <row r="17">
          <cell r="D17">
            <v>0</v>
          </cell>
          <cell r="F17">
            <v>0</v>
          </cell>
          <cell r="G17">
            <v>0</v>
          </cell>
          <cell r="I17">
            <v>0</v>
          </cell>
          <cell r="K17">
            <v>0</v>
          </cell>
        </row>
        <row r="18">
          <cell r="D18">
            <v>0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G19">
            <v>0</v>
          </cell>
          <cell r="I19">
            <v>0</v>
          </cell>
          <cell r="K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G21">
            <v>0</v>
          </cell>
          <cell r="I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G22">
            <v>0</v>
          </cell>
          <cell r="I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G23">
            <v>0</v>
          </cell>
          <cell r="I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G24">
            <v>0</v>
          </cell>
          <cell r="I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G25">
            <v>0</v>
          </cell>
          <cell r="I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G26">
            <v>0</v>
          </cell>
          <cell r="I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G27">
            <v>0</v>
          </cell>
          <cell r="I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G28">
            <v>0</v>
          </cell>
          <cell r="I28">
            <v>0</v>
          </cell>
          <cell r="K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G30">
            <v>0</v>
          </cell>
          <cell r="I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G31">
            <v>0</v>
          </cell>
          <cell r="I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G32">
            <v>0</v>
          </cell>
          <cell r="I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G33">
            <v>0</v>
          </cell>
          <cell r="I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G34">
            <v>0</v>
          </cell>
          <cell r="I34">
            <v>0</v>
          </cell>
          <cell r="K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G36">
            <v>0</v>
          </cell>
          <cell r="I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G37">
            <v>0</v>
          </cell>
          <cell r="I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G38">
            <v>0</v>
          </cell>
          <cell r="I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G39">
            <v>0</v>
          </cell>
          <cell r="I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G40">
            <v>0</v>
          </cell>
          <cell r="I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G41">
            <v>0</v>
          </cell>
          <cell r="I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G42">
            <v>0</v>
          </cell>
          <cell r="I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G43">
            <v>0</v>
          </cell>
          <cell r="I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G44">
            <v>0</v>
          </cell>
          <cell r="I44">
            <v>0</v>
          </cell>
          <cell r="K44">
            <v>0</v>
          </cell>
        </row>
        <row r="45">
          <cell r="C45">
            <v>0</v>
          </cell>
          <cell r="D45">
            <v>1678056.87</v>
          </cell>
          <cell r="E45">
            <v>0</v>
          </cell>
          <cell r="F45">
            <v>1678056.87</v>
          </cell>
          <cell r="G45">
            <v>1678056.87</v>
          </cell>
          <cell r="H45">
            <v>0</v>
          </cell>
          <cell r="I45">
            <v>1678056.87</v>
          </cell>
          <cell r="K45">
            <v>1678056.87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G47">
            <v>0</v>
          </cell>
          <cell r="I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G48">
            <v>0</v>
          </cell>
          <cell r="I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G49">
            <v>0</v>
          </cell>
          <cell r="I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G50">
            <v>0</v>
          </cell>
          <cell r="I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G51">
            <v>0</v>
          </cell>
          <cell r="I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G52">
            <v>0</v>
          </cell>
          <cell r="I52">
            <v>0</v>
          </cell>
          <cell r="K52">
            <v>0</v>
          </cell>
        </row>
        <row r="53">
          <cell r="C53">
            <v>0</v>
          </cell>
          <cell r="D53">
            <v>1678056.87</v>
          </cell>
          <cell r="E53">
            <v>0</v>
          </cell>
          <cell r="F53">
            <v>1678056.87</v>
          </cell>
          <cell r="G53">
            <v>1678056.87</v>
          </cell>
          <cell r="H53">
            <v>0</v>
          </cell>
          <cell r="I53">
            <v>1678056.87</v>
          </cell>
          <cell r="K53">
            <v>1678056.87</v>
          </cell>
        </row>
        <row r="54">
          <cell r="C54">
            <v>0</v>
          </cell>
          <cell r="D54">
            <v>1678056.87</v>
          </cell>
          <cell r="E54">
            <v>0</v>
          </cell>
          <cell r="F54">
            <v>1678056.87</v>
          </cell>
          <cell r="G54">
            <v>1678056.87</v>
          </cell>
          <cell r="H54">
            <v>0</v>
          </cell>
          <cell r="I54">
            <v>1678056.87</v>
          </cell>
          <cell r="K54">
            <v>1678056.87</v>
          </cell>
        </row>
        <row r="55">
          <cell r="D55">
            <v>0</v>
          </cell>
          <cell r="F55">
            <v>0</v>
          </cell>
          <cell r="G55">
            <v>0</v>
          </cell>
          <cell r="I55">
            <v>0</v>
          </cell>
          <cell r="K55">
            <v>0</v>
          </cell>
        </row>
        <row r="56">
          <cell r="D56">
            <v>1678056.87</v>
          </cell>
          <cell r="F56">
            <v>1678056.87</v>
          </cell>
          <cell r="G56">
            <v>1678056.87</v>
          </cell>
          <cell r="I56">
            <v>1678056.87</v>
          </cell>
          <cell r="K56">
            <v>1678056.87</v>
          </cell>
        </row>
        <row r="57">
          <cell r="D57">
            <v>0</v>
          </cell>
          <cell r="F57">
            <v>0</v>
          </cell>
          <cell r="G57">
            <v>0</v>
          </cell>
          <cell r="I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G58">
            <v>0</v>
          </cell>
          <cell r="I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I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G60">
            <v>0</v>
          </cell>
          <cell r="I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G61">
            <v>0</v>
          </cell>
          <cell r="I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G63">
            <v>0</v>
          </cell>
          <cell r="I63">
            <v>0</v>
          </cell>
          <cell r="K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I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G67">
            <v>0</v>
          </cell>
          <cell r="I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G69">
            <v>0</v>
          </cell>
          <cell r="I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G70">
            <v>0</v>
          </cell>
          <cell r="I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G71">
            <v>0</v>
          </cell>
          <cell r="I71">
            <v>0</v>
          </cell>
          <cell r="K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K72">
            <v>0</v>
          </cell>
        </row>
        <row r="73">
          <cell r="C73">
            <v>0</v>
          </cell>
          <cell r="D73">
            <v>350000</v>
          </cell>
          <cell r="E73">
            <v>0</v>
          </cell>
          <cell r="F73">
            <v>350000</v>
          </cell>
          <cell r="G73">
            <v>350000</v>
          </cell>
          <cell r="H73">
            <v>0</v>
          </cell>
          <cell r="I73">
            <v>350000</v>
          </cell>
          <cell r="K73">
            <v>350000</v>
          </cell>
        </row>
        <row r="74">
          <cell r="D74">
            <v>0</v>
          </cell>
          <cell r="F74">
            <v>0</v>
          </cell>
          <cell r="G74">
            <v>0</v>
          </cell>
          <cell r="I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G75">
            <v>0</v>
          </cell>
          <cell r="I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G76">
            <v>0</v>
          </cell>
          <cell r="I76">
            <v>0</v>
          </cell>
          <cell r="K76">
            <v>0</v>
          </cell>
        </row>
        <row r="77">
          <cell r="D77">
            <v>350000</v>
          </cell>
          <cell r="F77">
            <v>350000</v>
          </cell>
          <cell r="G77">
            <v>350000</v>
          </cell>
          <cell r="I77">
            <v>350000</v>
          </cell>
          <cell r="K77">
            <v>350000</v>
          </cell>
        </row>
        <row r="78">
          <cell r="D78">
            <v>0</v>
          </cell>
          <cell r="F78">
            <v>0</v>
          </cell>
          <cell r="G78">
            <v>0</v>
          </cell>
          <cell r="I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G79">
            <v>0</v>
          </cell>
          <cell r="I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G80">
            <v>0</v>
          </cell>
          <cell r="I80">
            <v>0</v>
          </cell>
          <cell r="K80">
            <v>0</v>
          </cell>
        </row>
        <row r="81">
          <cell r="C81">
            <v>0</v>
          </cell>
          <cell r="D81">
            <v>350000</v>
          </cell>
          <cell r="E81">
            <v>0</v>
          </cell>
          <cell r="F81">
            <v>350000</v>
          </cell>
          <cell r="G81">
            <v>350000</v>
          </cell>
          <cell r="H81">
            <v>0</v>
          </cell>
          <cell r="I81">
            <v>350000</v>
          </cell>
          <cell r="K81">
            <v>350000</v>
          </cell>
        </row>
        <row r="82">
          <cell r="D82">
            <v>0</v>
          </cell>
          <cell r="F82">
            <v>0</v>
          </cell>
          <cell r="G82">
            <v>0</v>
          </cell>
          <cell r="I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G83">
            <v>0</v>
          </cell>
          <cell r="I83">
            <v>0</v>
          </cell>
          <cell r="K83">
            <v>0</v>
          </cell>
        </row>
        <row r="84">
          <cell r="D84">
            <v>350000</v>
          </cell>
          <cell r="F84">
            <v>350000</v>
          </cell>
          <cell r="G84">
            <v>350000</v>
          </cell>
          <cell r="I84">
            <v>350000</v>
          </cell>
          <cell r="K84">
            <v>350000</v>
          </cell>
        </row>
        <row r="85">
          <cell r="D85">
            <v>0</v>
          </cell>
          <cell r="F85">
            <v>0</v>
          </cell>
          <cell r="G85">
            <v>0</v>
          </cell>
          <cell r="I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G86">
            <v>0</v>
          </cell>
          <cell r="I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G87">
            <v>0</v>
          </cell>
          <cell r="I87">
            <v>0</v>
          </cell>
          <cell r="K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K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G90">
            <v>0</v>
          </cell>
          <cell r="I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G91">
            <v>0</v>
          </cell>
          <cell r="I91">
            <v>0</v>
          </cell>
          <cell r="K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G93">
            <v>0</v>
          </cell>
          <cell r="I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G94">
            <v>0</v>
          </cell>
          <cell r="I94">
            <v>0</v>
          </cell>
          <cell r="K94">
            <v>0</v>
          </cell>
        </row>
        <row r="96">
          <cell r="C96">
            <v>0</v>
          </cell>
          <cell r="D96">
            <v>2430870.08</v>
          </cell>
          <cell r="E96">
            <v>0</v>
          </cell>
          <cell r="F96">
            <v>2430870.08</v>
          </cell>
          <cell r="G96">
            <v>2355812.0300000003</v>
          </cell>
          <cell r="H96">
            <v>0</v>
          </cell>
          <cell r="I96">
            <v>2430870.08</v>
          </cell>
          <cell r="K96">
            <v>2355811.87</v>
          </cell>
        </row>
        <row r="97">
          <cell r="C97">
            <v>0</v>
          </cell>
          <cell r="D97">
            <v>39835.660000000003</v>
          </cell>
          <cell r="E97">
            <v>0</v>
          </cell>
          <cell r="F97">
            <v>39835.660000000003</v>
          </cell>
          <cell r="G97">
            <v>29703.97</v>
          </cell>
          <cell r="H97">
            <v>0</v>
          </cell>
          <cell r="I97">
            <v>39835.660000000003</v>
          </cell>
          <cell r="K97">
            <v>29703.97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K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K99">
            <v>0</v>
          </cell>
        </row>
        <row r="100">
          <cell r="C100">
            <v>0</v>
          </cell>
          <cell r="D100">
            <v>10131.69</v>
          </cell>
          <cell r="F100">
            <v>10131.69</v>
          </cell>
          <cell r="G100">
            <v>0</v>
          </cell>
          <cell r="I100">
            <v>10131.69</v>
          </cell>
          <cell r="K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G102">
            <v>0</v>
          </cell>
          <cell r="I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G103">
            <v>0</v>
          </cell>
          <cell r="I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G104">
            <v>0</v>
          </cell>
          <cell r="I104">
            <v>0</v>
          </cell>
          <cell r="K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G106">
            <v>0</v>
          </cell>
          <cell r="I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G107">
            <v>0</v>
          </cell>
          <cell r="I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G108">
            <v>0</v>
          </cell>
          <cell r="I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G109">
            <v>0</v>
          </cell>
          <cell r="I109">
            <v>0</v>
          </cell>
          <cell r="K109">
            <v>0</v>
          </cell>
        </row>
        <row r="110">
          <cell r="C110">
            <v>0</v>
          </cell>
          <cell r="D110">
            <v>29703.97</v>
          </cell>
          <cell r="E110">
            <v>0</v>
          </cell>
          <cell r="F110">
            <v>29703.97</v>
          </cell>
          <cell r="G110">
            <v>29703.97</v>
          </cell>
          <cell r="H110">
            <v>0</v>
          </cell>
          <cell r="I110">
            <v>29703.97</v>
          </cell>
          <cell r="K110">
            <v>29703.97</v>
          </cell>
        </row>
        <row r="111">
          <cell r="D111">
            <v>0</v>
          </cell>
          <cell r="F111">
            <v>0</v>
          </cell>
          <cell r="G111">
            <v>0</v>
          </cell>
          <cell r="I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G112">
            <v>0</v>
          </cell>
          <cell r="I112">
            <v>0</v>
          </cell>
          <cell r="K112">
            <v>0</v>
          </cell>
        </row>
        <row r="113">
          <cell r="D113">
            <v>29703.97</v>
          </cell>
          <cell r="F113">
            <v>29703.97</v>
          </cell>
          <cell r="G113">
            <v>29703.97</v>
          </cell>
          <cell r="I113">
            <v>29703.97</v>
          </cell>
          <cell r="K113">
            <v>29703.97</v>
          </cell>
        </row>
        <row r="114">
          <cell r="D114">
            <v>0</v>
          </cell>
          <cell r="F114">
            <v>0</v>
          </cell>
          <cell r="G114">
            <v>0</v>
          </cell>
          <cell r="I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G115">
            <v>0</v>
          </cell>
          <cell r="I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G116">
            <v>0</v>
          </cell>
          <cell r="I116">
            <v>0</v>
          </cell>
          <cell r="K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K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I118">
            <v>0</v>
          </cell>
          <cell r="K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G120">
            <v>0</v>
          </cell>
          <cell r="I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G121">
            <v>0</v>
          </cell>
          <cell r="I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G122">
            <v>0</v>
          </cell>
          <cell r="I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G123">
            <v>0</v>
          </cell>
          <cell r="I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G124">
            <v>0</v>
          </cell>
          <cell r="I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G125">
            <v>0</v>
          </cell>
          <cell r="I125">
            <v>0</v>
          </cell>
          <cell r="K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G127">
            <v>0</v>
          </cell>
          <cell r="I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G128">
            <v>0</v>
          </cell>
          <cell r="I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G129">
            <v>0</v>
          </cell>
          <cell r="I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G130">
            <v>0</v>
          </cell>
          <cell r="I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K133">
            <v>0</v>
          </cell>
        </row>
        <row r="134">
          <cell r="C134">
            <v>0</v>
          </cell>
          <cell r="D134">
            <v>2391034.42</v>
          </cell>
          <cell r="E134">
            <v>0</v>
          </cell>
          <cell r="F134">
            <v>2391034.42</v>
          </cell>
          <cell r="G134">
            <v>2326108.06</v>
          </cell>
          <cell r="H134">
            <v>0</v>
          </cell>
          <cell r="I134">
            <v>2391034.42</v>
          </cell>
          <cell r="K134">
            <v>2326107.9</v>
          </cell>
        </row>
        <row r="135">
          <cell r="C135">
            <v>0</v>
          </cell>
          <cell r="D135">
            <v>2326108.06</v>
          </cell>
          <cell r="E135">
            <v>0</v>
          </cell>
          <cell r="F135">
            <v>2326108.06</v>
          </cell>
          <cell r="G135">
            <v>2254269.2000000002</v>
          </cell>
          <cell r="H135">
            <v>0</v>
          </cell>
          <cell r="I135">
            <v>2326108.06</v>
          </cell>
          <cell r="K135">
            <v>2139666.04</v>
          </cell>
        </row>
        <row r="136">
          <cell r="D136">
            <v>50000</v>
          </cell>
          <cell r="F136">
            <v>50000</v>
          </cell>
          <cell r="G136">
            <v>50000</v>
          </cell>
          <cell r="I136">
            <v>50000</v>
          </cell>
          <cell r="K136">
            <v>50000</v>
          </cell>
        </row>
        <row r="137">
          <cell r="D137">
            <v>0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G141">
            <v>0</v>
          </cell>
          <cell r="I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G142">
            <v>0</v>
          </cell>
          <cell r="I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G143">
            <v>0</v>
          </cell>
          <cell r="I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G144">
            <v>0</v>
          </cell>
          <cell r="I144">
            <v>0</v>
          </cell>
          <cell r="K144">
            <v>0</v>
          </cell>
        </row>
        <row r="145">
          <cell r="D145">
            <v>2276108.06</v>
          </cell>
          <cell r="F145">
            <v>2276108.06</v>
          </cell>
          <cell r="G145">
            <v>2204269.2000000002</v>
          </cell>
          <cell r="I145">
            <v>2276108.06</v>
          </cell>
          <cell r="K145">
            <v>2089666.04</v>
          </cell>
        </row>
        <row r="146">
          <cell r="D146">
            <v>0</v>
          </cell>
          <cell r="F146">
            <v>0</v>
          </cell>
          <cell r="G146">
            <v>0</v>
          </cell>
          <cell r="I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G147">
            <v>0</v>
          </cell>
          <cell r="I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G148">
            <v>0</v>
          </cell>
          <cell r="I148">
            <v>0</v>
          </cell>
          <cell r="K148">
            <v>0</v>
          </cell>
        </row>
        <row r="149">
          <cell r="C149">
            <v>0</v>
          </cell>
          <cell r="D149">
            <v>64926.36</v>
          </cell>
          <cell r="E149">
            <v>0</v>
          </cell>
          <cell r="F149">
            <v>64926.36</v>
          </cell>
          <cell r="G149">
            <v>71838.86</v>
          </cell>
          <cell r="H149">
            <v>0</v>
          </cell>
          <cell r="I149">
            <v>64926.36</v>
          </cell>
          <cell r="K149">
            <v>186441.86</v>
          </cell>
        </row>
        <row r="151">
          <cell r="C151">
            <v>0</v>
          </cell>
          <cell r="D151">
            <v>64926.36</v>
          </cell>
          <cell r="E151">
            <v>0</v>
          </cell>
          <cell r="F151">
            <v>64926.36</v>
          </cell>
          <cell r="G151">
            <v>71838.86</v>
          </cell>
          <cell r="H151">
            <v>0</v>
          </cell>
          <cell r="I151">
            <v>64926.36</v>
          </cell>
          <cell r="K151">
            <v>186442.02000000002</v>
          </cell>
        </row>
        <row r="152">
          <cell r="D152">
            <v>73076.77</v>
          </cell>
          <cell r="F152">
            <v>73076.77</v>
          </cell>
          <cell r="G152">
            <v>200514.39</v>
          </cell>
          <cell r="I152">
            <v>73076.77</v>
          </cell>
          <cell r="K152">
            <v>200514.39</v>
          </cell>
        </row>
        <row r="153">
          <cell r="D153">
            <v>0</v>
          </cell>
          <cell r="F153">
            <v>0</v>
          </cell>
          <cell r="G153">
            <v>0</v>
          </cell>
          <cell r="I153">
            <v>0</v>
          </cell>
          <cell r="K153">
            <v>0</v>
          </cell>
        </row>
        <row r="154">
          <cell r="C154">
            <v>0</v>
          </cell>
          <cell r="D154">
            <v>73076.77</v>
          </cell>
          <cell r="E154">
            <v>0</v>
          </cell>
          <cell r="F154">
            <v>73076.77</v>
          </cell>
          <cell r="G154">
            <v>200514.39</v>
          </cell>
          <cell r="H154">
            <v>0</v>
          </cell>
          <cell r="I154">
            <v>73076.77</v>
          </cell>
          <cell r="K154">
            <v>200514.39</v>
          </cell>
        </row>
        <row r="155">
          <cell r="C155">
            <v>0</v>
          </cell>
          <cell r="D155">
            <v>-10131.69</v>
          </cell>
          <cell r="E155">
            <v>0</v>
          </cell>
          <cell r="F155">
            <v>-10131.69</v>
          </cell>
          <cell r="G155">
            <v>-181008.71000000002</v>
          </cell>
          <cell r="H155">
            <v>0</v>
          </cell>
          <cell r="I155">
            <v>-10131.69</v>
          </cell>
          <cell r="K155">
            <v>-66405.55</v>
          </cell>
        </row>
        <row r="156">
          <cell r="D156">
            <v>0</v>
          </cell>
          <cell r="F156">
            <v>0</v>
          </cell>
          <cell r="G156">
            <v>0</v>
          </cell>
          <cell r="I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G157">
            <v>0</v>
          </cell>
          <cell r="I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G158">
            <v>0</v>
          </cell>
          <cell r="I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G159">
            <v>0</v>
          </cell>
          <cell r="I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G160">
            <v>0</v>
          </cell>
          <cell r="I160">
            <v>0</v>
          </cell>
          <cell r="K160">
            <v>0</v>
          </cell>
        </row>
        <row r="161">
          <cell r="D161">
            <v>-10131.69</v>
          </cell>
          <cell r="F161">
            <v>-10131.69</v>
          </cell>
          <cell r="G161">
            <v>-59065.58</v>
          </cell>
          <cell r="I161">
            <v>-10131.69</v>
          </cell>
          <cell r="K161">
            <v>-29361.61</v>
          </cell>
        </row>
        <row r="162">
          <cell r="D162">
            <v>0</v>
          </cell>
          <cell r="F162">
            <v>0</v>
          </cell>
          <cell r="G162">
            <v>0</v>
          </cell>
          <cell r="I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G163">
            <v>0</v>
          </cell>
          <cell r="I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G164">
            <v>0</v>
          </cell>
          <cell r="I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G165">
            <v>-121943.13</v>
          </cell>
          <cell r="I165">
            <v>0</v>
          </cell>
          <cell r="K165">
            <v>-37043.94</v>
          </cell>
        </row>
        <row r="166">
          <cell r="D166">
            <v>0</v>
          </cell>
          <cell r="F166">
            <v>0</v>
          </cell>
          <cell r="G166">
            <v>0</v>
          </cell>
          <cell r="I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G167">
            <v>0</v>
          </cell>
          <cell r="I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G168">
            <v>0</v>
          </cell>
          <cell r="I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G169">
            <v>0</v>
          </cell>
          <cell r="I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G170">
            <v>0</v>
          </cell>
          <cell r="I170">
            <v>0</v>
          </cell>
          <cell r="K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G172">
            <v>0</v>
          </cell>
          <cell r="I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G173">
            <v>0</v>
          </cell>
          <cell r="I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G174">
            <v>0</v>
          </cell>
          <cell r="I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G175">
            <v>0</v>
          </cell>
          <cell r="I175">
            <v>0</v>
          </cell>
          <cell r="K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-1500</v>
          </cell>
          <cell r="H176">
            <v>0</v>
          </cell>
          <cell r="I176">
            <v>0</v>
          </cell>
          <cell r="K176">
            <v>-1500</v>
          </cell>
        </row>
        <row r="177">
          <cell r="D177">
            <v>0</v>
          </cell>
          <cell r="F177">
            <v>0</v>
          </cell>
          <cell r="G177">
            <v>0</v>
          </cell>
          <cell r="I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G178">
            <v>0</v>
          </cell>
          <cell r="I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G179">
            <v>0</v>
          </cell>
          <cell r="I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G180">
            <v>0</v>
          </cell>
          <cell r="I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G181">
            <v>0</v>
          </cell>
          <cell r="I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G182">
            <v>0</v>
          </cell>
          <cell r="I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G183">
            <v>-1500</v>
          </cell>
          <cell r="I183">
            <v>0</v>
          </cell>
          <cell r="K183">
            <v>-1500</v>
          </cell>
        </row>
        <row r="184">
          <cell r="D184">
            <v>0</v>
          </cell>
          <cell r="F184">
            <v>0</v>
          </cell>
          <cell r="G184">
            <v>0</v>
          </cell>
          <cell r="I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G185">
            <v>0</v>
          </cell>
          <cell r="I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G186">
            <v>0</v>
          </cell>
          <cell r="I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G187">
            <v>0</v>
          </cell>
          <cell r="I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G188">
            <v>0</v>
          </cell>
          <cell r="I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G189">
            <v>0</v>
          </cell>
          <cell r="I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G190">
            <v>0</v>
          </cell>
          <cell r="I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G191">
            <v>0</v>
          </cell>
          <cell r="I191">
            <v>0</v>
          </cell>
          <cell r="K191">
            <v>0</v>
          </cell>
        </row>
        <row r="192">
          <cell r="C192">
            <v>0</v>
          </cell>
          <cell r="D192">
            <v>62945.08</v>
          </cell>
          <cell r="E192">
            <v>0</v>
          </cell>
          <cell r="F192">
            <v>62945.08</v>
          </cell>
          <cell r="G192">
            <v>18005.679999999993</v>
          </cell>
          <cell r="H192">
            <v>0</v>
          </cell>
          <cell r="I192">
            <v>62945.08</v>
          </cell>
          <cell r="K192">
            <v>132608.84000000003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52259.26</v>
          </cell>
          <cell r="H193">
            <v>0</v>
          </cell>
          <cell r="I193">
            <v>0</v>
          </cell>
          <cell r="K193">
            <v>52259.26</v>
          </cell>
        </row>
        <row r="194">
          <cell r="D194">
            <v>0</v>
          </cell>
          <cell r="F194">
            <v>0</v>
          </cell>
          <cell r="G194">
            <v>0</v>
          </cell>
          <cell r="I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G195">
            <v>0</v>
          </cell>
          <cell r="I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G196">
            <v>0</v>
          </cell>
          <cell r="I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G197">
            <v>0</v>
          </cell>
          <cell r="I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G198">
            <v>52259.26</v>
          </cell>
          <cell r="I198">
            <v>0</v>
          </cell>
          <cell r="K198">
            <v>52259.26</v>
          </cell>
        </row>
        <row r="199">
          <cell r="D199">
            <v>0</v>
          </cell>
          <cell r="F199">
            <v>0</v>
          </cell>
          <cell r="G199">
            <v>0</v>
          </cell>
          <cell r="I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G200">
            <v>0</v>
          </cell>
          <cell r="I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G201">
            <v>0</v>
          </cell>
          <cell r="I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G202">
            <v>0</v>
          </cell>
          <cell r="I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G203">
            <v>0</v>
          </cell>
          <cell r="I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G204">
            <v>0</v>
          </cell>
          <cell r="I204">
            <v>0</v>
          </cell>
          <cell r="K204">
            <v>0</v>
          </cell>
        </row>
        <row r="205">
          <cell r="C205">
            <v>0</v>
          </cell>
          <cell r="D205">
            <v>1981.28</v>
          </cell>
          <cell r="E205">
            <v>0</v>
          </cell>
          <cell r="F205">
            <v>1981.28</v>
          </cell>
          <cell r="G205">
            <v>-321.60000000000002</v>
          </cell>
          <cell r="H205">
            <v>0</v>
          </cell>
          <cell r="I205">
            <v>1981.28</v>
          </cell>
          <cell r="K205">
            <v>-321.60000000000002</v>
          </cell>
        </row>
        <row r="206">
          <cell r="D206">
            <v>0</v>
          </cell>
          <cell r="F206">
            <v>0</v>
          </cell>
          <cell r="G206">
            <v>0</v>
          </cell>
          <cell r="I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G207">
            <v>0</v>
          </cell>
          <cell r="I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G208">
            <v>0</v>
          </cell>
          <cell r="I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G209">
            <v>0</v>
          </cell>
          <cell r="I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G210">
            <v>0</v>
          </cell>
          <cell r="I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G211">
            <v>0</v>
          </cell>
          <cell r="I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G212">
            <v>0</v>
          </cell>
          <cell r="I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G213">
            <v>0</v>
          </cell>
          <cell r="I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G214">
            <v>0</v>
          </cell>
          <cell r="I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G215">
            <v>0</v>
          </cell>
          <cell r="I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G216">
            <v>0</v>
          </cell>
          <cell r="I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G217">
            <v>0</v>
          </cell>
          <cell r="I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G218">
            <v>0</v>
          </cell>
          <cell r="I218">
            <v>0</v>
          </cell>
          <cell r="K218">
            <v>0</v>
          </cell>
        </row>
        <row r="219">
          <cell r="D219">
            <v>1981.28</v>
          </cell>
          <cell r="F219">
            <v>1981.28</v>
          </cell>
          <cell r="G219">
            <v>-321.60000000000002</v>
          </cell>
          <cell r="I219">
            <v>1981.28</v>
          </cell>
          <cell r="K219">
            <v>-321.60000000000002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1895.52</v>
          </cell>
          <cell r="H220">
            <v>0</v>
          </cell>
          <cell r="I220">
            <v>0</v>
          </cell>
          <cell r="K220">
            <v>1895.52</v>
          </cell>
        </row>
        <row r="221">
          <cell r="D221">
            <v>0</v>
          </cell>
          <cell r="F221">
            <v>0</v>
          </cell>
          <cell r="G221">
            <v>1895.52</v>
          </cell>
          <cell r="I221">
            <v>0</v>
          </cell>
          <cell r="K221">
            <v>1895.52</v>
          </cell>
        </row>
        <row r="222">
          <cell r="D222">
            <v>0</v>
          </cell>
          <cell r="F222">
            <v>0</v>
          </cell>
          <cell r="G222">
            <v>0</v>
          </cell>
          <cell r="I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G223">
            <v>0</v>
          </cell>
          <cell r="I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G224">
            <v>0</v>
          </cell>
          <cell r="I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G225">
            <v>0</v>
          </cell>
          <cell r="I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G226">
            <v>0</v>
          </cell>
          <cell r="I226">
            <v>0</v>
          </cell>
          <cell r="K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G228">
            <v>0</v>
          </cell>
          <cell r="I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G229">
            <v>0</v>
          </cell>
          <cell r="I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G230">
            <v>0</v>
          </cell>
          <cell r="I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G231">
            <v>0</v>
          </cell>
          <cell r="I231">
            <v>0</v>
          </cell>
          <cell r="K231">
            <v>0</v>
          </cell>
        </row>
        <row r="232">
          <cell r="C232">
            <v>0</v>
          </cell>
          <cell r="D232">
            <v>64926.36</v>
          </cell>
          <cell r="E232">
            <v>0</v>
          </cell>
          <cell r="F232">
            <v>64926.36</v>
          </cell>
          <cell r="G232">
            <v>71838.86</v>
          </cell>
          <cell r="H232">
            <v>0</v>
          </cell>
          <cell r="I232">
            <v>64926.36</v>
          </cell>
          <cell r="K232">
            <v>186442.02000000002</v>
          </cell>
        </row>
        <row r="233">
          <cell r="I233">
            <v>0</v>
          </cell>
          <cell r="K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I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I236">
            <v>0</v>
          </cell>
          <cell r="K236">
            <v>0</v>
          </cell>
        </row>
        <row r="237">
          <cell r="I237">
            <v>0</v>
          </cell>
          <cell r="K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4.3-SIGMA"/>
      <sheetName val="A4_3_SIGMA"/>
      <sheetName val="A4.6-SEAOIL"/>
      <sheetName val="A4_3-SIGMA"/>
      <sheetName val="A4_6-SEAOIL"/>
      <sheetName val="A4_3-SIGMA1"/>
      <sheetName val="A4_6-SEAOIL1"/>
      <sheetName val="A4.2-FLEXIBRAS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INFO"/>
    </sheetNames>
    <sheetDataSet>
      <sheetData sheetId="0" refreshError="1">
        <row r="5">
          <cell r="C5">
            <v>69703743.959999993</v>
          </cell>
          <cell r="D5">
            <v>38724302.199999988</v>
          </cell>
          <cell r="F5">
            <v>-3682972.7344444445</v>
          </cell>
          <cell r="G5">
            <v>35041329.465555541</v>
          </cell>
          <cell r="H5">
            <v>40457427.01774735</v>
          </cell>
          <cell r="J5">
            <v>-1480322</v>
          </cell>
        </row>
        <row r="6">
          <cell r="C6">
            <v>11222103.120000001</v>
          </cell>
          <cell r="D6">
            <v>6234501.7333333343</v>
          </cell>
          <cell r="F6">
            <v>-3726303.14</v>
          </cell>
          <cell r="G6">
            <v>2508198.5933333342</v>
          </cell>
          <cell r="H6">
            <v>2532691.1669927407</v>
          </cell>
          <cell r="J6">
            <v>534010</v>
          </cell>
        </row>
        <row r="7">
          <cell r="C7">
            <v>74406.740000000005</v>
          </cell>
          <cell r="D7">
            <v>41337.077777777769</v>
          </cell>
          <cell r="F7">
            <v>0</v>
          </cell>
          <cell r="G7">
            <v>41337.077777777769</v>
          </cell>
          <cell r="H7">
            <v>426553.04080491897</v>
          </cell>
          <cell r="J7">
            <v>0</v>
          </cell>
        </row>
        <row r="8">
          <cell r="C8">
            <v>0</v>
          </cell>
          <cell r="D8">
            <v>0</v>
          </cell>
          <cell r="G8">
            <v>0</v>
          </cell>
          <cell r="H8">
            <v>0</v>
          </cell>
        </row>
        <row r="9">
          <cell r="C9">
            <v>0</v>
          </cell>
          <cell r="D9">
            <v>0</v>
          </cell>
          <cell r="G9">
            <v>0</v>
          </cell>
          <cell r="H9">
            <v>0</v>
          </cell>
        </row>
        <row r="10">
          <cell r="C10">
            <v>74406.740000000005</v>
          </cell>
          <cell r="D10">
            <v>41337.077777777769</v>
          </cell>
          <cell r="G10">
            <v>41337.077777777769</v>
          </cell>
          <cell r="H10">
            <v>426553.04080491897</v>
          </cell>
        </row>
        <row r="11">
          <cell r="C11">
            <v>0</v>
          </cell>
          <cell r="D11">
            <v>0</v>
          </cell>
          <cell r="G11">
            <v>0</v>
          </cell>
          <cell r="H11">
            <v>0</v>
          </cell>
        </row>
        <row r="12">
          <cell r="C12">
            <v>895319.65</v>
          </cell>
          <cell r="D12">
            <v>497399.80555555556</v>
          </cell>
          <cell r="F12">
            <v>0</v>
          </cell>
          <cell r="G12">
            <v>497399.80555555556</v>
          </cell>
          <cell r="H12">
            <v>551325.20402459474</v>
          </cell>
          <cell r="J12">
            <v>0</v>
          </cell>
        </row>
        <row r="13">
          <cell r="C13">
            <v>895319.65</v>
          </cell>
          <cell r="D13">
            <v>497399.80555555556</v>
          </cell>
          <cell r="G13">
            <v>497399.80555555556</v>
          </cell>
          <cell r="H13">
            <v>551325.20402459474</v>
          </cell>
        </row>
        <row r="14">
          <cell r="C14">
            <v>0</v>
          </cell>
          <cell r="D14">
            <v>0</v>
          </cell>
          <cell r="G14">
            <v>0</v>
          </cell>
          <cell r="H14">
            <v>0</v>
          </cell>
        </row>
        <row r="15">
          <cell r="C15">
            <v>0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J15">
            <v>0</v>
          </cell>
        </row>
        <row r="16">
          <cell r="C16">
            <v>0</v>
          </cell>
          <cell r="D16">
            <v>0</v>
          </cell>
          <cell r="G16">
            <v>0</v>
          </cell>
          <cell r="H16">
            <v>0</v>
          </cell>
        </row>
        <row r="17">
          <cell r="C17">
            <v>0</v>
          </cell>
          <cell r="D17">
            <v>0</v>
          </cell>
          <cell r="G17">
            <v>0</v>
          </cell>
          <cell r="H17">
            <v>0</v>
          </cell>
        </row>
        <row r="18">
          <cell r="C18">
            <v>0</v>
          </cell>
          <cell r="D18">
            <v>0</v>
          </cell>
          <cell r="G18">
            <v>0</v>
          </cell>
          <cell r="H18">
            <v>0</v>
          </cell>
        </row>
        <row r="19">
          <cell r="C19">
            <v>0</v>
          </cell>
          <cell r="D19">
            <v>0</v>
          </cell>
          <cell r="G19">
            <v>0</v>
          </cell>
          <cell r="H19">
            <v>0</v>
          </cell>
        </row>
        <row r="20">
          <cell r="C20">
            <v>946681.54</v>
          </cell>
          <cell r="D20">
            <v>525934.18888888892</v>
          </cell>
          <cell r="F20">
            <v>0</v>
          </cell>
          <cell r="G20">
            <v>525934.18888888892</v>
          </cell>
          <cell r="H20">
            <v>306137.78804359981</v>
          </cell>
          <cell r="J20">
            <v>0</v>
          </cell>
        </row>
        <row r="21">
          <cell r="C21">
            <v>946681.54</v>
          </cell>
          <cell r="D21">
            <v>525934.18888888892</v>
          </cell>
          <cell r="F21">
            <v>-525934.18999999994</v>
          </cell>
          <cell r="G21">
            <v>-1.1111110216006637E-3</v>
          </cell>
          <cell r="H21">
            <v>0</v>
          </cell>
        </row>
        <row r="22">
          <cell r="C22">
            <v>0</v>
          </cell>
          <cell r="D22">
            <v>0</v>
          </cell>
          <cell r="G22">
            <v>0</v>
          </cell>
          <cell r="H22">
            <v>0</v>
          </cell>
        </row>
        <row r="23">
          <cell r="C23">
            <v>0</v>
          </cell>
          <cell r="D23">
            <v>0</v>
          </cell>
          <cell r="G23">
            <v>0</v>
          </cell>
          <cell r="H23">
            <v>0</v>
          </cell>
        </row>
        <row r="24">
          <cell r="C24">
            <v>0</v>
          </cell>
          <cell r="D24">
            <v>0</v>
          </cell>
          <cell r="G24">
            <v>0</v>
          </cell>
          <cell r="H24">
            <v>0</v>
          </cell>
        </row>
        <row r="25">
          <cell r="C25">
            <v>0</v>
          </cell>
          <cell r="D25">
            <v>0</v>
          </cell>
          <cell r="G25">
            <v>0</v>
          </cell>
          <cell r="H25">
            <v>0</v>
          </cell>
        </row>
        <row r="26">
          <cell r="C26">
            <v>0</v>
          </cell>
          <cell r="D26">
            <v>0</v>
          </cell>
          <cell r="G26">
            <v>0</v>
          </cell>
          <cell r="H26">
            <v>0</v>
          </cell>
        </row>
        <row r="27">
          <cell r="C27">
            <v>0</v>
          </cell>
          <cell r="D27">
            <v>0</v>
          </cell>
          <cell r="F27">
            <v>525934.18999999994</v>
          </cell>
          <cell r="G27">
            <v>525934.18999999994</v>
          </cell>
          <cell r="H27">
            <v>306137.78804359981</v>
          </cell>
        </row>
        <row r="28">
          <cell r="C28">
            <v>0</v>
          </cell>
          <cell r="D28">
            <v>0</v>
          </cell>
          <cell r="G28">
            <v>0</v>
          </cell>
          <cell r="H28">
            <v>0</v>
          </cell>
        </row>
        <row r="29">
          <cell r="C29">
            <v>0</v>
          </cell>
          <cell r="D29">
            <v>0</v>
          </cell>
          <cell r="F29">
            <v>24403</v>
          </cell>
          <cell r="G29">
            <v>24403</v>
          </cell>
          <cell r="H29">
            <v>82868.460000000006</v>
          </cell>
          <cell r="J29">
            <v>534010</v>
          </cell>
        </row>
        <row r="30">
          <cell r="C30">
            <v>0</v>
          </cell>
          <cell r="D30">
            <v>0</v>
          </cell>
          <cell r="G30">
            <v>0</v>
          </cell>
          <cell r="H30">
            <v>0</v>
          </cell>
        </row>
        <row r="31">
          <cell r="C31">
            <v>0</v>
          </cell>
          <cell r="D31">
            <v>0</v>
          </cell>
          <cell r="G31">
            <v>0</v>
          </cell>
          <cell r="H31">
            <v>0</v>
          </cell>
        </row>
        <row r="32">
          <cell r="C32">
            <v>0</v>
          </cell>
          <cell r="D32">
            <v>0</v>
          </cell>
          <cell r="F32">
            <v>24403</v>
          </cell>
          <cell r="G32">
            <v>24403</v>
          </cell>
          <cell r="H32">
            <v>24666</v>
          </cell>
        </row>
        <row r="33">
          <cell r="C33">
            <v>0</v>
          </cell>
          <cell r="D33">
            <v>0</v>
          </cell>
          <cell r="G33">
            <v>0</v>
          </cell>
          <cell r="H33">
            <v>58202.46</v>
          </cell>
          <cell r="I33" t="str">
            <v xml:space="preserve">A4.3.3 SIGMA - </v>
          </cell>
          <cell r="J33">
            <v>534010</v>
          </cell>
        </row>
        <row r="34">
          <cell r="C34">
            <v>0</v>
          </cell>
          <cell r="D34">
            <v>0</v>
          </cell>
          <cell r="G34">
            <v>0</v>
          </cell>
          <cell r="H34">
            <v>0</v>
          </cell>
        </row>
        <row r="35">
          <cell r="C35">
            <v>9305695.1900000013</v>
          </cell>
          <cell r="D35">
            <v>5169830.6611111118</v>
          </cell>
          <cell r="F35">
            <v>-3750706.14</v>
          </cell>
          <cell r="G35">
            <v>1419124.5211111116</v>
          </cell>
          <cell r="H35">
            <v>1165806.6741196273</v>
          </cell>
          <cell r="J35">
            <v>0</v>
          </cell>
        </row>
        <row r="36">
          <cell r="C36">
            <v>6907806.5500000007</v>
          </cell>
          <cell r="D36">
            <v>3837670.305555556</v>
          </cell>
          <cell r="F36">
            <v>-3620926.64</v>
          </cell>
          <cell r="G36">
            <v>216743.66555555584</v>
          </cell>
          <cell r="H36">
            <v>7045.3884851871544</v>
          </cell>
        </row>
        <row r="37">
          <cell r="C37">
            <v>0</v>
          </cell>
          <cell r="D37">
            <v>0</v>
          </cell>
          <cell r="G37">
            <v>0</v>
          </cell>
          <cell r="H37">
            <v>0</v>
          </cell>
        </row>
        <row r="38">
          <cell r="C38">
            <v>2323357.31</v>
          </cell>
          <cell r="D38">
            <v>1290754.0611111112</v>
          </cell>
          <cell r="F38">
            <v>-129779.5</v>
          </cell>
          <cell r="G38">
            <v>1160974.5611111112</v>
          </cell>
          <cell r="H38">
            <v>1047167.4958077214</v>
          </cell>
        </row>
        <row r="39">
          <cell r="C39">
            <v>0</v>
          </cell>
          <cell r="D39">
            <v>0</v>
          </cell>
          <cell r="G39">
            <v>0</v>
          </cell>
          <cell r="H39">
            <v>0</v>
          </cell>
        </row>
        <row r="40">
          <cell r="C40">
            <v>74531.33</v>
          </cell>
          <cell r="D40">
            <v>41406.294444444444</v>
          </cell>
          <cell r="G40">
            <v>41406.294444444444</v>
          </cell>
          <cell r="H40">
            <v>111593.78982671884</v>
          </cell>
        </row>
        <row r="41">
          <cell r="C41">
            <v>0</v>
          </cell>
          <cell r="D41">
            <v>0</v>
          </cell>
          <cell r="G41">
            <v>0</v>
          </cell>
          <cell r="H41">
            <v>0</v>
          </cell>
        </row>
        <row r="42">
          <cell r="C42">
            <v>0</v>
          </cell>
          <cell r="D42">
            <v>0</v>
          </cell>
          <cell r="G42">
            <v>0</v>
          </cell>
          <cell r="H42">
            <v>0</v>
          </cell>
        </row>
        <row r="43">
          <cell r="C43">
            <v>0</v>
          </cell>
          <cell r="D43">
            <v>0</v>
          </cell>
          <cell r="G43">
            <v>0</v>
          </cell>
          <cell r="H43">
            <v>0</v>
          </cell>
        </row>
        <row r="44">
          <cell r="C44">
            <v>0</v>
          </cell>
          <cell r="D44">
            <v>0</v>
          </cell>
          <cell r="G44">
            <v>0</v>
          </cell>
          <cell r="H44">
            <v>0</v>
          </cell>
        </row>
        <row r="45">
          <cell r="C45">
            <v>58118419.569999993</v>
          </cell>
          <cell r="D45">
            <v>32288010.872222219</v>
          </cell>
          <cell r="F45">
            <v>0</v>
          </cell>
          <cell r="G45">
            <v>32288010.872222219</v>
          </cell>
          <cell r="H45">
            <v>37636732.850754611</v>
          </cell>
          <cell r="J45">
            <v>-2014332</v>
          </cell>
        </row>
        <row r="46">
          <cell r="C46">
            <v>0</v>
          </cell>
          <cell r="D46">
            <v>0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</row>
        <row r="47">
          <cell r="C47">
            <v>0</v>
          </cell>
          <cell r="D47">
            <v>0</v>
          </cell>
          <cell r="G47">
            <v>0</v>
          </cell>
          <cell r="H47">
            <v>0</v>
          </cell>
        </row>
        <row r="48">
          <cell r="C48">
            <v>0</v>
          </cell>
          <cell r="D48">
            <v>0</v>
          </cell>
          <cell r="G48">
            <v>0</v>
          </cell>
          <cell r="H48">
            <v>0</v>
          </cell>
        </row>
        <row r="49">
          <cell r="C49">
            <v>0</v>
          </cell>
          <cell r="D49">
            <v>0</v>
          </cell>
          <cell r="G49">
            <v>0</v>
          </cell>
          <cell r="H49">
            <v>0</v>
          </cell>
        </row>
        <row r="50">
          <cell r="C50">
            <v>0</v>
          </cell>
          <cell r="D50">
            <v>0</v>
          </cell>
          <cell r="G50">
            <v>0</v>
          </cell>
          <cell r="H50">
            <v>0</v>
          </cell>
        </row>
        <row r="51">
          <cell r="C51">
            <v>0</v>
          </cell>
          <cell r="D51">
            <v>0</v>
          </cell>
          <cell r="G51">
            <v>0</v>
          </cell>
          <cell r="H51">
            <v>0</v>
          </cell>
        </row>
        <row r="52">
          <cell r="C52">
            <v>0</v>
          </cell>
          <cell r="D52">
            <v>0</v>
          </cell>
          <cell r="G52">
            <v>0</v>
          </cell>
          <cell r="H52">
            <v>0</v>
          </cell>
        </row>
        <row r="53">
          <cell r="C53">
            <v>58118419.569999993</v>
          </cell>
          <cell r="D53">
            <v>32288010.872222219</v>
          </cell>
          <cell r="F53">
            <v>0</v>
          </cell>
          <cell r="G53">
            <v>32288010.872222219</v>
          </cell>
          <cell r="H53">
            <v>37636732.850754611</v>
          </cell>
          <cell r="J53">
            <v>-2014332</v>
          </cell>
        </row>
        <row r="54">
          <cell r="C54">
            <v>58118419.569999993</v>
          </cell>
          <cell r="D54">
            <v>32288010.872222219</v>
          </cell>
          <cell r="F54">
            <v>0</v>
          </cell>
          <cell r="G54">
            <v>32288010.872222219</v>
          </cell>
          <cell r="H54">
            <v>37636732.850754611</v>
          </cell>
          <cell r="J54">
            <v>0</v>
          </cell>
        </row>
        <row r="55">
          <cell r="C55">
            <v>0</v>
          </cell>
          <cell r="D55">
            <v>0</v>
          </cell>
          <cell r="G55">
            <v>0</v>
          </cell>
          <cell r="H55">
            <v>0</v>
          </cell>
        </row>
        <row r="56">
          <cell r="C56">
            <v>54296204.909999996</v>
          </cell>
          <cell r="D56">
            <v>30164558.283333331</v>
          </cell>
          <cell r="G56">
            <v>30164558.283333331</v>
          </cell>
          <cell r="H56">
            <v>35275340.832867526</v>
          </cell>
        </row>
        <row r="57">
          <cell r="C57">
            <v>0</v>
          </cell>
          <cell r="D57">
            <v>0</v>
          </cell>
          <cell r="G57">
            <v>0</v>
          </cell>
          <cell r="H57">
            <v>0</v>
          </cell>
        </row>
        <row r="58">
          <cell r="C58">
            <v>3822214.66</v>
          </cell>
          <cell r="D58">
            <v>2123452.5888888887</v>
          </cell>
          <cell r="G58">
            <v>2123452.5888888887</v>
          </cell>
          <cell r="H58">
            <v>2361392.017887088</v>
          </cell>
        </row>
        <row r="59">
          <cell r="C59">
            <v>0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  <cell r="J59">
            <v>-2014332</v>
          </cell>
        </row>
        <row r="60">
          <cell r="C60">
            <v>0</v>
          </cell>
          <cell r="D60">
            <v>0</v>
          </cell>
          <cell r="G60">
            <v>0</v>
          </cell>
          <cell r="H60">
            <v>0</v>
          </cell>
        </row>
        <row r="61">
          <cell r="C61">
            <v>0</v>
          </cell>
          <cell r="D61">
            <v>0</v>
          </cell>
          <cell r="G61">
            <v>0</v>
          </cell>
          <cell r="H61">
            <v>0</v>
          </cell>
        </row>
        <row r="62">
          <cell r="C62">
            <v>0</v>
          </cell>
          <cell r="D62">
            <v>0</v>
          </cell>
          <cell r="G62">
            <v>0</v>
          </cell>
          <cell r="H62">
            <v>0</v>
          </cell>
        </row>
        <row r="63">
          <cell r="C63">
            <v>0</v>
          </cell>
          <cell r="D63">
            <v>0</v>
          </cell>
          <cell r="G63">
            <v>0</v>
          </cell>
          <cell r="H63">
            <v>0</v>
          </cell>
          <cell r="I63" t="str">
            <v xml:space="preserve">A4.3.3 SIGMA - </v>
          </cell>
          <cell r="J63">
            <v>-2014332</v>
          </cell>
        </row>
        <row r="64">
          <cell r="C64">
            <v>0</v>
          </cell>
          <cell r="D64">
            <v>0</v>
          </cell>
          <cell r="F64">
            <v>0</v>
          </cell>
          <cell r="G64">
            <v>0</v>
          </cell>
          <cell r="H64">
            <v>0</v>
          </cell>
          <cell r="J64">
            <v>0</v>
          </cell>
        </row>
        <row r="65">
          <cell r="C65">
            <v>0</v>
          </cell>
          <cell r="D65">
            <v>0</v>
          </cell>
          <cell r="G65">
            <v>0</v>
          </cell>
          <cell r="H65">
            <v>0</v>
          </cell>
        </row>
        <row r="66">
          <cell r="C66">
            <v>0</v>
          </cell>
          <cell r="D66">
            <v>0</v>
          </cell>
          <cell r="G66">
            <v>0</v>
          </cell>
          <cell r="H66">
            <v>0</v>
          </cell>
        </row>
        <row r="67">
          <cell r="C67">
            <v>0</v>
          </cell>
          <cell r="D67">
            <v>0</v>
          </cell>
          <cell r="G67">
            <v>0</v>
          </cell>
          <cell r="H67">
            <v>0</v>
          </cell>
        </row>
        <row r="68">
          <cell r="C68">
            <v>0</v>
          </cell>
          <cell r="D68">
            <v>0</v>
          </cell>
          <cell r="G68">
            <v>0</v>
          </cell>
          <cell r="H68">
            <v>0</v>
          </cell>
        </row>
        <row r="69">
          <cell r="C69">
            <v>0</v>
          </cell>
          <cell r="D69">
            <v>0</v>
          </cell>
          <cell r="G69">
            <v>0</v>
          </cell>
          <cell r="H69">
            <v>0</v>
          </cell>
        </row>
        <row r="70">
          <cell r="C70">
            <v>0</v>
          </cell>
          <cell r="D70">
            <v>0</v>
          </cell>
          <cell r="G70">
            <v>0</v>
          </cell>
          <cell r="H70">
            <v>0</v>
          </cell>
        </row>
        <row r="71">
          <cell r="C71">
            <v>0</v>
          </cell>
          <cell r="D71">
            <v>0</v>
          </cell>
          <cell r="G71">
            <v>0</v>
          </cell>
          <cell r="H71">
            <v>0</v>
          </cell>
        </row>
        <row r="72">
          <cell r="C72">
            <v>358070.25</v>
          </cell>
          <cell r="D72">
            <v>198927.91666666698</v>
          </cell>
          <cell r="F72">
            <v>33304.083333333023</v>
          </cell>
          <cell r="G72">
            <v>232232</v>
          </cell>
          <cell r="H72">
            <v>275115</v>
          </cell>
          <cell r="J72">
            <v>0</v>
          </cell>
        </row>
        <row r="73">
          <cell r="C73">
            <v>3712596.19</v>
          </cell>
          <cell r="D73">
            <v>2062553.438888889</v>
          </cell>
          <cell r="F73">
            <v>1221570.561111111</v>
          </cell>
          <cell r="G73">
            <v>3284124</v>
          </cell>
          <cell r="H73">
            <v>3306132</v>
          </cell>
          <cell r="J73">
            <v>0</v>
          </cell>
        </row>
        <row r="74">
          <cell r="C74">
            <v>166438.29999999999</v>
          </cell>
          <cell r="D74">
            <v>92465.722222222219</v>
          </cell>
          <cell r="F74">
            <v>-92465.722222222219</v>
          </cell>
          <cell r="G74">
            <v>0</v>
          </cell>
          <cell r="H74">
            <v>0</v>
          </cell>
        </row>
        <row r="75">
          <cell r="C75">
            <v>3197081.68</v>
          </cell>
          <cell r="D75">
            <v>1776156.4888888889</v>
          </cell>
          <cell r="F75">
            <v>-1776156.4888888889</v>
          </cell>
          <cell r="G75">
            <v>0</v>
          </cell>
          <cell r="H75">
            <v>0</v>
          </cell>
        </row>
        <row r="76">
          <cell r="C76">
            <v>185768.76</v>
          </cell>
          <cell r="D76">
            <v>103204.86666666667</v>
          </cell>
          <cell r="F76">
            <v>3076454.1333333333</v>
          </cell>
          <cell r="G76">
            <v>3179659</v>
          </cell>
          <cell r="H76">
            <v>3174545</v>
          </cell>
        </row>
        <row r="77">
          <cell r="C77">
            <v>964.11</v>
          </cell>
          <cell r="D77">
            <v>535.61666666666667</v>
          </cell>
          <cell r="F77">
            <v>8613.3833333333332</v>
          </cell>
          <cell r="G77">
            <v>9149</v>
          </cell>
          <cell r="H77">
            <v>9149</v>
          </cell>
        </row>
        <row r="78">
          <cell r="C78">
            <v>133012.01</v>
          </cell>
          <cell r="D78">
            <v>73895.561111111121</v>
          </cell>
          <cell r="F78">
            <v>13786.438888888879</v>
          </cell>
          <cell r="G78">
            <v>87682</v>
          </cell>
          <cell r="H78">
            <v>113668</v>
          </cell>
        </row>
        <row r="79">
          <cell r="C79">
            <v>29331.33</v>
          </cell>
          <cell r="D79">
            <v>16295.183333333334</v>
          </cell>
          <cell r="F79">
            <v>-8661.1833333333343</v>
          </cell>
          <cell r="G79">
            <v>7634</v>
          </cell>
          <cell r="H79">
            <v>8770</v>
          </cell>
        </row>
        <row r="80">
          <cell r="C80">
            <v>0</v>
          </cell>
          <cell r="D80">
            <v>0</v>
          </cell>
          <cell r="G80">
            <v>0</v>
          </cell>
          <cell r="H80">
            <v>0</v>
          </cell>
        </row>
        <row r="81">
          <cell r="C81">
            <v>3354525.94</v>
          </cell>
          <cell r="D81">
            <v>1863625.5222222221</v>
          </cell>
          <cell r="F81">
            <v>1188266.4777777779</v>
          </cell>
          <cell r="G81">
            <v>3051892</v>
          </cell>
          <cell r="H81">
            <v>3031017</v>
          </cell>
          <cell r="J81">
            <v>0</v>
          </cell>
        </row>
        <row r="82">
          <cell r="C82">
            <v>3182102.26</v>
          </cell>
          <cell r="D82">
            <v>1767834.5888888887</v>
          </cell>
          <cell r="F82">
            <v>-1767834.5888888887</v>
          </cell>
          <cell r="G82">
            <v>0</v>
          </cell>
          <cell r="H82">
            <v>0</v>
          </cell>
        </row>
        <row r="83">
          <cell r="C83">
            <v>101295.65</v>
          </cell>
          <cell r="D83">
            <v>56275.361111111109</v>
          </cell>
          <cell r="F83">
            <v>2979164.638888889</v>
          </cell>
          <cell r="G83">
            <v>3035440</v>
          </cell>
          <cell r="H83">
            <v>3010317</v>
          </cell>
        </row>
        <row r="84">
          <cell r="C84">
            <v>425.6</v>
          </cell>
          <cell r="D84">
            <v>236.44444444444446</v>
          </cell>
          <cell r="F84">
            <v>2421.5555555555557</v>
          </cell>
          <cell r="G84">
            <v>2658</v>
          </cell>
          <cell r="H84">
            <v>2200</v>
          </cell>
        </row>
        <row r="85">
          <cell r="C85">
            <v>70702.429999999993</v>
          </cell>
          <cell r="D85">
            <v>39279.127777777772</v>
          </cell>
          <cell r="F85">
            <v>-25485.127777777772</v>
          </cell>
          <cell r="G85">
            <v>13794</v>
          </cell>
          <cell r="H85">
            <v>18500</v>
          </cell>
        </row>
        <row r="86">
          <cell r="C86">
            <v>0</v>
          </cell>
          <cell r="D86">
            <v>0</v>
          </cell>
          <cell r="G86">
            <v>0</v>
          </cell>
          <cell r="H86">
            <v>0</v>
          </cell>
        </row>
        <row r="87">
          <cell r="C87">
            <v>0</v>
          </cell>
          <cell r="D87">
            <v>0</v>
          </cell>
          <cell r="G87">
            <v>0</v>
          </cell>
          <cell r="H87">
            <v>0</v>
          </cell>
        </row>
        <row r="88">
          <cell r="C88">
            <v>5151.019999999553</v>
          </cell>
          <cell r="D88">
            <v>2861.6777777774259</v>
          </cell>
          <cell r="F88">
            <v>10026.322222222574</v>
          </cell>
          <cell r="G88">
            <v>12888</v>
          </cell>
          <cell r="H88">
            <v>12888</v>
          </cell>
          <cell r="J88">
            <v>0</v>
          </cell>
        </row>
        <row r="89">
          <cell r="C89">
            <v>3682892.51</v>
          </cell>
          <cell r="D89">
            <v>2046051.3944444442</v>
          </cell>
          <cell r="F89">
            <v>2163209.6055555558</v>
          </cell>
          <cell r="G89">
            <v>4209261</v>
          </cell>
          <cell r="H89">
            <v>4209261</v>
          </cell>
          <cell r="J89">
            <v>0</v>
          </cell>
        </row>
        <row r="90">
          <cell r="C90">
            <v>0</v>
          </cell>
          <cell r="D90">
            <v>0</v>
          </cell>
          <cell r="F90">
            <v>679373</v>
          </cell>
          <cell r="G90">
            <v>679373</v>
          </cell>
          <cell r="H90">
            <v>679373</v>
          </cell>
        </row>
        <row r="91">
          <cell r="C91">
            <v>3682892.51</v>
          </cell>
          <cell r="D91">
            <v>2046051.3944444442</v>
          </cell>
          <cell r="F91">
            <v>1483836.6055555558</v>
          </cell>
          <cell r="G91">
            <v>3529888</v>
          </cell>
          <cell r="H91">
            <v>3529888</v>
          </cell>
        </row>
        <row r="92">
          <cell r="C92">
            <v>3677741.49</v>
          </cell>
          <cell r="D92">
            <v>2043189.7166666668</v>
          </cell>
          <cell r="F92">
            <v>2153183.2833333332</v>
          </cell>
          <cell r="G92">
            <v>4196373</v>
          </cell>
          <cell r="H92">
            <v>4196373</v>
          </cell>
          <cell r="J92">
            <v>0</v>
          </cell>
        </row>
        <row r="93">
          <cell r="C93">
            <v>0</v>
          </cell>
          <cell r="D93">
            <v>0</v>
          </cell>
          <cell r="F93">
            <v>679373</v>
          </cell>
          <cell r="G93">
            <v>679373</v>
          </cell>
          <cell r="H93">
            <v>679373</v>
          </cell>
        </row>
        <row r="94">
          <cell r="C94">
            <v>3677741.49</v>
          </cell>
          <cell r="D94">
            <v>2043189.7166666668</v>
          </cell>
          <cell r="F94">
            <v>1473810.2833333332</v>
          </cell>
          <cell r="G94">
            <v>3517000</v>
          </cell>
          <cell r="H94">
            <v>3517000</v>
          </cell>
        </row>
        <row r="96">
          <cell r="C96">
            <v>69703743.960000008</v>
          </cell>
          <cell r="D96">
            <v>38724302.199999996</v>
          </cell>
          <cell r="F96">
            <v>-3682972.7255555564</v>
          </cell>
          <cell r="G96">
            <v>35041329.474444441</v>
          </cell>
          <cell r="H96">
            <v>40457426.653247617</v>
          </cell>
          <cell r="J96">
            <v>-1480322</v>
          </cell>
        </row>
        <row r="97">
          <cell r="C97">
            <v>8329404.2200000025</v>
          </cell>
          <cell r="D97">
            <v>4627446.7888888894</v>
          </cell>
          <cell r="F97">
            <v>-3851494.47</v>
          </cell>
          <cell r="G97">
            <v>775952.31888888916</v>
          </cell>
          <cell r="H97">
            <v>4458565.3158188928</v>
          </cell>
          <cell r="J97">
            <v>1043294</v>
          </cell>
        </row>
        <row r="98">
          <cell r="C98">
            <v>0</v>
          </cell>
          <cell r="D98">
            <v>0</v>
          </cell>
          <cell r="F98">
            <v>0</v>
          </cell>
          <cell r="G98">
            <v>0</v>
          </cell>
          <cell r="H98">
            <v>0</v>
          </cell>
          <cell r="J98">
            <v>0</v>
          </cell>
        </row>
        <row r="99">
          <cell r="C99">
            <v>0</v>
          </cell>
          <cell r="D99">
            <v>0</v>
          </cell>
          <cell r="F99">
            <v>0</v>
          </cell>
          <cell r="G99">
            <v>0</v>
          </cell>
          <cell r="H99">
            <v>0</v>
          </cell>
          <cell r="J99">
            <v>0</v>
          </cell>
        </row>
        <row r="100">
          <cell r="C100">
            <v>708291.77</v>
          </cell>
          <cell r="D100">
            <v>393495.42777777778</v>
          </cell>
          <cell r="F100">
            <v>-65391.38</v>
          </cell>
          <cell r="G100">
            <v>328104.04777777777</v>
          </cell>
          <cell r="H100">
            <v>404082.33091112354</v>
          </cell>
          <cell r="J100">
            <v>0</v>
          </cell>
        </row>
        <row r="101">
          <cell r="C101">
            <v>0</v>
          </cell>
          <cell r="D101">
            <v>0</v>
          </cell>
          <cell r="F101">
            <v>0</v>
          </cell>
          <cell r="G101">
            <v>0</v>
          </cell>
          <cell r="H101">
            <v>0</v>
          </cell>
          <cell r="J101">
            <v>0</v>
          </cell>
        </row>
        <row r="102">
          <cell r="C102">
            <v>0</v>
          </cell>
          <cell r="D102">
            <v>0</v>
          </cell>
          <cell r="G102">
            <v>0</v>
          </cell>
          <cell r="H102">
            <v>0</v>
          </cell>
        </row>
        <row r="103">
          <cell r="C103">
            <v>0</v>
          </cell>
          <cell r="D103">
            <v>0</v>
          </cell>
          <cell r="G103">
            <v>0</v>
          </cell>
          <cell r="H103">
            <v>0</v>
          </cell>
        </row>
        <row r="104">
          <cell r="C104">
            <v>0</v>
          </cell>
          <cell r="D104">
            <v>0</v>
          </cell>
          <cell r="G104">
            <v>0</v>
          </cell>
          <cell r="H104">
            <v>0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J105">
            <v>0</v>
          </cell>
        </row>
        <row r="106">
          <cell r="C106">
            <v>0</v>
          </cell>
          <cell r="D106">
            <v>0</v>
          </cell>
          <cell r="G106">
            <v>0</v>
          </cell>
          <cell r="H106">
            <v>0</v>
          </cell>
        </row>
        <row r="107">
          <cell r="C107">
            <v>0</v>
          </cell>
          <cell r="D107">
            <v>0</v>
          </cell>
          <cell r="G107">
            <v>0</v>
          </cell>
          <cell r="H107">
            <v>0</v>
          </cell>
        </row>
        <row r="108">
          <cell r="C108">
            <v>0</v>
          </cell>
          <cell r="D108">
            <v>0</v>
          </cell>
          <cell r="G108">
            <v>0</v>
          </cell>
          <cell r="H108">
            <v>0</v>
          </cell>
        </row>
        <row r="109">
          <cell r="C109">
            <v>0</v>
          </cell>
          <cell r="D109">
            <v>0</v>
          </cell>
          <cell r="G109">
            <v>0</v>
          </cell>
          <cell r="H109">
            <v>0</v>
          </cell>
        </row>
        <row r="110">
          <cell r="C110">
            <v>7621112.450000002</v>
          </cell>
          <cell r="D110">
            <v>4233951.3611111119</v>
          </cell>
          <cell r="F110">
            <v>-3786103.09</v>
          </cell>
          <cell r="G110">
            <v>447848.27111111209</v>
          </cell>
          <cell r="H110">
            <v>4054482.9849077696</v>
          </cell>
          <cell r="J110">
            <v>1043294</v>
          </cell>
        </row>
        <row r="111">
          <cell r="C111">
            <v>0</v>
          </cell>
          <cell r="D111">
            <v>0</v>
          </cell>
          <cell r="G111">
            <v>0</v>
          </cell>
          <cell r="H111">
            <v>0</v>
          </cell>
        </row>
        <row r="112">
          <cell r="C112">
            <v>7584165.0600000024</v>
          </cell>
          <cell r="D112">
            <v>4213425.0333333341</v>
          </cell>
          <cell r="F112">
            <v>-3765576.76</v>
          </cell>
          <cell r="G112">
            <v>447848.27333333436</v>
          </cell>
          <cell r="H112">
            <v>4033830.4471771936</v>
          </cell>
          <cell r="I112" t="str">
            <v xml:space="preserve">A4.3.3 SIGMA - </v>
          </cell>
          <cell r="J112">
            <v>523388</v>
          </cell>
        </row>
        <row r="113">
          <cell r="C113">
            <v>0</v>
          </cell>
          <cell r="D113">
            <v>0</v>
          </cell>
          <cell r="G113">
            <v>0</v>
          </cell>
          <cell r="H113">
            <v>20652.537730575816</v>
          </cell>
          <cell r="I113" t="str">
            <v xml:space="preserve">A4.3.3 SIGMA - </v>
          </cell>
          <cell r="J113">
            <v>200000</v>
          </cell>
        </row>
        <row r="114">
          <cell r="C114">
            <v>36947.39</v>
          </cell>
          <cell r="D114">
            <v>20526.327777777777</v>
          </cell>
          <cell r="F114">
            <v>-20526.330000000002</v>
          </cell>
          <cell r="G114">
            <v>-2.2222222251002677E-3</v>
          </cell>
          <cell r="H114">
            <v>0</v>
          </cell>
        </row>
        <row r="115">
          <cell r="C115">
            <v>0</v>
          </cell>
          <cell r="D115">
            <v>0</v>
          </cell>
          <cell r="G115">
            <v>0</v>
          </cell>
          <cell r="H115">
            <v>0</v>
          </cell>
          <cell r="I115" t="str">
            <v xml:space="preserve">A4.3.3 SIGMA - </v>
          </cell>
          <cell r="J115">
            <v>319906</v>
          </cell>
        </row>
        <row r="116">
          <cell r="C116">
            <v>0</v>
          </cell>
          <cell r="D116">
            <v>0</v>
          </cell>
          <cell r="G116">
            <v>0</v>
          </cell>
          <cell r="H116">
            <v>0</v>
          </cell>
        </row>
        <row r="117">
          <cell r="C117">
            <v>0</v>
          </cell>
          <cell r="D117">
            <v>0</v>
          </cell>
          <cell r="F117">
            <v>0</v>
          </cell>
          <cell r="G117">
            <v>0</v>
          </cell>
          <cell r="H117">
            <v>1684188.6249301287</v>
          </cell>
          <cell r="J117">
            <v>0</v>
          </cell>
        </row>
        <row r="118">
          <cell r="C118">
            <v>0</v>
          </cell>
          <cell r="D118">
            <v>0</v>
          </cell>
          <cell r="F118">
            <v>0</v>
          </cell>
          <cell r="G118">
            <v>0</v>
          </cell>
          <cell r="H118">
            <v>1684188.6249301287</v>
          </cell>
          <cell r="J118">
            <v>0</v>
          </cell>
        </row>
        <row r="119">
          <cell r="C119">
            <v>0</v>
          </cell>
          <cell r="D119">
            <v>0</v>
          </cell>
          <cell r="F119">
            <v>0</v>
          </cell>
          <cell r="G119">
            <v>0</v>
          </cell>
          <cell r="H119">
            <v>0</v>
          </cell>
          <cell r="J119">
            <v>0</v>
          </cell>
        </row>
        <row r="120">
          <cell r="C120">
            <v>0</v>
          </cell>
          <cell r="D120">
            <v>0</v>
          </cell>
          <cell r="G120">
            <v>0</v>
          </cell>
          <cell r="H120">
            <v>0</v>
          </cell>
        </row>
        <row r="121">
          <cell r="C121">
            <v>0</v>
          </cell>
          <cell r="D121">
            <v>0</v>
          </cell>
          <cell r="G121">
            <v>0</v>
          </cell>
          <cell r="H121">
            <v>0</v>
          </cell>
        </row>
        <row r="122">
          <cell r="C122">
            <v>0</v>
          </cell>
          <cell r="D122">
            <v>0</v>
          </cell>
          <cell r="G122">
            <v>0</v>
          </cell>
          <cell r="H122">
            <v>0</v>
          </cell>
        </row>
        <row r="123">
          <cell r="C123">
            <v>0</v>
          </cell>
          <cell r="D123">
            <v>0</v>
          </cell>
          <cell r="G123">
            <v>0</v>
          </cell>
          <cell r="H123">
            <v>0</v>
          </cell>
        </row>
        <row r="124">
          <cell r="C124">
            <v>0</v>
          </cell>
          <cell r="D124">
            <v>0</v>
          </cell>
          <cell r="G124">
            <v>0</v>
          </cell>
          <cell r="H124">
            <v>0</v>
          </cell>
        </row>
        <row r="125">
          <cell r="C125">
            <v>0</v>
          </cell>
          <cell r="D125">
            <v>0</v>
          </cell>
          <cell r="G125">
            <v>0</v>
          </cell>
          <cell r="H125">
            <v>0</v>
          </cell>
        </row>
        <row r="126">
          <cell r="C126">
            <v>0</v>
          </cell>
          <cell r="D126">
            <v>0</v>
          </cell>
          <cell r="F126">
            <v>0</v>
          </cell>
          <cell r="G126">
            <v>0</v>
          </cell>
          <cell r="H126">
            <v>0</v>
          </cell>
          <cell r="J126">
            <v>0</v>
          </cell>
        </row>
        <row r="127">
          <cell r="C127">
            <v>0</v>
          </cell>
          <cell r="D127">
            <v>0</v>
          </cell>
          <cell r="G127">
            <v>0</v>
          </cell>
          <cell r="H127">
            <v>0</v>
          </cell>
        </row>
        <row r="128">
          <cell r="C128">
            <v>0</v>
          </cell>
          <cell r="D128">
            <v>0</v>
          </cell>
          <cell r="G128">
            <v>0</v>
          </cell>
          <cell r="H128">
            <v>0</v>
          </cell>
        </row>
        <row r="129">
          <cell r="C129">
            <v>0</v>
          </cell>
          <cell r="D129">
            <v>0</v>
          </cell>
          <cell r="G129">
            <v>0</v>
          </cell>
          <cell r="H129">
            <v>0</v>
          </cell>
        </row>
        <row r="130">
          <cell r="C130">
            <v>0</v>
          </cell>
          <cell r="D130">
            <v>0</v>
          </cell>
          <cell r="G130">
            <v>0</v>
          </cell>
          <cell r="H130">
            <v>0</v>
          </cell>
        </row>
        <row r="131">
          <cell r="C131">
            <v>0</v>
          </cell>
          <cell r="D131">
            <v>0</v>
          </cell>
          <cell r="G131">
            <v>0</v>
          </cell>
          <cell r="H131">
            <v>0</v>
          </cell>
        </row>
        <row r="132">
          <cell r="C132">
            <v>0</v>
          </cell>
          <cell r="D132">
            <v>0</v>
          </cell>
          <cell r="G132">
            <v>0</v>
          </cell>
          <cell r="H132">
            <v>0</v>
          </cell>
        </row>
        <row r="133">
          <cell r="C133">
            <v>0</v>
          </cell>
          <cell r="D133">
            <v>0</v>
          </cell>
          <cell r="F133">
            <v>0</v>
          </cell>
          <cell r="G133">
            <v>0</v>
          </cell>
          <cell r="H133">
            <v>0</v>
          </cell>
          <cell r="J133">
            <v>0</v>
          </cell>
        </row>
        <row r="134">
          <cell r="C134">
            <v>61374339.740000002</v>
          </cell>
          <cell r="D134">
            <v>34096855.411111109</v>
          </cell>
          <cell r="F134">
            <v>168521.74444444384</v>
          </cell>
          <cell r="G134">
            <v>34265377.155555554</v>
          </cell>
          <cell r="H134">
            <v>34314672.712498598</v>
          </cell>
          <cell r="J134">
            <v>-2523616</v>
          </cell>
        </row>
        <row r="135">
          <cell r="C135">
            <v>61256201.859999999</v>
          </cell>
          <cell r="D135">
            <v>34031223.255555555</v>
          </cell>
          <cell r="F135">
            <v>283449.74444444384</v>
          </cell>
          <cell r="G135">
            <v>34314673</v>
          </cell>
          <cell r="H135">
            <v>29386411.939999998</v>
          </cell>
          <cell r="J135">
            <v>-2379085</v>
          </cell>
        </row>
        <row r="136">
          <cell r="C136">
            <v>2464600</v>
          </cell>
          <cell r="D136">
            <v>1369222.2222222222</v>
          </cell>
          <cell r="F136">
            <v>-1335222.2222222222</v>
          </cell>
          <cell r="G136">
            <v>34000</v>
          </cell>
          <cell r="H136">
            <v>34000</v>
          </cell>
        </row>
        <row r="137">
          <cell r="C137">
            <v>0</v>
          </cell>
          <cell r="D137">
            <v>0</v>
          </cell>
          <cell r="G137">
            <v>0</v>
          </cell>
          <cell r="H137">
            <v>0</v>
          </cell>
        </row>
        <row r="138">
          <cell r="C138">
            <v>0</v>
          </cell>
          <cell r="D138">
            <v>0</v>
          </cell>
          <cell r="G138">
            <v>0</v>
          </cell>
          <cell r="H138">
            <v>0</v>
          </cell>
        </row>
        <row r="139">
          <cell r="C139">
            <v>61590.53</v>
          </cell>
          <cell r="D139">
            <v>34216.961111111108</v>
          </cell>
          <cell r="F139">
            <v>-29216.961111111108</v>
          </cell>
          <cell r="G139">
            <v>5000</v>
          </cell>
          <cell r="H139">
            <v>5000</v>
          </cell>
        </row>
        <row r="140">
          <cell r="C140">
            <v>0</v>
          </cell>
          <cell r="D140">
            <v>0</v>
          </cell>
          <cell r="G140">
            <v>0</v>
          </cell>
          <cell r="H140">
            <v>0</v>
          </cell>
        </row>
        <row r="141">
          <cell r="C141">
            <v>0</v>
          </cell>
          <cell r="D141">
            <v>0</v>
          </cell>
          <cell r="G141">
            <v>0</v>
          </cell>
          <cell r="H141">
            <v>0</v>
          </cell>
        </row>
        <row r="142">
          <cell r="C142">
            <v>2817098.7</v>
          </cell>
          <cell r="D142">
            <v>1565054.8333333335</v>
          </cell>
          <cell r="F142">
            <v>-1565054.8333333335</v>
          </cell>
          <cell r="G142">
            <v>0</v>
          </cell>
          <cell r="H142">
            <v>0</v>
          </cell>
        </row>
        <row r="143">
          <cell r="C143">
            <v>0</v>
          </cell>
          <cell r="D143">
            <v>0</v>
          </cell>
          <cell r="G143">
            <v>0</v>
          </cell>
          <cell r="H143">
            <v>0</v>
          </cell>
        </row>
        <row r="144">
          <cell r="C144">
            <v>0</v>
          </cell>
          <cell r="D144">
            <v>0</v>
          </cell>
          <cell r="G144">
            <v>0</v>
          </cell>
          <cell r="H144">
            <v>0</v>
          </cell>
        </row>
        <row r="145">
          <cell r="C145">
            <v>55912912.630000003</v>
          </cell>
          <cell r="D145">
            <v>31062729.23888889</v>
          </cell>
          <cell r="F145">
            <v>3212943.7611111104</v>
          </cell>
          <cell r="G145">
            <v>34275673</v>
          </cell>
          <cell r="H145">
            <v>29347411.939999998</v>
          </cell>
          <cell r="I145" t="str">
            <v xml:space="preserve">A4.3.3 SIGMA - </v>
          </cell>
          <cell r="J145">
            <v>-2379085</v>
          </cell>
        </row>
        <row r="146">
          <cell r="C146">
            <v>0</v>
          </cell>
          <cell r="D146">
            <v>0</v>
          </cell>
          <cell r="G146">
            <v>0</v>
          </cell>
          <cell r="H146">
            <v>0</v>
          </cell>
        </row>
        <row r="147">
          <cell r="C147">
            <v>0</v>
          </cell>
          <cell r="D147">
            <v>0</v>
          </cell>
          <cell r="G147">
            <v>0</v>
          </cell>
          <cell r="H147">
            <v>0</v>
          </cell>
        </row>
        <row r="148">
          <cell r="C148">
            <v>0</v>
          </cell>
          <cell r="D148">
            <v>0</v>
          </cell>
          <cell r="G148">
            <v>0</v>
          </cell>
          <cell r="H148">
            <v>0</v>
          </cell>
        </row>
        <row r="149">
          <cell r="C149">
            <v>118137.88</v>
          </cell>
          <cell r="D149">
            <v>65632.155555555553</v>
          </cell>
          <cell r="F149">
            <v>-114928</v>
          </cell>
          <cell r="G149">
            <v>-49295.844444444447</v>
          </cell>
          <cell r="H149">
            <v>4928260.772498602</v>
          </cell>
          <cell r="J149">
            <v>-144531</v>
          </cell>
        </row>
        <row r="151">
          <cell r="C151">
            <v>118137.88000000082</v>
          </cell>
          <cell r="D151">
            <v>62854.409999999363</v>
          </cell>
          <cell r="F151">
            <v>-112150.1</v>
          </cell>
          <cell r="G151">
            <v>-49295.690000000643</v>
          </cell>
          <cell r="H151">
            <v>4928260.8499999996</v>
          </cell>
          <cell r="J151">
            <v>-144531</v>
          </cell>
        </row>
        <row r="152">
          <cell r="C152">
            <v>5769682.7100000009</v>
          </cell>
          <cell r="D152">
            <v>3232434.73</v>
          </cell>
          <cell r="F152">
            <v>299.25</v>
          </cell>
          <cell r="G152">
            <v>3232733.98</v>
          </cell>
          <cell r="H152">
            <v>51191732.770000003</v>
          </cell>
        </row>
        <row r="153">
          <cell r="C153">
            <v>0</v>
          </cell>
          <cell r="D153">
            <v>0</v>
          </cell>
          <cell r="G153">
            <v>0</v>
          </cell>
          <cell r="H153">
            <v>0</v>
          </cell>
        </row>
        <row r="154">
          <cell r="C154">
            <v>5769682.7100000009</v>
          </cell>
          <cell r="D154">
            <v>3232434.73</v>
          </cell>
          <cell r="F154">
            <v>299.25</v>
          </cell>
          <cell r="G154">
            <v>3232733.98</v>
          </cell>
          <cell r="H154">
            <v>51191732.770000003</v>
          </cell>
          <cell r="J154">
            <v>0</v>
          </cell>
        </row>
        <row r="155">
          <cell r="C155">
            <v>-5316995.62</v>
          </cell>
          <cell r="D155">
            <v>-2981406.43</v>
          </cell>
          <cell r="F155">
            <v>165636.51999999999</v>
          </cell>
          <cell r="G155">
            <v>-2815769.91</v>
          </cell>
          <cell r="H155">
            <v>-32617543.459999997</v>
          </cell>
          <cell r="J155">
            <v>0</v>
          </cell>
        </row>
        <row r="156">
          <cell r="C156">
            <v>0</v>
          </cell>
          <cell r="D156">
            <v>0</v>
          </cell>
          <cell r="G156">
            <v>0</v>
          </cell>
          <cell r="H156">
            <v>0</v>
          </cell>
        </row>
        <row r="157">
          <cell r="C157">
            <v>0</v>
          </cell>
          <cell r="D157">
            <v>0</v>
          </cell>
          <cell r="G157">
            <v>0</v>
          </cell>
          <cell r="H157">
            <v>0</v>
          </cell>
        </row>
        <row r="158">
          <cell r="C158">
            <v>0</v>
          </cell>
          <cell r="D158">
            <v>0</v>
          </cell>
          <cell r="G158">
            <v>0</v>
          </cell>
          <cell r="H158">
            <v>0</v>
          </cell>
        </row>
        <row r="159">
          <cell r="C159">
            <v>0</v>
          </cell>
          <cell r="D159">
            <v>0</v>
          </cell>
          <cell r="G159">
            <v>0</v>
          </cell>
          <cell r="H159">
            <v>0</v>
          </cell>
        </row>
        <row r="160">
          <cell r="C160">
            <v>0</v>
          </cell>
          <cell r="D160">
            <v>0</v>
          </cell>
          <cell r="G160">
            <v>0</v>
          </cell>
          <cell r="H160">
            <v>0</v>
          </cell>
        </row>
        <row r="161">
          <cell r="C161">
            <v>-2725139.18</v>
          </cell>
          <cell r="D161">
            <v>-1529976.99</v>
          </cell>
          <cell r="F161">
            <v>165695.03</v>
          </cell>
          <cell r="G161">
            <v>-1364281.96</v>
          </cell>
          <cell r="H161">
            <v>-30032439.559999999</v>
          </cell>
        </row>
        <row r="162">
          <cell r="C162">
            <v>0</v>
          </cell>
          <cell r="D162">
            <v>0</v>
          </cell>
          <cell r="G162">
            <v>0</v>
          </cell>
          <cell r="H162">
            <v>0</v>
          </cell>
        </row>
        <row r="163">
          <cell r="C163">
            <v>0</v>
          </cell>
          <cell r="D163">
            <v>0</v>
          </cell>
          <cell r="G163">
            <v>0</v>
          </cell>
          <cell r="H163">
            <v>0</v>
          </cell>
        </row>
        <row r="164">
          <cell r="C164">
            <v>0</v>
          </cell>
          <cell r="D164">
            <v>0</v>
          </cell>
          <cell r="G164">
            <v>0</v>
          </cell>
          <cell r="H164">
            <v>0</v>
          </cell>
        </row>
        <row r="165">
          <cell r="C165">
            <v>-2591963.41</v>
          </cell>
          <cell r="D165">
            <v>-1451487.95</v>
          </cell>
          <cell r="G165">
            <v>-1451487.95</v>
          </cell>
          <cell r="H165">
            <v>-2534388.3199999998</v>
          </cell>
        </row>
        <row r="166">
          <cell r="C166">
            <v>0</v>
          </cell>
          <cell r="D166">
            <v>0</v>
          </cell>
          <cell r="G166">
            <v>0</v>
          </cell>
          <cell r="H166">
            <v>0</v>
          </cell>
        </row>
        <row r="167">
          <cell r="C167">
            <v>0</v>
          </cell>
          <cell r="D167">
            <v>0</v>
          </cell>
          <cell r="G167">
            <v>0</v>
          </cell>
          <cell r="H167">
            <v>0</v>
          </cell>
        </row>
        <row r="168">
          <cell r="C168">
            <v>106.97</v>
          </cell>
          <cell r="D168">
            <v>58.51</v>
          </cell>
          <cell r="F168">
            <v>-58.51</v>
          </cell>
          <cell r="G168">
            <v>0</v>
          </cell>
          <cell r="H168">
            <v>0</v>
          </cell>
        </row>
        <row r="169">
          <cell r="C169">
            <v>0</v>
          </cell>
          <cell r="D169">
            <v>0</v>
          </cell>
          <cell r="G169">
            <v>0</v>
          </cell>
          <cell r="H169">
            <v>-50715.579999999842</v>
          </cell>
        </row>
        <row r="170">
          <cell r="C170">
            <v>0</v>
          </cell>
          <cell r="D170">
            <v>0</v>
          </cell>
          <cell r="G170">
            <v>0</v>
          </cell>
          <cell r="H170">
            <v>0</v>
          </cell>
        </row>
        <row r="171">
          <cell r="C171">
            <v>-42619.24</v>
          </cell>
          <cell r="D171">
            <v>-24149.26</v>
          </cell>
          <cell r="F171">
            <v>-9169.74</v>
          </cell>
          <cell r="G171">
            <v>-33319</v>
          </cell>
          <cell r="H171">
            <v>-69052</v>
          </cell>
          <cell r="J171">
            <v>0</v>
          </cell>
        </row>
        <row r="172">
          <cell r="C172">
            <v>0</v>
          </cell>
          <cell r="D172">
            <v>0</v>
          </cell>
          <cell r="G172">
            <v>0</v>
          </cell>
          <cell r="H172">
            <v>0</v>
          </cell>
        </row>
        <row r="173">
          <cell r="C173">
            <v>0</v>
          </cell>
          <cell r="D173">
            <v>0</v>
          </cell>
          <cell r="G173">
            <v>0</v>
          </cell>
          <cell r="H173">
            <v>0</v>
          </cell>
        </row>
        <row r="174">
          <cell r="C174">
            <v>0</v>
          </cell>
          <cell r="D174">
            <v>0</v>
          </cell>
          <cell r="G174">
            <v>0</v>
          </cell>
          <cell r="H174">
            <v>0</v>
          </cell>
        </row>
        <row r="175">
          <cell r="C175">
            <v>-42619.24</v>
          </cell>
          <cell r="D175">
            <v>-24149.26</v>
          </cell>
          <cell r="F175">
            <v>-9169.74</v>
          </cell>
          <cell r="G175">
            <v>-33319</v>
          </cell>
          <cell r="H175">
            <v>-69052</v>
          </cell>
        </row>
        <row r="176">
          <cell r="C176">
            <v>-131317.59</v>
          </cell>
          <cell r="D176">
            <v>-73559.360000000001</v>
          </cell>
          <cell r="F176">
            <v>-2994.25</v>
          </cell>
          <cell r="G176">
            <v>-76553.61</v>
          </cell>
          <cell r="H176">
            <v>-225847.96</v>
          </cell>
          <cell r="J176">
            <v>0</v>
          </cell>
        </row>
        <row r="177">
          <cell r="C177">
            <v>0</v>
          </cell>
          <cell r="D177">
            <v>0</v>
          </cell>
          <cell r="G177">
            <v>0</v>
          </cell>
          <cell r="H177">
            <v>0</v>
          </cell>
        </row>
        <row r="178">
          <cell r="C178">
            <v>0</v>
          </cell>
          <cell r="D178">
            <v>0</v>
          </cell>
          <cell r="G178">
            <v>0</v>
          </cell>
          <cell r="H178">
            <v>0</v>
          </cell>
        </row>
        <row r="179">
          <cell r="C179">
            <v>0</v>
          </cell>
          <cell r="D179">
            <v>0</v>
          </cell>
          <cell r="G179">
            <v>0</v>
          </cell>
          <cell r="H179">
            <v>0</v>
          </cell>
        </row>
        <row r="180">
          <cell r="C180">
            <v>0</v>
          </cell>
          <cell r="D180">
            <v>0</v>
          </cell>
          <cell r="G180">
            <v>0</v>
          </cell>
          <cell r="H180">
            <v>0</v>
          </cell>
        </row>
        <row r="181">
          <cell r="C181">
            <v>-101562.02</v>
          </cell>
          <cell r="D181">
            <v>-56893.51</v>
          </cell>
          <cell r="F181">
            <v>-103.18</v>
          </cell>
          <cell r="G181">
            <v>-56996.69</v>
          </cell>
          <cell r="H181">
            <v>-123539.05</v>
          </cell>
        </row>
        <row r="182">
          <cell r="C182">
            <v>-7998.75</v>
          </cell>
          <cell r="D182">
            <v>-4438.8</v>
          </cell>
          <cell r="G182">
            <v>-4438.8</v>
          </cell>
          <cell r="H182">
            <v>-43245.43</v>
          </cell>
        </row>
        <row r="183">
          <cell r="C183">
            <v>-21631.52</v>
          </cell>
          <cell r="D183">
            <v>-12155.12</v>
          </cell>
          <cell r="G183">
            <v>-12155.12</v>
          </cell>
          <cell r="H183">
            <v>-62385.48</v>
          </cell>
        </row>
        <row r="184">
          <cell r="C184">
            <v>0</v>
          </cell>
          <cell r="D184">
            <v>0</v>
          </cell>
          <cell r="G184">
            <v>0</v>
          </cell>
          <cell r="H184">
            <v>0</v>
          </cell>
        </row>
        <row r="185">
          <cell r="C185">
            <v>0</v>
          </cell>
          <cell r="D185">
            <v>0</v>
          </cell>
          <cell r="G185">
            <v>0</v>
          </cell>
          <cell r="H185">
            <v>0</v>
          </cell>
        </row>
        <row r="186">
          <cell r="C186">
            <v>0</v>
          </cell>
          <cell r="D186">
            <v>0</v>
          </cell>
          <cell r="G186">
            <v>0</v>
          </cell>
          <cell r="H186">
            <v>0</v>
          </cell>
        </row>
        <row r="187">
          <cell r="C187">
            <v>0</v>
          </cell>
          <cell r="D187">
            <v>0</v>
          </cell>
          <cell r="G187">
            <v>0</v>
          </cell>
          <cell r="H187">
            <v>0</v>
          </cell>
        </row>
        <row r="188">
          <cell r="C188">
            <v>0</v>
          </cell>
          <cell r="D188">
            <v>0</v>
          </cell>
          <cell r="G188">
            <v>0</v>
          </cell>
          <cell r="H188">
            <v>0</v>
          </cell>
        </row>
        <row r="189">
          <cell r="C189">
            <v>6441.5</v>
          </cell>
          <cell r="D189">
            <v>3698.07</v>
          </cell>
          <cell r="F189">
            <v>39.929999999999836</v>
          </cell>
          <cell r="G189">
            <v>3738</v>
          </cell>
          <cell r="H189">
            <v>17322</v>
          </cell>
        </row>
        <row r="190">
          <cell r="C190">
            <v>-6566.8</v>
          </cell>
          <cell r="D190">
            <v>-3770</v>
          </cell>
          <cell r="F190">
            <v>-2931</v>
          </cell>
          <cell r="G190">
            <v>-6701</v>
          </cell>
          <cell r="H190">
            <v>-14000</v>
          </cell>
        </row>
        <row r="191">
          <cell r="C191">
            <v>0</v>
          </cell>
          <cell r="D191">
            <v>0</v>
          </cell>
          <cell r="G191">
            <v>0</v>
          </cell>
          <cell r="H191">
            <v>0</v>
          </cell>
        </row>
        <row r="192">
          <cell r="C192">
            <v>278750.26000000082</v>
          </cell>
          <cell r="D192">
            <v>153319.67999999935</v>
          </cell>
          <cell r="F192">
            <v>153771.78</v>
          </cell>
          <cell r="G192">
            <v>307091.45999999938</v>
          </cell>
          <cell r="H192">
            <v>18279289.350000005</v>
          </cell>
          <cell r="J192">
            <v>0</v>
          </cell>
        </row>
        <row r="193">
          <cell r="C193">
            <v>141927.35</v>
          </cell>
          <cell r="D193">
            <v>79938.710000000006</v>
          </cell>
          <cell r="F193">
            <v>955731.76</v>
          </cell>
          <cell r="G193">
            <v>1035670.47</v>
          </cell>
          <cell r="H193">
            <v>342793.77</v>
          </cell>
          <cell r="J193">
            <v>0</v>
          </cell>
        </row>
        <row r="194">
          <cell r="C194">
            <v>0</v>
          </cell>
          <cell r="D194">
            <v>0</v>
          </cell>
          <cell r="G194">
            <v>0</v>
          </cell>
          <cell r="H194">
            <v>0</v>
          </cell>
        </row>
        <row r="195">
          <cell r="C195">
            <v>0</v>
          </cell>
          <cell r="D195">
            <v>0</v>
          </cell>
          <cell r="G195">
            <v>0</v>
          </cell>
          <cell r="H195">
            <v>0</v>
          </cell>
        </row>
        <row r="196">
          <cell r="C196">
            <v>0</v>
          </cell>
          <cell r="D196">
            <v>0</v>
          </cell>
          <cell r="G196">
            <v>0</v>
          </cell>
          <cell r="H196">
            <v>0</v>
          </cell>
        </row>
        <row r="197">
          <cell r="C197">
            <v>0</v>
          </cell>
          <cell r="D197">
            <v>0</v>
          </cell>
          <cell r="G197">
            <v>0</v>
          </cell>
          <cell r="H197">
            <v>0</v>
          </cell>
        </row>
        <row r="198">
          <cell r="C198">
            <v>6.3</v>
          </cell>
          <cell r="D198">
            <v>3.49</v>
          </cell>
          <cell r="G198">
            <v>3.49</v>
          </cell>
          <cell r="H198">
            <v>84066.58</v>
          </cell>
        </row>
        <row r="199">
          <cell r="C199">
            <v>0</v>
          </cell>
          <cell r="D199">
            <v>0</v>
          </cell>
          <cell r="G199">
            <v>0</v>
          </cell>
          <cell r="H199">
            <v>0</v>
          </cell>
        </row>
        <row r="200">
          <cell r="C200">
            <v>0</v>
          </cell>
          <cell r="D200">
            <v>0</v>
          </cell>
          <cell r="E200" t="str">
            <v xml:space="preserve">A4.3.5-SIGMA - </v>
          </cell>
          <cell r="F200">
            <v>955731.76</v>
          </cell>
          <cell r="G200">
            <v>955731.76</v>
          </cell>
          <cell r="H200">
            <v>0</v>
          </cell>
        </row>
        <row r="201">
          <cell r="C201">
            <v>0</v>
          </cell>
          <cell r="D201">
            <v>0</v>
          </cell>
          <cell r="G201">
            <v>0</v>
          </cell>
          <cell r="H201">
            <v>0</v>
          </cell>
        </row>
        <row r="202">
          <cell r="C202">
            <v>0</v>
          </cell>
          <cell r="D202">
            <v>0</v>
          </cell>
          <cell r="G202">
            <v>0</v>
          </cell>
          <cell r="H202">
            <v>0</v>
          </cell>
        </row>
        <row r="203">
          <cell r="C203">
            <v>140015.73000000001</v>
          </cell>
          <cell r="D203">
            <v>78870.86</v>
          </cell>
          <cell r="G203">
            <v>78870.86</v>
          </cell>
          <cell r="H203">
            <v>252448.15</v>
          </cell>
        </row>
        <row r="204">
          <cell r="C204">
            <v>1905.32</v>
          </cell>
          <cell r="D204">
            <v>1064.3599999999999</v>
          </cell>
          <cell r="G204">
            <v>1064.3599999999999</v>
          </cell>
          <cell r="H204">
            <v>6279.04</v>
          </cell>
        </row>
        <row r="205">
          <cell r="C205">
            <v>-289428.74</v>
          </cell>
          <cell r="D205">
            <v>-162960.23000000001</v>
          </cell>
          <cell r="F205">
            <v>0</v>
          </cell>
          <cell r="G205">
            <v>-162960.23000000001</v>
          </cell>
          <cell r="H205">
            <v>-14592138.030000001</v>
          </cell>
          <cell r="J205">
            <v>-251738</v>
          </cell>
        </row>
        <row r="206">
          <cell r="C206">
            <v>-6827.88</v>
          </cell>
          <cell r="D206">
            <v>-3805.85</v>
          </cell>
          <cell r="G206">
            <v>-3805.85</v>
          </cell>
          <cell r="H206">
            <v>-7027.11</v>
          </cell>
        </row>
        <row r="207">
          <cell r="C207">
            <v>0</v>
          </cell>
          <cell r="D207">
            <v>0</v>
          </cell>
          <cell r="G207">
            <v>0</v>
          </cell>
          <cell r="H207">
            <v>0</v>
          </cell>
        </row>
        <row r="208">
          <cell r="C208">
            <v>0</v>
          </cell>
          <cell r="D208">
            <v>0</v>
          </cell>
          <cell r="G208">
            <v>0</v>
          </cell>
          <cell r="H208">
            <v>0</v>
          </cell>
        </row>
        <row r="209">
          <cell r="C209">
            <v>0</v>
          </cell>
          <cell r="D209">
            <v>0</v>
          </cell>
          <cell r="G209">
            <v>0</v>
          </cell>
          <cell r="H209">
            <v>0</v>
          </cell>
        </row>
        <row r="210">
          <cell r="C210">
            <v>0</v>
          </cell>
          <cell r="D210">
            <v>0</v>
          </cell>
          <cell r="G210">
            <v>0</v>
          </cell>
          <cell r="H210">
            <v>0</v>
          </cell>
        </row>
        <row r="211">
          <cell r="C211">
            <v>0</v>
          </cell>
          <cell r="D211">
            <v>0</v>
          </cell>
          <cell r="G211">
            <v>0</v>
          </cell>
          <cell r="H211">
            <v>0</v>
          </cell>
        </row>
        <row r="212">
          <cell r="C212">
            <v>0</v>
          </cell>
          <cell r="D212">
            <v>0</v>
          </cell>
          <cell r="G212">
            <v>0</v>
          </cell>
          <cell r="H212">
            <v>-13815023.68</v>
          </cell>
        </row>
        <row r="213">
          <cell r="C213">
            <v>0</v>
          </cell>
          <cell r="D213">
            <v>0</v>
          </cell>
          <cell r="G213">
            <v>0</v>
          </cell>
          <cell r="H213">
            <v>-93615.14</v>
          </cell>
        </row>
        <row r="214">
          <cell r="C214">
            <v>0</v>
          </cell>
          <cell r="D214">
            <v>0</v>
          </cell>
          <cell r="G214">
            <v>0</v>
          </cell>
          <cell r="H214">
            <v>0</v>
          </cell>
        </row>
        <row r="215">
          <cell r="C215">
            <v>0</v>
          </cell>
          <cell r="D215">
            <v>0</v>
          </cell>
          <cell r="G215">
            <v>0</v>
          </cell>
          <cell r="H215">
            <v>0</v>
          </cell>
        </row>
        <row r="216">
          <cell r="C216">
            <v>0</v>
          </cell>
          <cell r="D216">
            <v>0</v>
          </cell>
          <cell r="G216">
            <v>0</v>
          </cell>
          <cell r="H216">
            <v>0</v>
          </cell>
        </row>
        <row r="217">
          <cell r="C217">
            <v>0</v>
          </cell>
          <cell r="D217">
            <v>0</v>
          </cell>
          <cell r="G217">
            <v>0</v>
          </cell>
          <cell r="H217">
            <v>0</v>
          </cell>
        </row>
        <row r="218">
          <cell r="C218">
            <v>-254574.05</v>
          </cell>
          <cell r="D218">
            <v>-143401.56</v>
          </cell>
          <cell r="G218">
            <v>-143401.56</v>
          </cell>
          <cell r="H218">
            <v>-467675.71</v>
          </cell>
        </row>
        <row r="219">
          <cell r="C219">
            <v>-28026.81</v>
          </cell>
          <cell r="D219">
            <v>-15752.82</v>
          </cell>
          <cell r="G219">
            <v>-15752.82</v>
          </cell>
          <cell r="H219">
            <v>-208796.39</v>
          </cell>
          <cell r="I219" t="str">
            <v xml:space="preserve">A4.3.3 SIGMA - </v>
          </cell>
          <cell r="J219">
            <v>-251738</v>
          </cell>
        </row>
        <row r="220">
          <cell r="C220">
            <v>87419.51</v>
          </cell>
          <cell r="D220">
            <v>47131.59</v>
          </cell>
          <cell r="F220">
            <v>-1162169.5900000001</v>
          </cell>
          <cell r="G220">
            <v>-1115038</v>
          </cell>
          <cell r="H220">
            <v>6469892</v>
          </cell>
          <cell r="J220">
            <v>23754</v>
          </cell>
        </row>
        <row r="221">
          <cell r="C221">
            <v>108921.1</v>
          </cell>
          <cell r="D221">
            <v>59243.27</v>
          </cell>
          <cell r="F221">
            <v>-59243.27</v>
          </cell>
          <cell r="G221">
            <v>0</v>
          </cell>
          <cell r="H221">
            <v>6469892</v>
          </cell>
        </row>
        <row r="222">
          <cell r="C222">
            <v>0</v>
          </cell>
          <cell r="D222">
            <v>0</v>
          </cell>
          <cell r="G222">
            <v>0</v>
          </cell>
          <cell r="H222">
            <v>0</v>
          </cell>
        </row>
        <row r="223">
          <cell r="C223">
            <v>0</v>
          </cell>
          <cell r="D223">
            <v>0</v>
          </cell>
          <cell r="G223">
            <v>0</v>
          </cell>
          <cell r="H223">
            <v>0</v>
          </cell>
          <cell r="I223" t="str">
            <v xml:space="preserve">A4.3.3 SIGMA - </v>
          </cell>
          <cell r="J223">
            <v>23754</v>
          </cell>
        </row>
        <row r="224">
          <cell r="C224">
            <v>-21501.59</v>
          </cell>
          <cell r="D224">
            <v>-12111.68</v>
          </cell>
          <cell r="F224">
            <v>-1102926.32</v>
          </cell>
          <cell r="G224">
            <v>-1115038</v>
          </cell>
          <cell r="H224">
            <v>0</v>
          </cell>
        </row>
        <row r="225">
          <cell r="C225">
            <v>0</v>
          </cell>
          <cell r="D225">
            <v>0</v>
          </cell>
          <cell r="G225">
            <v>0</v>
          </cell>
          <cell r="H225">
            <v>0</v>
          </cell>
        </row>
        <row r="226">
          <cell r="C226">
            <v>0</v>
          </cell>
          <cell r="D226">
            <v>0</v>
          </cell>
          <cell r="G226">
            <v>0</v>
          </cell>
          <cell r="H226">
            <v>0</v>
          </cell>
        </row>
        <row r="227">
          <cell r="C227">
            <v>0</v>
          </cell>
          <cell r="D227">
            <v>0</v>
          </cell>
          <cell r="F227">
            <v>0</v>
          </cell>
          <cell r="G227">
            <v>0</v>
          </cell>
          <cell r="H227">
            <v>0</v>
          </cell>
          <cell r="J227">
            <v>0</v>
          </cell>
        </row>
        <row r="228">
          <cell r="C228">
            <v>0</v>
          </cell>
          <cell r="D228">
            <v>0</v>
          </cell>
          <cell r="G228">
            <v>0</v>
          </cell>
          <cell r="H228">
            <v>0</v>
          </cell>
        </row>
        <row r="229">
          <cell r="C229">
            <v>0</v>
          </cell>
          <cell r="D229">
            <v>0</v>
          </cell>
          <cell r="G229">
            <v>0</v>
          </cell>
          <cell r="H229">
            <v>0</v>
          </cell>
        </row>
        <row r="230">
          <cell r="C230">
            <v>0</v>
          </cell>
          <cell r="D230">
            <v>0</v>
          </cell>
          <cell r="G230">
            <v>0</v>
          </cell>
          <cell r="H230">
            <v>0</v>
          </cell>
        </row>
        <row r="231">
          <cell r="C231">
            <v>0</v>
          </cell>
          <cell r="D231">
            <v>0</v>
          </cell>
          <cell r="G231">
            <v>0</v>
          </cell>
          <cell r="H231">
            <v>0</v>
          </cell>
        </row>
        <row r="232">
          <cell r="C232">
            <v>218668.38000000082</v>
          </cell>
          <cell r="D232">
            <v>117429.74999999936</v>
          </cell>
          <cell r="F232">
            <v>-52666.05</v>
          </cell>
          <cell r="G232">
            <v>64763.699999999357</v>
          </cell>
          <cell r="H232">
            <v>10499837.090000004</v>
          </cell>
          <cell r="J232">
            <v>-227984</v>
          </cell>
        </row>
        <row r="234">
          <cell r="C234">
            <v>-100530.5</v>
          </cell>
          <cell r="D234">
            <v>-54575.34</v>
          </cell>
          <cell r="F234">
            <v>-59484.05</v>
          </cell>
          <cell r="G234">
            <v>-114059.39</v>
          </cell>
          <cell r="H234">
            <v>-5571576.2400000002</v>
          </cell>
          <cell r="J234">
            <v>83453</v>
          </cell>
        </row>
        <row r="235">
          <cell r="C235">
            <v>-100530.5</v>
          </cell>
          <cell r="D235">
            <v>-54575.34</v>
          </cell>
          <cell r="F235">
            <v>-1018.59</v>
          </cell>
          <cell r="G235">
            <v>-55593.929999999993</v>
          </cell>
          <cell r="H235">
            <v>-5617914.7000000002</v>
          </cell>
        </row>
        <row r="236">
          <cell r="C236">
            <v>0</v>
          </cell>
          <cell r="D236">
            <v>0</v>
          </cell>
          <cell r="F236">
            <v>-58465.46</v>
          </cell>
          <cell r="G236">
            <v>-58465.46</v>
          </cell>
          <cell r="H236">
            <v>46338.46</v>
          </cell>
          <cell r="I236" t="str">
            <v xml:space="preserve">A4.3.3 SIGMA - </v>
          </cell>
          <cell r="J236">
            <v>83453</v>
          </cell>
        </row>
        <row r="238">
          <cell r="C238">
            <v>0</v>
          </cell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J23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>
        <row r="5">
          <cell r="C5" t="str">
            <v>Não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8"/>
      <sheetName val="bp - milhões"/>
      <sheetName val="bp _ milhões"/>
      <sheetName val="SUP-41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</sheetNames>
    <sheetDataSet>
      <sheetData sheetId="0" refreshError="1"/>
      <sheetData sheetId="1" refreshError="1">
        <row r="3">
          <cell r="A3" t="str">
            <v>BALANÇO DE PAGAMENTOS</v>
          </cell>
        </row>
        <row r="5">
          <cell r="A5" t="str">
            <v>obs. PEDIR DADOS NO BACEN - REVISÃO</v>
          </cell>
        </row>
        <row r="6">
          <cell r="O6" t="str">
            <v>US$ milhões</v>
          </cell>
        </row>
        <row r="7">
          <cell r="A7" t="str">
            <v>Discriminação</v>
          </cell>
          <cell r="B7">
            <v>1990</v>
          </cell>
          <cell r="C7">
            <v>1991</v>
          </cell>
          <cell r="D7">
            <v>1992</v>
          </cell>
          <cell r="E7">
            <v>1993</v>
          </cell>
          <cell r="F7">
            <v>1994</v>
          </cell>
          <cell r="G7" t="str">
            <v>1995 I</v>
          </cell>
          <cell r="H7" t="str">
            <v>1995 II</v>
          </cell>
          <cell r="I7" t="str">
            <v>1995 III</v>
          </cell>
          <cell r="J7" t="str">
            <v>1995 IV</v>
          </cell>
          <cell r="K7">
            <v>1995</v>
          </cell>
          <cell r="L7" t="str">
            <v>1996 I *</v>
          </cell>
          <cell r="M7" t="str">
            <v>1996 II *</v>
          </cell>
          <cell r="N7" t="str">
            <v>1996 III *</v>
          </cell>
          <cell r="O7" t="str">
            <v>1996*</v>
          </cell>
        </row>
        <row r="9">
          <cell r="A9" t="str">
            <v>Balança Comercial</v>
          </cell>
          <cell r="B9">
            <v>10753</v>
          </cell>
          <cell r="C9">
            <v>10579</v>
          </cell>
          <cell r="D9">
            <v>15239</v>
          </cell>
          <cell r="E9">
            <v>13307</v>
          </cell>
          <cell r="F9">
            <v>10466</v>
          </cell>
          <cell r="K9">
            <v>-3352</v>
          </cell>
          <cell r="L9">
            <v>-435</v>
          </cell>
          <cell r="M9">
            <v>-5104</v>
          </cell>
          <cell r="N9">
            <v>-435</v>
          </cell>
          <cell r="O9">
            <v>-5539</v>
          </cell>
        </row>
        <row r="10">
          <cell r="A10" t="str">
            <v xml:space="preserve">  - Exportações</v>
          </cell>
          <cell r="B10">
            <v>31414</v>
          </cell>
          <cell r="C10">
            <v>31620</v>
          </cell>
          <cell r="D10">
            <v>35793</v>
          </cell>
          <cell r="E10">
            <v>38563</v>
          </cell>
          <cell r="F10">
            <v>43545</v>
          </cell>
          <cell r="G10">
            <v>9731</v>
          </cell>
          <cell r="H10">
            <v>11718</v>
          </cell>
          <cell r="I10">
            <v>12729</v>
          </cell>
          <cell r="J10">
            <v>12328</v>
          </cell>
          <cell r="K10">
            <v>46506</v>
          </cell>
          <cell r="L10">
            <v>10302</v>
          </cell>
          <cell r="M10">
            <v>37445</v>
          </cell>
          <cell r="N10">
            <v>10302</v>
          </cell>
          <cell r="O10">
            <v>47747</v>
          </cell>
        </row>
        <row r="11">
          <cell r="A11" t="str">
            <v xml:space="preserve">  - Importações</v>
          </cell>
          <cell r="B11">
            <v>20661</v>
          </cell>
          <cell r="C11">
            <v>21041</v>
          </cell>
          <cell r="D11">
            <v>20554</v>
          </cell>
          <cell r="E11">
            <v>25256</v>
          </cell>
          <cell r="F11">
            <v>33079</v>
          </cell>
          <cell r="G11">
            <v>12017</v>
          </cell>
          <cell r="H11">
            <v>13656</v>
          </cell>
          <cell r="I11">
            <v>11917</v>
          </cell>
          <cell r="J11">
            <v>12030</v>
          </cell>
          <cell r="K11">
            <v>49858</v>
          </cell>
          <cell r="L11">
            <v>10737</v>
          </cell>
          <cell r="M11">
            <v>42549</v>
          </cell>
          <cell r="N11">
            <v>10737</v>
          </cell>
          <cell r="O11">
            <v>53286</v>
          </cell>
        </row>
        <row r="13">
          <cell r="A13" t="str">
            <v>Serviços (líq.)</v>
          </cell>
          <cell r="B13">
            <v>-15369</v>
          </cell>
          <cell r="C13">
            <v>-13542</v>
          </cell>
          <cell r="D13">
            <v>-11339</v>
          </cell>
          <cell r="E13">
            <v>-15585</v>
          </cell>
          <cell r="F13">
            <v>-14743</v>
          </cell>
          <cell r="K13">
            <v>-18594</v>
          </cell>
          <cell r="L13">
            <v>-1867</v>
          </cell>
          <cell r="M13">
            <v>-7973</v>
          </cell>
          <cell r="N13">
            <v>-1867</v>
          </cell>
          <cell r="O13">
            <v>-21707</v>
          </cell>
        </row>
        <row r="14">
          <cell r="A14" t="str">
            <v xml:space="preserve">  - Juros</v>
          </cell>
          <cell r="B14">
            <v>-9748</v>
          </cell>
          <cell r="C14">
            <v>-8621</v>
          </cell>
          <cell r="D14">
            <v>-7253</v>
          </cell>
          <cell r="E14">
            <v>-8280</v>
          </cell>
          <cell r="F14">
            <v>-6338</v>
          </cell>
          <cell r="G14">
            <v>-1105</v>
          </cell>
          <cell r="H14">
            <v>-3100</v>
          </cell>
          <cell r="I14">
            <v>-1263</v>
          </cell>
          <cell r="J14">
            <v>-2690</v>
          </cell>
          <cell r="K14">
            <v>-8158</v>
          </cell>
          <cell r="L14">
            <v>-1867</v>
          </cell>
          <cell r="M14">
            <v>-7973</v>
          </cell>
          <cell r="N14">
            <v>-1867</v>
          </cell>
          <cell r="O14">
            <v>-9840</v>
          </cell>
        </row>
        <row r="15">
          <cell r="A15" t="str">
            <v xml:space="preserve">    Receita</v>
          </cell>
          <cell r="B15">
            <v>1120</v>
          </cell>
          <cell r="C15">
            <v>872</v>
          </cell>
          <cell r="D15">
            <v>1025</v>
          </cell>
          <cell r="E15">
            <v>1049</v>
          </cell>
          <cell r="F15">
            <v>1802</v>
          </cell>
          <cell r="G15">
            <v>684</v>
          </cell>
          <cell r="H15">
            <v>552</v>
          </cell>
          <cell r="I15">
            <v>534</v>
          </cell>
          <cell r="J15">
            <v>715</v>
          </cell>
          <cell r="K15">
            <v>2485</v>
          </cell>
          <cell r="L15">
            <v>618</v>
          </cell>
          <cell r="M15">
            <v>2300</v>
          </cell>
          <cell r="N15">
            <v>618</v>
          </cell>
          <cell r="O15">
            <v>2918</v>
          </cell>
        </row>
        <row r="16">
          <cell r="A16" t="str">
            <v xml:space="preserve">    Despesa</v>
          </cell>
          <cell r="B16">
            <v>-10868</v>
          </cell>
          <cell r="C16">
            <v>-9493</v>
          </cell>
          <cell r="D16">
            <v>-8278</v>
          </cell>
          <cell r="E16">
            <v>-9329</v>
          </cell>
          <cell r="F16">
            <v>-8140</v>
          </cell>
          <cell r="G16">
            <v>-1789</v>
          </cell>
          <cell r="H16">
            <v>-3652</v>
          </cell>
          <cell r="I16">
            <v>-1797</v>
          </cell>
          <cell r="J16">
            <v>-3405</v>
          </cell>
          <cell r="K16">
            <v>-10643</v>
          </cell>
          <cell r="L16">
            <v>-2485</v>
          </cell>
          <cell r="M16">
            <v>-10273</v>
          </cell>
          <cell r="N16">
            <v>-2485</v>
          </cell>
          <cell r="O16">
            <v>-12758</v>
          </cell>
        </row>
        <row r="17">
          <cell r="A17" t="str">
            <v xml:space="preserve">  - Demais</v>
          </cell>
          <cell r="B17">
            <v>-5621</v>
          </cell>
          <cell r="C17">
            <v>-4921</v>
          </cell>
          <cell r="D17">
            <v>-4086</v>
          </cell>
          <cell r="E17">
            <v>-7305</v>
          </cell>
          <cell r="F17">
            <v>-8405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-10436</v>
          </cell>
          <cell r="L17">
            <v>0</v>
          </cell>
          <cell r="M17">
            <v>0</v>
          </cell>
          <cell r="N17">
            <v>0</v>
          </cell>
          <cell r="O17">
            <v>-11867</v>
          </cell>
        </row>
        <row r="18">
          <cell r="A18" t="str">
            <v xml:space="preserve">    Lucros e Dividendos1</v>
          </cell>
          <cell r="B18">
            <v>-1865</v>
          </cell>
          <cell r="C18">
            <v>-1030</v>
          </cell>
          <cell r="D18">
            <v>-749</v>
          </cell>
          <cell r="E18">
            <v>-1931</v>
          </cell>
          <cell r="F18">
            <v>-2566</v>
          </cell>
          <cell r="K18">
            <v>-2974</v>
          </cell>
          <cell r="O18">
            <v>-2820</v>
          </cell>
        </row>
        <row r="19">
          <cell r="A19" t="str">
            <v xml:space="preserve">    Transportes</v>
          </cell>
          <cell r="B19">
            <v>-1643</v>
          </cell>
          <cell r="C19">
            <v>-1656</v>
          </cell>
          <cell r="D19">
            <v>-1359</v>
          </cell>
          <cell r="E19">
            <v>-2090</v>
          </cell>
          <cell r="F19">
            <v>-2441</v>
          </cell>
          <cell r="K19">
            <v>-3011</v>
          </cell>
          <cell r="O19">
            <v>-3480</v>
          </cell>
        </row>
        <row r="20">
          <cell r="A20" t="str">
            <v xml:space="preserve">    Turismo</v>
          </cell>
          <cell r="B20">
            <v>-121</v>
          </cell>
          <cell r="C20">
            <v>-212</v>
          </cell>
          <cell r="D20">
            <v>-319</v>
          </cell>
          <cell r="E20">
            <v>-799</v>
          </cell>
          <cell r="F20">
            <v>-1181</v>
          </cell>
          <cell r="K20">
            <v>-2419</v>
          </cell>
          <cell r="O20">
            <v>-3593</v>
          </cell>
        </row>
        <row r="21">
          <cell r="A21" t="str">
            <v xml:space="preserve">    Outros</v>
          </cell>
          <cell r="B21">
            <v>-1992</v>
          </cell>
          <cell r="C21">
            <v>-2023</v>
          </cell>
          <cell r="D21">
            <v>-1659</v>
          </cell>
          <cell r="E21">
            <v>-2485</v>
          </cell>
          <cell r="F21">
            <v>-2217</v>
          </cell>
          <cell r="K21">
            <v>-2032</v>
          </cell>
          <cell r="O21">
            <v>-1974</v>
          </cell>
        </row>
        <row r="23">
          <cell r="A23" t="str">
            <v>Transferências unilaterais</v>
          </cell>
          <cell r="B23">
            <v>834</v>
          </cell>
          <cell r="C23">
            <v>1556</v>
          </cell>
          <cell r="D23">
            <v>2243</v>
          </cell>
          <cell r="E23">
            <v>1686</v>
          </cell>
          <cell r="F23">
            <v>2588</v>
          </cell>
          <cell r="G23">
            <v>878</v>
          </cell>
          <cell r="H23">
            <v>1182</v>
          </cell>
          <cell r="I23">
            <v>1016</v>
          </cell>
          <cell r="J23">
            <v>897</v>
          </cell>
          <cell r="K23">
            <v>3974</v>
          </cell>
          <cell r="L23">
            <v>860</v>
          </cell>
          <cell r="M23">
            <v>2039</v>
          </cell>
          <cell r="N23">
            <v>860</v>
          </cell>
          <cell r="O23">
            <v>2899</v>
          </cell>
        </row>
        <row r="25">
          <cell r="A25" t="str">
            <v>TRANSAÇÕES CORRENTES</v>
          </cell>
          <cell r="B25">
            <v>-3782</v>
          </cell>
          <cell r="C25">
            <v>-1407</v>
          </cell>
          <cell r="D25">
            <v>6143</v>
          </cell>
          <cell r="E25">
            <v>-592</v>
          </cell>
          <cell r="F25">
            <v>-1689</v>
          </cell>
          <cell r="G25">
            <v>878</v>
          </cell>
          <cell r="H25">
            <v>1182</v>
          </cell>
          <cell r="I25">
            <v>1016</v>
          </cell>
          <cell r="J25">
            <v>897</v>
          </cell>
          <cell r="K25">
            <v>-17972</v>
          </cell>
          <cell r="L25">
            <v>-1442</v>
          </cell>
          <cell r="M25">
            <v>-11038</v>
          </cell>
          <cell r="N25">
            <v>-1442</v>
          </cell>
          <cell r="O25">
            <v>-24347</v>
          </cell>
        </row>
        <row r="27">
          <cell r="A27" t="str">
            <v>Investimentos (líquido)</v>
          </cell>
          <cell r="B27">
            <v>273</v>
          </cell>
          <cell r="C27">
            <v>535</v>
          </cell>
          <cell r="D27">
            <v>3147</v>
          </cell>
          <cell r="E27">
            <v>6270</v>
          </cell>
          <cell r="F27">
            <v>8214</v>
          </cell>
          <cell r="G27">
            <v>-3327</v>
          </cell>
          <cell r="H27">
            <v>1981</v>
          </cell>
          <cell r="I27">
            <v>4258</v>
          </cell>
          <cell r="J27">
            <v>1958</v>
          </cell>
          <cell r="K27">
            <v>5047</v>
          </cell>
          <cell r="L27">
            <v>4325</v>
          </cell>
          <cell r="M27">
            <v>11680</v>
          </cell>
          <cell r="N27">
            <v>4325</v>
          </cell>
          <cell r="O27">
            <v>16005</v>
          </cell>
        </row>
        <row r="28">
          <cell r="A28" t="str">
            <v xml:space="preserve">  - Brasileiros</v>
          </cell>
          <cell r="B28">
            <v>-731</v>
          </cell>
          <cell r="C28">
            <v>-1015</v>
          </cell>
          <cell r="D28">
            <v>-137</v>
          </cell>
          <cell r="E28">
            <v>-1094</v>
          </cell>
          <cell r="F28">
            <v>-1037</v>
          </cell>
          <cell r="G28">
            <v>-488</v>
          </cell>
          <cell r="H28">
            <v>-269</v>
          </cell>
          <cell r="I28">
            <v>-741</v>
          </cell>
          <cell r="J28">
            <v>-54</v>
          </cell>
          <cell r="K28">
            <v>-1559</v>
          </cell>
          <cell r="L28">
            <v>1162</v>
          </cell>
          <cell r="M28">
            <v>-1085</v>
          </cell>
          <cell r="N28">
            <v>1162</v>
          </cell>
          <cell r="O28">
            <v>77</v>
          </cell>
        </row>
        <row r="29">
          <cell r="A29" t="str">
            <v xml:space="preserve">  - Estrangeiros</v>
          </cell>
          <cell r="B29">
            <v>731</v>
          </cell>
          <cell r="C29">
            <v>1185</v>
          </cell>
          <cell r="D29">
            <v>3109</v>
          </cell>
          <cell r="E29">
            <v>7264</v>
          </cell>
          <cell r="F29">
            <v>9168</v>
          </cell>
          <cell r="G29">
            <v>-2864</v>
          </cell>
          <cell r="H29">
            <v>2129</v>
          </cell>
          <cell r="I29">
            <v>4972</v>
          </cell>
          <cell r="J29">
            <v>1985</v>
          </cell>
          <cell r="K29">
            <v>6222</v>
          </cell>
          <cell r="L29">
            <v>3138</v>
          </cell>
          <cell r="M29">
            <v>12343</v>
          </cell>
          <cell r="N29">
            <v>3138</v>
          </cell>
          <cell r="O29">
            <v>15481</v>
          </cell>
        </row>
        <row r="30">
          <cell r="A30" t="str">
            <v xml:space="preserve">    Portfólio</v>
          </cell>
          <cell r="B30">
            <v>104</v>
          </cell>
          <cell r="C30">
            <v>578</v>
          </cell>
          <cell r="D30">
            <v>1704</v>
          </cell>
          <cell r="E30">
            <v>6650</v>
          </cell>
          <cell r="F30">
            <v>7280</v>
          </cell>
          <cell r="G30">
            <v>-3622</v>
          </cell>
          <cell r="H30">
            <v>1279</v>
          </cell>
          <cell r="I30">
            <v>3854</v>
          </cell>
          <cell r="J30">
            <v>784</v>
          </cell>
          <cell r="K30">
            <v>2294</v>
          </cell>
          <cell r="L30">
            <v>1938</v>
          </cell>
          <cell r="M30">
            <v>4101</v>
          </cell>
          <cell r="N30">
            <v>1938</v>
          </cell>
          <cell r="O30">
            <v>6039</v>
          </cell>
        </row>
        <row r="31">
          <cell r="A31" t="str">
            <v xml:space="preserve">    Diretos 3</v>
          </cell>
          <cell r="B31">
            <v>627</v>
          </cell>
          <cell r="C31">
            <v>607</v>
          </cell>
          <cell r="D31">
            <v>1405</v>
          </cell>
          <cell r="E31">
            <v>614</v>
          </cell>
          <cell r="F31">
            <v>1888</v>
          </cell>
          <cell r="G31">
            <v>758</v>
          </cell>
          <cell r="H31">
            <v>850</v>
          </cell>
          <cell r="I31">
            <v>1118</v>
          </cell>
          <cell r="J31">
            <v>1201</v>
          </cell>
          <cell r="K31">
            <v>3928</v>
          </cell>
          <cell r="L31">
            <v>1200</v>
          </cell>
          <cell r="M31">
            <v>8242</v>
          </cell>
          <cell r="N31">
            <v>1200</v>
          </cell>
          <cell r="O31">
            <v>9442</v>
          </cell>
        </row>
        <row r="32">
          <cell r="A32" t="str">
            <v xml:space="preserve">  - Reinvestimentos Estrangeiros</v>
          </cell>
          <cell r="B32">
            <v>273</v>
          </cell>
          <cell r="C32">
            <v>365</v>
          </cell>
          <cell r="D32">
            <v>175</v>
          </cell>
          <cell r="E32">
            <v>100</v>
          </cell>
          <cell r="F32">
            <v>83</v>
          </cell>
          <cell r="G32">
            <v>25</v>
          </cell>
          <cell r="H32">
            <v>121</v>
          </cell>
          <cell r="I32">
            <v>27</v>
          </cell>
          <cell r="J32">
            <v>27</v>
          </cell>
          <cell r="K32">
            <v>384</v>
          </cell>
          <cell r="L32">
            <v>25</v>
          </cell>
          <cell r="M32">
            <v>422</v>
          </cell>
          <cell r="N32">
            <v>25</v>
          </cell>
          <cell r="O32">
            <v>447</v>
          </cell>
        </row>
        <row r="34">
          <cell r="A34" t="str">
            <v>Amortizações</v>
          </cell>
          <cell r="B34">
            <v>-8665</v>
          </cell>
          <cell r="C34">
            <v>-7830</v>
          </cell>
          <cell r="D34">
            <v>-8572</v>
          </cell>
          <cell r="E34">
            <v>-9978</v>
          </cell>
          <cell r="F34">
            <v>-50411</v>
          </cell>
          <cell r="G34">
            <v>-2762</v>
          </cell>
          <cell r="H34">
            <v>-3189</v>
          </cell>
          <cell r="I34">
            <v>-2217</v>
          </cell>
          <cell r="J34">
            <v>-2858</v>
          </cell>
          <cell r="K34">
            <v>-11022.99</v>
          </cell>
          <cell r="L34" t="e">
            <v>#VALUE!</v>
          </cell>
          <cell r="M34">
            <v>-10330</v>
          </cell>
          <cell r="N34">
            <v>-4093</v>
          </cell>
          <cell r="O34">
            <v>-14422.99</v>
          </cell>
        </row>
        <row r="35">
          <cell r="A35" t="str">
            <v xml:space="preserve">  - Pagas</v>
          </cell>
          <cell r="B35">
            <v>-4701</v>
          </cell>
          <cell r="C35">
            <v>-4727</v>
          </cell>
          <cell r="D35">
            <v>-7147</v>
          </cell>
          <cell r="E35">
            <v>-9268</v>
          </cell>
          <cell r="F35">
            <v>-11001</v>
          </cell>
          <cell r="G35">
            <v>-2762</v>
          </cell>
          <cell r="H35">
            <v>-3189</v>
          </cell>
          <cell r="I35">
            <v>-2217</v>
          </cell>
          <cell r="J35">
            <v>-2858</v>
          </cell>
          <cell r="K35">
            <v>-11023</v>
          </cell>
          <cell r="L35">
            <v>-4093</v>
          </cell>
          <cell r="M35">
            <v>-10330</v>
          </cell>
          <cell r="N35">
            <v>-4093</v>
          </cell>
          <cell r="O35">
            <v>-14423</v>
          </cell>
        </row>
        <row r="36">
          <cell r="A36" t="str">
            <v xml:space="preserve">  - Refinanciadas / Atrasadas</v>
          </cell>
          <cell r="B36">
            <v>-3964</v>
          </cell>
          <cell r="C36">
            <v>-3103</v>
          </cell>
          <cell r="D36">
            <v>-1425</v>
          </cell>
          <cell r="E36">
            <v>-710</v>
          </cell>
          <cell r="F36">
            <v>-39410</v>
          </cell>
          <cell r="K36">
            <v>0.01</v>
          </cell>
          <cell r="L36" t="str">
            <v>-</v>
          </cell>
          <cell r="O36">
            <v>0.01</v>
          </cell>
        </row>
        <row r="38">
          <cell r="A38" t="str">
            <v>Financiamentos</v>
          </cell>
          <cell r="B38">
            <v>3424</v>
          </cell>
          <cell r="C38">
            <v>2026</v>
          </cell>
          <cell r="D38">
            <v>13258</v>
          </cell>
          <cell r="E38">
            <v>2380</v>
          </cell>
          <cell r="F38">
            <v>1939</v>
          </cell>
          <cell r="K38">
            <v>2834</v>
          </cell>
          <cell r="O38">
            <v>4302</v>
          </cell>
        </row>
        <row r="40">
          <cell r="A40" t="str">
            <v xml:space="preserve">Empréstimos em Moeda </v>
          </cell>
          <cell r="B40">
            <v>-297</v>
          </cell>
          <cell r="C40">
            <v>964</v>
          </cell>
          <cell r="D40">
            <v>17577</v>
          </cell>
          <cell r="E40">
            <v>11659</v>
          </cell>
          <cell r="F40">
            <v>53802</v>
          </cell>
          <cell r="G40">
            <v>6628</v>
          </cell>
          <cell r="H40">
            <v>7158</v>
          </cell>
          <cell r="I40">
            <v>14606</v>
          </cell>
          <cell r="J40">
            <v>8142</v>
          </cell>
          <cell r="K40">
            <v>33570</v>
          </cell>
          <cell r="L40">
            <v>7862</v>
          </cell>
          <cell r="M40">
            <v>18935</v>
          </cell>
          <cell r="N40">
            <v>7862</v>
          </cell>
          <cell r="O40">
            <v>26797</v>
          </cell>
        </row>
        <row r="41">
          <cell r="A41" t="str">
            <v xml:space="preserve">  - Curto Prazo</v>
          </cell>
          <cell r="B41">
            <v>-1208</v>
          </cell>
          <cell r="C41">
            <v>-3033</v>
          </cell>
          <cell r="D41">
            <v>2602</v>
          </cell>
          <cell r="E41">
            <v>869</v>
          </cell>
          <cell r="F41">
            <v>909</v>
          </cell>
          <cell r="G41">
            <v>5415</v>
          </cell>
          <cell r="H41">
            <v>2210</v>
          </cell>
          <cell r="I41">
            <v>8908</v>
          </cell>
          <cell r="J41">
            <v>2935</v>
          </cell>
          <cell r="K41">
            <v>18834</v>
          </cell>
          <cell r="L41">
            <v>3056</v>
          </cell>
          <cell r="M41">
            <v>939</v>
          </cell>
          <cell r="N41">
            <v>3056</v>
          </cell>
          <cell r="O41">
            <v>3995</v>
          </cell>
        </row>
        <row r="42">
          <cell r="A42" t="str">
            <v xml:space="preserve">  - Médio e Longo Prazos</v>
          </cell>
          <cell r="B42">
            <v>911</v>
          </cell>
          <cell r="C42">
            <v>3997</v>
          </cell>
          <cell r="D42">
            <v>14975</v>
          </cell>
          <cell r="E42">
            <v>10790</v>
          </cell>
          <cell r="F42">
            <v>52893</v>
          </cell>
          <cell r="G42">
            <v>1213</v>
          </cell>
          <cell r="H42">
            <v>4948</v>
          </cell>
          <cell r="I42">
            <v>5698</v>
          </cell>
          <cell r="J42">
            <v>5207</v>
          </cell>
          <cell r="K42">
            <v>14736</v>
          </cell>
          <cell r="L42">
            <v>4806</v>
          </cell>
          <cell r="M42">
            <v>17996</v>
          </cell>
          <cell r="N42">
            <v>4806</v>
          </cell>
          <cell r="O42">
            <v>22802</v>
          </cell>
        </row>
        <row r="44">
          <cell r="A44" t="str">
            <v>Outros Capitais</v>
          </cell>
          <cell r="B44">
            <v>550</v>
          </cell>
          <cell r="C44">
            <v>157</v>
          </cell>
          <cell r="D44">
            <v>-139</v>
          </cell>
          <cell r="E44">
            <v>-216</v>
          </cell>
          <cell r="F44">
            <v>750</v>
          </cell>
          <cell r="K44">
            <v>-1069</v>
          </cell>
          <cell r="O44">
            <v>-290</v>
          </cell>
        </row>
        <row r="46">
          <cell r="A46" t="str">
            <v>CAPITAL</v>
          </cell>
          <cell r="B46">
            <v>-4715</v>
          </cell>
          <cell r="C46">
            <v>-4148</v>
          </cell>
          <cell r="D46">
            <v>25271</v>
          </cell>
          <cell r="E46">
            <v>10115</v>
          </cell>
          <cell r="F46">
            <v>14294</v>
          </cell>
          <cell r="G46" t="e">
            <v>#VALUE!</v>
          </cell>
          <cell r="H46" t="e">
            <v>#VALUE!</v>
          </cell>
          <cell r="I46" t="e">
            <v>#VALUE!</v>
          </cell>
          <cell r="J46" t="e">
            <v>#VALUE!</v>
          </cell>
          <cell r="K46">
            <v>29359.010000000002</v>
          </cell>
          <cell r="L46" t="e">
            <v>#VALUE!</v>
          </cell>
          <cell r="M46">
            <v>20285</v>
          </cell>
          <cell r="N46">
            <v>8094</v>
          </cell>
          <cell r="O46">
            <v>32391.010000000002</v>
          </cell>
        </row>
        <row r="48">
          <cell r="A48" t="str">
            <v>Erros e Omissões</v>
          </cell>
          <cell r="B48">
            <v>-328</v>
          </cell>
          <cell r="C48">
            <v>876</v>
          </cell>
          <cell r="D48">
            <v>-1386</v>
          </cell>
          <cell r="E48">
            <v>-1119</v>
          </cell>
          <cell r="F48">
            <v>334</v>
          </cell>
          <cell r="G48">
            <v>-9</v>
          </cell>
          <cell r="K48">
            <v>2093</v>
          </cell>
          <cell r="L48">
            <v>-683</v>
          </cell>
          <cell r="M48">
            <v>1656</v>
          </cell>
          <cell r="N48">
            <v>-683</v>
          </cell>
          <cell r="O48">
            <v>973</v>
          </cell>
        </row>
        <row r="50">
          <cell r="A50" t="str">
            <v>RESULTADO DO BALANÇO DE PAGAMENTOS</v>
          </cell>
          <cell r="B50">
            <v>-8825</v>
          </cell>
          <cell r="C50">
            <v>-4679</v>
          </cell>
          <cell r="D50">
            <v>30028</v>
          </cell>
          <cell r="E50">
            <v>8404</v>
          </cell>
          <cell r="F50">
            <v>12939</v>
          </cell>
          <cell r="G50" t="e">
            <v>#VALUE!</v>
          </cell>
          <cell r="H50" t="e">
            <v>#VALUE!</v>
          </cell>
          <cell r="I50" t="e">
            <v>#VALUE!</v>
          </cell>
          <cell r="J50" t="e">
            <v>#VALUE!</v>
          </cell>
          <cell r="K50">
            <v>13480.010000000002</v>
          </cell>
          <cell r="L50" t="e">
            <v>#VALUE!</v>
          </cell>
          <cell r="M50">
            <v>10903</v>
          </cell>
          <cell r="N50">
            <v>5969</v>
          </cell>
          <cell r="O50">
            <v>9017.010000000002</v>
          </cell>
        </row>
        <row r="52">
          <cell r="A52" t="str">
            <v>Obrigações FMI</v>
          </cell>
          <cell r="B52">
            <v>-741</v>
          </cell>
          <cell r="C52">
            <v>-590</v>
          </cell>
          <cell r="D52">
            <v>-406</v>
          </cell>
          <cell r="E52">
            <v>-495</v>
          </cell>
          <cell r="F52">
            <v>-129</v>
          </cell>
          <cell r="G52">
            <v>-11</v>
          </cell>
          <cell r="H52">
            <v>-28</v>
          </cell>
          <cell r="I52">
            <v>-54</v>
          </cell>
          <cell r="J52">
            <v>42</v>
          </cell>
          <cell r="K52">
            <v>-47</v>
          </cell>
          <cell r="L52">
            <v>-69</v>
          </cell>
          <cell r="M52">
            <v>-69</v>
          </cell>
          <cell r="N52">
            <v>-3</v>
          </cell>
          <cell r="O52">
            <v>-72</v>
          </cell>
        </row>
        <row r="53">
          <cell r="A53" t="str">
            <v>Obrigações de Curto Prazo (atrasados e outras)</v>
          </cell>
          <cell r="B53">
            <v>10046</v>
          </cell>
          <cell r="C53">
            <v>4900</v>
          </cell>
          <cell r="D53">
            <v>-14952</v>
          </cell>
          <cell r="E53">
            <v>800</v>
          </cell>
          <cell r="F53">
            <v>-5595</v>
          </cell>
          <cell r="G53">
            <v>2</v>
          </cell>
          <cell r="H53">
            <v>-329</v>
          </cell>
          <cell r="I53">
            <v>776</v>
          </cell>
          <cell r="J53">
            <v>653</v>
          </cell>
          <cell r="K53">
            <v>-514</v>
          </cell>
          <cell r="L53">
            <v>-614</v>
          </cell>
          <cell r="M53">
            <v>-614</v>
          </cell>
          <cell r="N53">
            <v>334</v>
          </cell>
          <cell r="O53">
            <v>-280</v>
          </cell>
        </row>
        <row r="55">
          <cell r="A55" t="str">
            <v>VARIAÇÃO DE HAVERES DE CURTO PRAZO 2</v>
          </cell>
          <cell r="B55">
            <v>-480</v>
          </cell>
          <cell r="C55">
            <v>369</v>
          </cell>
          <cell r="D55">
            <v>-14670</v>
          </cell>
          <cell r="E55">
            <v>-8709</v>
          </cell>
          <cell r="F55">
            <v>-7215</v>
          </cell>
          <cell r="G55" t="e">
            <v>#VALUE!</v>
          </cell>
          <cell r="H55" t="e">
            <v>#VALUE!</v>
          </cell>
          <cell r="I55" t="e">
            <v>#VALUE!</v>
          </cell>
          <cell r="J55" t="e">
            <v>#VALUE!</v>
          </cell>
          <cell r="K55">
            <v>-12919.010000000002</v>
          </cell>
          <cell r="L55" t="e">
            <v>#VALUE!</v>
          </cell>
          <cell r="M55">
            <v>-10220</v>
          </cell>
          <cell r="N55">
            <v>-6300</v>
          </cell>
          <cell r="O55">
            <v>-8665.010000000002</v>
          </cell>
        </row>
        <row r="57">
          <cell r="A57" t="str">
            <v>1 Inclui lucros reinvestidos</v>
          </cell>
        </row>
        <row r="58">
          <cell r="A58" t="str">
            <v>2 (-) representa aumento</v>
          </cell>
        </row>
        <row r="59">
          <cell r="A59" t="str">
            <v>3 Inclui investimentos em moeda, mercadorias e conversão</v>
          </cell>
        </row>
        <row r="60">
          <cell r="A60" t="str">
            <v>* Dados preliminares</v>
          </cell>
        </row>
        <row r="61">
          <cell r="A61" t="str">
            <v>Fonte: BACEN</v>
          </cell>
        </row>
      </sheetData>
      <sheetData sheetId="2"/>
      <sheetData sheetId="3" refreshError="1"/>
      <sheetData sheetId="4"/>
      <sheetData sheetId="5"/>
      <sheetData sheetId="6">
        <row r="3">
          <cell r="A3" t="str">
            <v>Feito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BAL1001"/>
      <sheetName val="Curto e longo"/>
      <sheetName val="SINTESOC"/>
      <sheetName val="Mensal"/>
      <sheetName val="Acumulado"/>
      <sheetName val="Trimestre"/>
      <sheetName val="BAT CONT X ADM"/>
      <sheetName val="estoque CIPAL"/>
      <sheetName val="Módulo1"/>
      <sheetName val="Módulo3"/>
      <sheetName val="OUTPUT US$"/>
      <sheetName val="INDICADORES"/>
      <sheetName val="DIARIO_old"/>
      <sheetName val="CRONOL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oque"/>
      <sheetName val="planilha"/>
      <sheetName val="BAL1101"/>
      <sheetName val="SINTEABC"/>
      <sheetName val="CURTO E LONGO"/>
      <sheetName val="Mensal"/>
      <sheetName val="Acumulado"/>
      <sheetName val="Trimestre"/>
      <sheetName val="BAT CONT X ADM"/>
      <sheetName val="ESTOQUE ABC"/>
      <sheetName val="Módulo1"/>
      <sheetName val="Módulo3"/>
      <sheetName val="ABC_0802"/>
      <sheetName val="BAL1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ação"/>
      <sheetName val="Critérios"/>
      <sheetName val="BancoSegment"/>
      <sheetName val="Controle"/>
      <sheetName val="Aux_4"/>
      <sheetName val="Aux_3"/>
      <sheetName val="Aux_1"/>
      <sheetName val="Rel.3"/>
      <sheetName val="Aux_2"/>
      <sheetName val="BAL1101"/>
    </sheetNames>
    <sheetDataSet>
      <sheetData sheetId="0" refreshError="1"/>
      <sheetData sheetId="1" refreshError="1">
        <row r="56">
          <cell r="C56" t="str">
            <v>Classe</v>
          </cell>
          <cell r="D56" t="str">
            <v>Faixa</v>
          </cell>
          <cell r="E56" t="str">
            <v>Faixa</v>
          </cell>
        </row>
        <row r="57">
          <cell r="C57">
            <v>2</v>
          </cell>
          <cell r="D57">
            <v>24</v>
          </cell>
          <cell r="E57">
            <v>3</v>
          </cell>
        </row>
      </sheetData>
      <sheetData sheetId="2" refreshError="1">
        <row r="1">
          <cell r="A1" t="str">
            <v xml:space="preserve">SIGLA-SP         </v>
          </cell>
          <cell r="B1" t="str">
            <v xml:space="preserve">COD-DISTR     </v>
          </cell>
          <cell r="C1" t="str">
            <v>SIGLA-DISTR</v>
          </cell>
          <cell r="D1" t="str">
            <v>CODG-ER</v>
          </cell>
          <cell r="E1" t="str">
            <v>CLASSE</v>
          </cell>
          <cell r="F1" t="str">
            <v>TENSAO</v>
          </cell>
          <cell r="G1" t="str">
            <v>FAIXA</v>
          </cell>
          <cell r="H1" t="str">
            <v>NUMCON</v>
          </cell>
          <cell r="I1" t="str">
            <v>CONSUM</v>
          </cell>
          <cell r="J1" t="str">
            <v>CON-P</v>
          </cell>
          <cell r="K1" t="str">
            <v>CON-FP</v>
          </cell>
          <cell r="L1" t="str">
            <v>DEMAND</v>
          </cell>
          <cell r="M1" t="str">
            <v>DEM-FP</v>
          </cell>
          <cell r="N1" t="str">
            <v>DEM-P</v>
          </cell>
          <cell r="O1" t="str">
            <v>VLRCON</v>
          </cell>
          <cell r="P1" t="str">
            <v>VLRDEM</v>
          </cell>
          <cell r="Q1" t="str">
            <v>FER</v>
          </cell>
          <cell r="R1" t="str">
            <v>ACRMOR</v>
          </cell>
          <cell r="S1" t="str">
            <v>JUROS</v>
          </cell>
          <cell r="T1" t="str">
            <v>SERTAX</v>
          </cell>
          <cell r="U1" t="str">
            <v>ICMS</v>
          </cell>
          <cell r="V1" t="str">
            <v>TXMANU</v>
          </cell>
          <cell r="W1" t="str">
            <v>FDR</v>
          </cell>
          <cell r="X1" t="str">
            <v>ENCFIN</v>
          </cell>
          <cell r="Y1" t="str">
            <v>TIP</v>
          </cell>
          <cell r="Z1" t="str">
            <v>IMPORT</v>
          </cell>
          <cell r="AA1" t="str">
            <v>TOTPAG</v>
          </cell>
          <cell r="AB1" t="str">
            <v>SIGLA-ER</v>
          </cell>
          <cell r="AC1" t="str">
            <v>MES-ANO-FAT</v>
          </cell>
          <cell r="AD1" t="str">
            <v>VERSAO</v>
          </cell>
          <cell r="AE1" t="str">
            <v>KWH REGIST.</v>
          </cell>
        </row>
        <row r="2">
          <cell r="A2" t="str">
            <v>SML</v>
          </cell>
          <cell r="B2">
            <v>0</v>
          </cell>
          <cell r="C2" t="str">
            <v>DRLS</v>
          </cell>
          <cell r="D2">
            <v>1</v>
          </cell>
          <cell r="E2">
            <v>1</v>
          </cell>
          <cell r="F2" t="str">
            <v>A4</v>
          </cell>
          <cell r="G2">
            <v>20</v>
          </cell>
          <cell r="H2">
            <v>5</v>
          </cell>
          <cell r="I2">
            <v>19865</v>
          </cell>
          <cell r="J2">
            <v>0</v>
          </cell>
          <cell r="K2">
            <v>0</v>
          </cell>
          <cell r="L2">
            <v>127</v>
          </cell>
          <cell r="M2">
            <v>0</v>
          </cell>
          <cell r="N2">
            <v>0</v>
          </cell>
          <cell r="O2">
            <v>227945</v>
          </cell>
          <cell r="P2">
            <v>99399</v>
          </cell>
          <cell r="Q2">
            <v>2972</v>
          </cell>
          <cell r="R2">
            <v>731</v>
          </cell>
          <cell r="S2">
            <v>0</v>
          </cell>
          <cell r="T2">
            <v>0</v>
          </cell>
          <cell r="U2">
            <v>68118</v>
          </cell>
          <cell r="V2">
            <v>0</v>
          </cell>
          <cell r="W2">
            <v>1566</v>
          </cell>
          <cell r="X2">
            <v>0</v>
          </cell>
          <cell r="Y2">
            <v>3771</v>
          </cell>
          <cell r="Z2">
            <v>331882</v>
          </cell>
          <cell r="AA2">
            <v>336384</v>
          </cell>
          <cell r="AB2" t="str">
            <v>ERCA</v>
          </cell>
          <cell r="AC2">
            <v>1101</v>
          </cell>
          <cell r="AD2">
            <v>2</v>
          </cell>
          <cell r="AE2">
            <v>19865</v>
          </cell>
        </row>
        <row r="3">
          <cell r="A3" t="str">
            <v>SML</v>
          </cell>
          <cell r="B3">
            <v>0</v>
          </cell>
          <cell r="C3" t="str">
            <v>DRLS</v>
          </cell>
          <cell r="D3">
            <v>1</v>
          </cell>
          <cell r="E3">
            <v>1</v>
          </cell>
          <cell r="F3" t="str">
            <v xml:space="preserve">B </v>
          </cell>
          <cell r="G3">
            <v>1</v>
          </cell>
          <cell r="H3">
            <v>6006</v>
          </cell>
          <cell r="I3">
            <v>138446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2248956</v>
          </cell>
          <cell r="P3">
            <v>0</v>
          </cell>
          <cell r="Q3">
            <v>0</v>
          </cell>
          <cell r="R3">
            <v>67003</v>
          </cell>
          <cell r="S3">
            <v>0</v>
          </cell>
          <cell r="T3">
            <v>960436</v>
          </cell>
          <cell r="U3">
            <v>990</v>
          </cell>
          <cell r="V3">
            <v>282</v>
          </cell>
          <cell r="W3">
            <v>0</v>
          </cell>
          <cell r="X3">
            <v>0</v>
          </cell>
          <cell r="Y3">
            <v>19922</v>
          </cell>
          <cell r="Z3">
            <v>2248956</v>
          </cell>
          <cell r="AA3">
            <v>3296599</v>
          </cell>
          <cell r="AB3" t="str">
            <v>ERCA</v>
          </cell>
          <cell r="AC3">
            <v>1101</v>
          </cell>
          <cell r="AD3">
            <v>2</v>
          </cell>
          <cell r="AE3">
            <v>100301</v>
          </cell>
        </row>
        <row r="4">
          <cell r="A4" t="str">
            <v>SML</v>
          </cell>
          <cell r="B4">
            <v>0</v>
          </cell>
          <cell r="C4" t="str">
            <v>DRLS</v>
          </cell>
          <cell r="D4">
            <v>1</v>
          </cell>
          <cell r="E4">
            <v>1</v>
          </cell>
          <cell r="F4" t="str">
            <v xml:space="preserve">B </v>
          </cell>
          <cell r="G4">
            <v>2</v>
          </cell>
          <cell r="H4">
            <v>3944</v>
          </cell>
          <cell r="I4">
            <v>160662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3114216</v>
          </cell>
          <cell r="P4">
            <v>0</v>
          </cell>
          <cell r="Q4">
            <v>0</v>
          </cell>
          <cell r="R4">
            <v>58524</v>
          </cell>
          <cell r="S4">
            <v>0</v>
          </cell>
          <cell r="T4">
            <v>215839</v>
          </cell>
          <cell r="U4">
            <v>529272</v>
          </cell>
          <cell r="V4">
            <v>188</v>
          </cell>
          <cell r="W4">
            <v>0</v>
          </cell>
          <cell r="X4">
            <v>0</v>
          </cell>
          <cell r="Y4">
            <v>280864</v>
          </cell>
          <cell r="Z4">
            <v>3114216</v>
          </cell>
          <cell r="AA4">
            <v>3669631</v>
          </cell>
          <cell r="AB4" t="str">
            <v>ERCA</v>
          </cell>
          <cell r="AC4">
            <v>1101</v>
          </cell>
          <cell r="AD4">
            <v>2</v>
          </cell>
          <cell r="AE4">
            <v>160662</v>
          </cell>
        </row>
        <row r="5">
          <cell r="A5" t="str">
            <v>SML</v>
          </cell>
          <cell r="B5">
            <v>0</v>
          </cell>
          <cell r="C5" t="str">
            <v>DRLS</v>
          </cell>
          <cell r="D5">
            <v>1</v>
          </cell>
          <cell r="E5">
            <v>1</v>
          </cell>
          <cell r="F5" t="str">
            <v xml:space="preserve">B </v>
          </cell>
          <cell r="G5">
            <v>3</v>
          </cell>
          <cell r="H5">
            <v>13621</v>
          </cell>
          <cell r="I5">
            <v>1040398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20169426</v>
          </cell>
          <cell r="P5">
            <v>0</v>
          </cell>
          <cell r="Q5">
            <v>0</v>
          </cell>
          <cell r="R5">
            <v>210759</v>
          </cell>
          <cell r="S5">
            <v>0</v>
          </cell>
          <cell r="T5">
            <v>551234</v>
          </cell>
          <cell r="U5">
            <v>3428820</v>
          </cell>
          <cell r="V5">
            <v>1980</v>
          </cell>
          <cell r="W5">
            <v>0</v>
          </cell>
          <cell r="X5">
            <v>0</v>
          </cell>
          <cell r="Y5">
            <v>1167270</v>
          </cell>
          <cell r="Z5">
            <v>20169426</v>
          </cell>
          <cell r="AA5">
            <v>22100669</v>
          </cell>
          <cell r="AB5" t="str">
            <v>ERCA</v>
          </cell>
          <cell r="AC5">
            <v>1101</v>
          </cell>
          <cell r="AD5">
            <v>2</v>
          </cell>
          <cell r="AE5">
            <v>1036725</v>
          </cell>
        </row>
        <row r="6">
          <cell r="A6" t="str">
            <v>SML</v>
          </cell>
          <cell r="B6">
            <v>0</v>
          </cell>
          <cell r="C6" t="str">
            <v>DRLS</v>
          </cell>
          <cell r="D6">
            <v>1</v>
          </cell>
          <cell r="E6">
            <v>1</v>
          </cell>
          <cell r="F6" t="str">
            <v xml:space="preserve">B </v>
          </cell>
          <cell r="G6">
            <v>4</v>
          </cell>
          <cell r="H6">
            <v>7182</v>
          </cell>
          <cell r="I6">
            <v>875904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16986001</v>
          </cell>
          <cell r="P6">
            <v>0</v>
          </cell>
          <cell r="Q6">
            <v>0</v>
          </cell>
          <cell r="R6">
            <v>198275</v>
          </cell>
          <cell r="S6">
            <v>0</v>
          </cell>
          <cell r="T6">
            <v>474131</v>
          </cell>
          <cell r="U6">
            <v>2887768</v>
          </cell>
          <cell r="V6">
            <v>1509</v>
          </cell>
          <cell r="W6">
            <v>0</v>
          </cell>
          <cell r="X6">
            <v>0</v>
          </cell>
          <cell r="Y6">
            <v>691928</v>
          </cell>
          <cell r="Z6">
            <v>16986001</v>
          </cell>
          <cell r="AA6">
            <v>18351844</v>
          </cell>
          <cell r="AB6" t="str">
            <v>ERCA</v>
          </cell>
          <cell r="AC6">
            <v>1101</v>
          </cell>
          <cell r="AD6">
            <v>2</v>
          </cell>
          <cell r="AE6">
            <v>875904</v>
          </cell>
        </row>
        <row r="7">
          <cell r="A7" t="str">
            <v>SML</v>
          </cell>
          <cell r="B7">
            <v>0</v>
          </cell>
          <cell r="C7" t="str">
            <v>DRLS</v>
          </cell>
          <cell r="D7">
            <v>1</v>
          </cell>
          <cell r="E7">
            <v>1</v>
          </cell>
          <cell r="F7" t="str">
            <v xml:space="preserve">B </v>
          </cell>
          <cell r="G7">
            <v>5</v>
          </cell>
          <cell r="H7">
            <v>3023</v>
          </cell>
          <cell r="I7">
            <v>523964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10162676</v>
          </cell>
          <cell r="P7">
            <v>0</v>
          </cell>
          <cell r="Q7">
            <v>0</v>
          </cell>
          <cell r="R7">
            <v>109055</v>
          </cell>
          <cell r="S7">
            <v>0</v>
          </cell>
          <cell r="T7">
            <v>286997</v>
          </cell>
          <cell r="U7">
            <v>1727703</v>
          </cell>
          <cell r="V7">
            <v>94</v>
          </cell>
          <cell r="W7">
            <v>0</v>
          </cell>
          <cell r="X7">
            <v>0</v>
          </cell>
          <cell r="Y7">
            <v>469928</v>
          </cell>
          <cell r="Z7">
            <v>10162676</v>
          </cell>
          <cell r="AA7">
            <v>11028750</v>
          </cell>
          <cell r="AB7" t="str">
            <v>ERCA</v>
          </cell>
          <cell r="AC7">
            <v>1101</v>
          </cell>
          <cell r="AD7">
            <v>2</v>
          </cell>
          <cell r="AE7">
            <v>523964</v>
          </cell>
        </row>
        <row r="8">
          <cell r="A8" t="str">
            <v>SML</v>
          </cell>
          <cell r="B8">
            <v>0</v>
          </cell>
          <cell r="C8" t="str">
            <v>DRLS</v>
          </cell>
          <cell r="D8">
            <v>1</v>
          </cell>
          <cell r="E8">
            <v>1</v>
          </cell>
          <cell r="F8" t="str">
            <v xml:space="preserve">B </v>
          </cell>
          <cell r="G8">
            <v>6</v>
          </cell>
          <cell r="H8">
            <v>2096</v>
          </cell>
          <cell r="I8">
            <v>503759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9771208</v>
          </cell>
          <cell r="P8">
            <v>0</v>
          </cell>
          <cell r="Q8">
            <v>0</v>
          </cell>
          <cell r="R8">
            <v>112088</v>
          </cell>
          <cell r="S8">
            <v>0</v>
          </cell>
          <cell r="T8">
            <v>221188</v>
          </cell>
          <cell r="U8">
            <v>1661608</v>
          </cell>
          <cell r="V8">
            <v>189</v>
          </cell>
          <cell r="W8">
            <v>0</v>
          </cell>
          <cell r="X8">
            <v>0</v>
          </cell>
          <cell r="Y8">
            <v>330322</v>
          </cell>
          <cell r="Z8">
            <v>9771208</v>
          </cell>
          <cell r="AA8">
            <v>10434995</v>
          </cell>
          <cell r="AB8" t="str">
            <v>ERCA</v>
          </cell>
          <cell r="AC8">
            <v>1101</v>
          </cell>
          <cell r="AD8">
            <v>2</v>
          </cell>
          <cell r="AE8">
            <v>503759</v>
          </cell>
        </row>
        <row r="9">
          <cell r="A9" t="str">
            <v>SML</v>
          </cell>
          <cell r="B9">
            <v>0</v>
          </cell>
          <cell r="C9" t="str">
            <v>DRLS</v>
          </cell>
          <cell r="D9">
            <v>1</v>
          </cell>
          <cell r="E9">
            <v>1</v>
          </cell>
          <cell r="F9" t="str">
            <v xml:space="preserve">B </v>
          </cell>
          <cell r="G9">
            <v>7</v>
          </cell>
          <cell r="H9">
            <v>654</v>
          </cell>
          <cell r="I9">
            <v>217538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4376243</v>
          </cell>
          <cell r="P9">
            <v>0</v>
          </cell>
          <cell r="Q9">
            <v>0</v>
          </cell>
          <cell r="R9">
            <v>46055</v>
          </cell>
          <cell r="S9">
            <v>0</v>
          </cell>
          <cell r="T9">
            <v>101395</v>
          </cell>
          <cell r="U9">
            <v>875540</v>
          </cell>
          <cell r="V9">
            <v>0</v>
          </cell>
          <cell r="W9">
            <v>0</v>
          </cell>
          <cell r="X9">
            <v>0</v>
          </cell>
          <cell r="Y9">
            <v>166650</v>
          </cell>
          <cell r="Z9">
            <v>4376243</v>
          </cell>
          <cell r="AA9">
            <v>4690343</v>
          </cell>
          <cell r="AB9" t="str">
            <v>ERCA</v>
          </cell>
          <cell r="AC9">
            <v>1101</v>
          </cell>
          <cell r="AD9">
            <v>2</v>
          </cell>
          <cell r="AE9">
            <v>217538</v>
          </cell>
        </row>
        <row r="10">
          <cell r="A10" t="str">
            <v>SML</v>
          </cell>
          <cell r="B10">
            <v>0</v>
          </cell>
          <cell r="C10" t="str">
            <v>DRLS</v>
          </cell>
          <cell r="D10">
            <v>1</v>
          </cell>
          <cell r="E10">
            <v>1</v>
          </cell>
          <cell r="F10" t="str">
            <v xml:space="preserve">B </v>
          </cell>
          <cell r="G10">
            <v>8</v>
          </cell>
          <cell r="H10">
            <v>306</v>
          </cell>
          <cell r="I10">
            <v>131425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2644694</v>
          </cell>
          <cell r="P10">
            <v>0</v>
          </cell>
          <cell r="Q10">
            <v>0</v>
          </cell>
          <cell r="R10">
            <v>17331</v>
          </cell>
          <cell r="S10">
            <v>0</v>
          </cell>
          <cell r="T10">
            <v>50268</v>
          </cell>
          <cell r="U10">
            <v>529058</v>
          </cell>
          <cell r="V10">
            <v>189</v>
          </cell>
          <cell r="W10">
            <v>0</v>
          </cell>
          <cell r="X10">
            <v>0</v>
          </cell>
          <cell r="Y10">
            <v>83750</v>
          </cell>
          <cell r="Z10">
            <v>2644694</v>
          </cell>
          <cell r="AA10">
            <v>2796232</v>
          </cell>
          <cell r="AB10" t="str">
            <v>ERCA</v>
          </cell>
          <cell r="AC10">
            <v>1101</v>
          </cell>
          <cell r="AD10">
            <v>2</v>
          </cell>
          <cell r="AE10">
            <v>131425</v>
          </cell>
        </row>
        <row r="11">
          <cell r="A11" t="str">
            <v>SML</v>
          </cell>
          <cell r="B11">
            <v>0</v>
          </cell>
          <cell r="C11" t="str">
            <v>DRLS</v>
          </cell>
          <cell r="D11">
            <v>1</v>
          </cell>
          <cell r="E11">
            <v>1</v>
          </cell>
          <cell r="F11" t="str">
            <v xml:space="preserve">B </v>
          </cell>
          <cell r="G11">
            <v>9</v>
          </cell>
          <cell r="H11">
            <v>408</v>
          </cell>
          <cell r="I11">
            <v>250770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5393601</v>
          </cell>
          <cell r="P11">
            <v>0</v>
          </cell>
          <cell r="Q11">
            <v>0</v>
          </cell>
          <cell r="R11">
            <v>41775</v>
          </cell>
          <cell r="S11">
            <v>0</v>
          </cell>
          <cell r="T11">
            <v>114061</v>
          </cell>
          <cell r="U11">
            <v>1348614</v>
          </cell>
          <cell r="V11">
            <v>189</v>
          </cell>
          <cell r="W11">
            <v>0</v>
          </cell>
          <cell r="X11">
            <v>0</v>
          </cell>
          <cell r="Y11">
            <v>143253</v>
          </cell>
          <cell r="Z11">
            <v>5393601</v>
          </cell>
          <cell r="AA11">
            <v>5692879</v>
          </cell>
          <cell r="AB11" t="str">
            <v>ERCA</v>
          </cell>
          <cell r="AC11">
            <v>1101</v>
          </cell>
          <cell r="AD11">
            <v>2</v>
          </cell>
          <cell r="AE11">
            <v>250770</v>
          </cell>
        </row>
        <row r="12">
          <cell r="A12" t="str">
            <v>SML</v>
          </cell>
          <cell r="B12">
            <v>0</v>
          </cell>
          <cell r="C12" t="str">
            <v>DRLS</v>
          </cell>
          <cell r="D12">
            <v>1</v>
          </cell>
          <cell r="E12">
            <v>1</v>
          </cell>
          <cell r="F12" t="str">
            <v xml:space="preserve">B </v>
          </cell>
          <cell r="G12">
            <v>10</v>
          </cell>
          <cell r="H12">
            <v>129</v>
          </cell>
          <cell r="I12">
            <v>203522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4370670</v>
          </cell>
          <cell r="P12">
            <v>0</v>
          </cell>
          <cell r="Q12">
            <v>0</v>
          </cell>
          <cell r="R12">
            <v>36528</v>
          </cell>
          <cell r="S12">
            <v>0</v>
          </cell>
          <cell r="T12">
            <v>106374</v>
          </cell>
          <cell r="U12">
            <v>1092756</v>
          </cell>
          <cell r="V12">
            <v>0</v>
          </cell>
          <cell r="W12">
            <v>0</v>
          </cell>
          <cell r="X12">
            <v>0</v>
          </cell>
          <cell r="Y12">
            <v>64545</v>
          </cell>
          <cell r="Z12">
            <v>4370670</v>
          </cell>
          <cell r="AA12">
            <v>4578117</v>
          </cell>
          <cell r="AB12" t="str">
            <v>ERCA</v>
          </cell>
          <cell r="AC12">
            <v>1101</v>
          </cell>
          <cell r="AD12">
            <v>2</v>
          </cell>
          <cell r="AE12">
            <v>203522</v>
          </cell>
        </row>
        <row r="13">
          <cell r="A13" t="str">
            <v>SML</v>
          </cell>
          <cell r="B13">
            <v>0</v>
          </cell>
          <cell r="C13" t="str">
            <v>DRLS</v>
          </cell>
          <cell r="D13">
            <v>1</v>
          </cell>
          <cell r="E13">
            <v>1</v>
          </cell>
          <cell r="F13" t="str">
            <v xml:space="preserve">B </v>
          </cell>
          <cell r="G13">
            <v>11</v>
          </cell>
          <cell r="H13">
            <v>5575</v>
          </cell>
          <cell r="I13">
            <v>135953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767610</v>
          </cell>
          <cell r="P13">
            <v>0</v>
          </cell>
          <cell r="Q13">
            <v>0</v>
          </cell>
          <cell r="R13">
            <v>14947</v>
          </cell>
          <cell r="S13">
            <v>0</v>
          </cell>
          <cell r="T13">
            <v>232444</v>
          </cell>
          <cell r="U13">
            <v>0</v>
          </cell>
          <cell r="V13">
            <v>566</v>
          </cell>
          <cell r="W13">
            <v>0</v>
          </cell>
          <cell r="X13">
            <v>0</v>
          </cell>
          <cell r="Y13">
            <v>10094</v>
          </cell>
          <cell r="Z13">
            <v>767610</v>
          </cell>
          <cell r="AA13">
            <v>1025661</v>
          </cell>
          <cell r="AB13" t="str">
            <v>ERCA</v>
          </cell>
          <cell r="AC13">
            <v>1101</v>
          </cell>
          <cell r="AD13">
            <v>2</v>
          </cell>
          <cell r="AE13">
            <v>107246</v>
          </cell>
        </row>
        <row r="14">
          <cell r="A14" t="str">
            <v>SML</v>
          </cell>
          <cell r="B14">
            <v>0</v>
          </cell>
          <cell r="C14" t="str">
            <v>DRLS</v>
          </cell>
          <cell r="D14">
            <v>1</v>
          </cell>
          <cell r="E14">
            <v>1</v>
          </cell>
          <cell r="F14" t="str">
            <v xml:space="preserve">B </v>
          </cell>
          <cell r="G14">
            <v>12</v>
          </cell>
          <cell r="H14">
            <v>8775</v>
          </cell>
          <cell r="I14">
            <v>548924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5153412</v>
          </cell>
          <cell r="P14">
            <v>0</v>
          </cell>
          <cell r="Q14">
            <v>0</v>
          </cell>
          <cell r="R14">
            <v>69030</v>
          </cell>
          <cell r="S14">
            <v>0</v>
          </cell>
          <cell r="T14">
            <v>149594</v>
          </cell>
          <cell r="U14">
            <v>876438</v>
          </cell>
          <cell r="V14">
            <v>564</v>
          </cell>
          <cell r="W14">
            <v>0</v>
          </cell>
          <cell r="X14">
            <v>0</v>
          </cell>
          <cell r="Y14">
            <v>618580</v>
          </cell>
          <cell r="Z14">
            <v>5153412</v>
          </cell>
          <cell r="AA14">
            <v>5991180</v>
          </cell>
          <cell r="AB14" t="str">
            <v>ERCA</v>
          </cell>
          <cell r="AC14">
            <v>1101</v>
          </cell>
          <cell r="AD14">
            <v>2</v>
          </cell>
          <cell r="AE14">
            <v>548924</v>
          </cell>
        </row>
        <row r="15">
          <cell r="A15" t="str">
            <v>SML</v>
          </cell>
          <cell r="B15">
            <v>0</v>
          </cell>
          <cell r="C15" t="str">
            <v>DRLS</v>
          </cell>
          <cell r="D15">
            <v>1</v>
          </cell>
          <cell r="E15">
            <v>1</v>
          </cell>
          <cell r="F15" t="str">
            <v xml:space="preserve">B </v>
          </cell>
          <cell r="G15">
            <v>13</v>
          </cell>
          <cell r="H15">
            <v>1350</v>
          </cell>
          <cell r="I15">
            <v>157682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1986201</v>
          </cell>
          <cell r="P15">
            <v>0</v>
          </cell>
          <cell r="Q15">
            <v>0</v>
          </cell>
          <cell r="R15">
            <v>20418</v>
          </cell>
          <cell r="S15">
            <v>0</v>
          </cell>
          <cell r="T15">
            <v>45540</v>
          </cell>
          <cell r="U15">
            <v>337690</v>
          </cell>
          <cell r="V15">
            <v>188</v>
          </cell>
          <cell r="W15">
            <v>0</v>
          </cell>
          <cell r="X15">
            <v>0</v>
          </cell>
          <cell r="Y15">
            <v>115620</v>
          </cell>
          <cell r="Z15">
            <v>1986201</v>
          </cell>
          <cell r="AA15">
            <v>2167967</v>
          </cell>
          <cell r="AB15" t="str">
            <v>ERCA</v>
          </cell>
          <cell r="AC15">
            <v>1101</v>
          </cell>
          <cell r="AD15">
            <v>2</v>
          </cell>
          <cell r="AE15">
            <v>157682</v>
          </cell>
        </row>
        <row r="16">
          <cell r="A16" t="str">
            <v>SML</v>
          </cell>
          <cell r="B16">
            <v>0</v>
          </cell>
          <cell r="C16" t="str">
            <v>DRLS</v>
          </cell>
          <cell r="D16">
            <v>1</v>
          </cell>
          <cell r="E16">
            <v>1</v>
          </cell>
          <cell r="F16" t="str">
            <v xml:space="preserve">B </v>
          </cell>
          <cell r="G16">
            <v>14</v>
          </cell>
          <cell r="H16">
            <v>143</v>
          </cell>
          <cell r="I16">
            <v>20953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265469</v>
          </cell>
          <cell r="P16">
            <v>0</v>
          </cell>
          <cell r="Q16">
            <v>0</v>
          </cell>
          <cell r="R16">
            <v>3208</v>
          </cell>
          <cell r="S16">
            <v>0</v>
          </cell>
          <cell r="T16">
            <v>1765</v>
          </cell>
          <cell r="U16">
            <v>45143</v>
          </cell>
          <cell r="V16">
            <v>0</v>
          </cell>
          <cell r="W16">
            <v>0</v>
          </cell>
          <cell r="X16">
            <v>0</v>
          </cell>
          <cell r="Y16">
            <v>15551</v>
          </cell>
          <cell r="Z16">
            <v>265469</v>
          </cell>
          <cell r="AA16">
            <v>285993</v>
          </cell>
          <cell r="AB16" t="str">
            <v>ERCA</v>
          </cell>
          <cell r="AC16">
            <v>1101</v>
          </cell>
          <cell r="AD16">
            <v>2</v>
          </cell>
          <cell r="AE16">
            <v>20953</v>
          </cell>
        </row>
        <row r="17">
          <cell r="A17" t="str">
            <v>SML</v>
          </cell>
          <cell r="B17">
            <v>0</v>
          </cell>
          <cell r="C17" t="str">
            <v>DRLS</v>
          </cell>
          <cell r="D17">
            <v>1</v>
          </cell>
          <cell r="E17">
            <v>1</v>
          </cell>
          <cell r="F17" t="str">
            <v xml:space="preserve">B </v>
          </cell>
          <cell r="G17">
            <v>15</v>
          </cell>
          <cell r="H17">
            <v>216</v>
          </cell>
          <cell r="I17">
            <v>45772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699186</v>
          </cell>
          <cell r="P17">
            <v>0</v>
          </cell>
          <cell r="Q17">
            <v>0</v>
          </cell>
          <cell r="R17">
            <v>12015</v>
          </cell>
          <cell r="S17">
            <v>0</v>
          </cell>
          <cell r="T17">
            <v>13439</v>
          </cell>
          <cell r="U17">
            <v>125618</v>
          </cell>
          <cell r="V17">
            <v>0</v>
          </cell>
          <cell r="W17">
            <v>0</v>
          </cell>
          <cell r="X17">
            <v>0</v>
          </cell>
          <cell r="Y17">
            <v>29862</v>
          </cell>
          <cell r="Z17">
            <v>699186</v>
          </cell>
          <cell r="AA17">
            <v>754502</v>
          </cell>
          <cell r="AB17" t="str">
            <v>ERCA</v>
          </cell>
          <cell r="AC17">
            <v>1101</v>
          </cell>
          <cell r="AD17">
            <v>2</v>
          </cell>
          <cell r="AE17">
            <v>45772</v>
          </cell>
        </row>
        <row r="18">
          <cell r="A18" t="str">
            <v>SML</v>
          </cell>
          <cell r="B18">
            <v>0</v>
          </cell>
          <cell r="C18" t="str">
            <v>DRLS</v>
          </cell>
          <cell r="D18">
            <v>1</v>
          </cell>
          <cell r="E18">
            <v>2</v>
          </cell>
          <cell r="F18" t="str">
            <v>A1</v>
          </cell>
          <cell r="G18">
            <v>24</v>
          </cell>
          <cell r="H18">
            <v>2</v>
          </cell>
          <cell r="I18">
            <v>4763991</v>
          </cell>
          <cell r="J18">
            <v>438163</v>
          </cell>
          <cell r="K18">
            <v>4325828</v>
          </cell>
          <cell r="L18">
            <v>17050</v>
          </cell>
          <cell r="M18">
            <v>10250</v>
          </cell>
          <cell r="N18">
            <v>9900</v>
          </cell>
          <cell r="O18">
            <v>23611695</v>
          </cell>
          <cell r="P18">
            <v>14249934</v>
          </cell>
          <cell r="Q18">
            <v>0</v>
          </cell>
          <cell r="R18">
            <v>245083</v>
          </cell>
          <cell r="S18">
            <v>0</v>
          </cell>
          <cell r="T18">
            <v>7406</v>
          </cell>
          <cell r="U18">
            <v>9465407</v>
          </cell>
          <cell r="V18">
            <v>0</v>
          </cell>
          <cell r="W18">
            <v>0</v>
          </cell>
          <cell r="X18">
            <v>0</v>
          </cell>
          <cell r="Y18">
            <v>1044</v>
          </cell>
          <cell r="Z18">
            <v>37861629</v>
          </cell>
          <cell r="AA18">
            <v>38115162</v>
          </cell>
          <cell r="AB18" t="str">
            <v>ERCA</v>
          </cell>
          <cell r="AC18">
            <v>1101</v>
          </cell>
          <cell r="AD18">
            <v>2</v>
          </cell>
          <cell r="AE18">
            <v>4763991</v>
          </cell>
        </row>
        <row r="19">
          <cell r="A19" t="str">
            <v>SML</v>
          </cell>
          <cell r="B19">
            <v>0</v>
          </cell>
          <cell r="C19" t="str">
            <v>DRLS</v>
          </cell>
          <cell r="D19">
            <v>1</v>
          </cell>
          <cell r="E19">
            <v>2</v>
          </cell>
          <cell r="F19" t="str">
            <v>A3</v>
          </cell>
          <cell r="G19">
            <v>26</v>
          </cell>
          <cell r="H19">
            <v>9</v>
          </cell>
          <cell r="I19">
            <v>24574344</v>
          </cell>
          <cell r="J19">
            <v>1630148</v>
          </cell>
          <cell r="K19">
            <v>22944196</v>
          </cell>
          <cell r="L19">
            <v>50206</v>
          </cell>
          <cell r="M19">
            <v>43325</v>
          </cell>
          <cell r="N19">
            <v>29751</v>
          </cell>
          <cell r="O19">
            <v>141234981</v>
          </cell>
          <cell r="P19">
            <v>128806026</v>
          </cell>
          <cell r="Q19">
            <v>1423260</v>
          </cell>
          <cell r="R19">
            <v>0</v>
          </cell>
          <cell r="S19">
            <v>0</v>
          </cell>
          <cell r="T19">
            <v>3703</v>
          </cell>
          <cell r="U19">
            <v>68046480</v>
          </cell>
          <cell r="V19">
            <v>0</v>
          </cell>
          <cell r="W19">
            <v>721643</v>
          </cell>
          <cell r="X19">
            <v>0</v>
          </cell>
          <cell r="Y19">
            <v>3210</v>
          </cell>
          <cell r="Z19">
            <v>272185910</v>
          </cell>
          <cell r="AA19">
            <v>272192823</v>
          </cell>
          <cell r="AB19" t="str">
            <v>ERCA</v>
          </cell>
          <cell r="AC19">
            <v>1101</v>
          </cell>
          <cell r="AD19">
            <v>2</v>
          </cell>
          <cell r="AE19">
            <v>24574344</v>
          </cell>
        </row>
        <row r="20">
          <cell r="A20" t="str">
            <v>SML</v>
          </cell>
          <cell r="B20">
            <v>0</v>
          </cell>
          <cell r="C20" t="str">
            <v>DRLS</v>
          </cell>
          <cell r="D20">
            <v>1</v>
          </cell>
          <cell r="E20">
            <v>2</v>
          </cell>
          <cell r="F20" t="str">
            <v>A4</v>
          </cell>
          <cell r="G20">
            <v>22</v>
          </cell>
          <cell r="H20">
            <v>8</v>
          </cell>
          <cell r="I20">
            <v>2179439</v>
          </cell>
          <cell r="J20">
            <v>171956</v>
          </cell>
          <cell r="K20">
            <v>2007483</v>
          </cell>
          <cell r="L20">
            <v>8622</v>
          </cell>
          <cell r="M20">
            <v>6120</v>
          </cell>
          <cell r="N20">
            <v>4111</v>
          </cell>
          <cell r="O20">
            <v>15018160</v>
          </cell>
          <cell r="P20">
            <v>11943999</v>
          </cell>
          <cell r="Q20">
            <v>286181</v>
          </cell>
          <cell r="R20">
            <v>191885</v>
          </cell>
          <cell r="S20">
            <v>0</v>
          </cell>
          <cell r="T20">
            <v>11109</v>
          </cell>
          <cell r="U20">
            <v>6818472</v>
          </cell>
          <cell r="V20">
            <v>0</v>
          </cell>
          <cell r="W20">
            <v>25552</v>
          </cell>
          <cell r="X20">
            <v>0</v>
          </cell>
          <cell r="Y20">
            <v>3288</v>
          </cell>
          <cell r="Z20">
            <v>27273892</v>
          </cell>
          <cell r="AA20">
            <v>27480174</v>
          </cell>
          <cell r="AB20" t="str">
            <v>ERCA</v>
          </cell>
          <cell r="AC20">
            <v>1101</v>
          </cell>
          <cell r="AD20">
            <v>2</v>
          </cell>
          <cell r="AE20">
            <v>2179439</v>
          </cell>
        </row>
        <row r="21">
          <cell r="A21" t="str">
            <v>SML</v>
          </cell>
          <cell r="B21">
            <v>0</v>
          </cell>
          <cell r="C21" t="str">
            <v>DRLS</v>
          </cell>
          <cell r="D21">
            <v>1</v>
          </cell>
          <cell r="E21">
            <v>2</v>
          </cell>
          <cell r="F21" t="str">
            <v>A4</v>
          </cell>
          <cell r="G21">
            <v>21</v>
          </cell>
          <cell r="H21">
            <v>18</v>
          </cell>
          <cell r="I21">
            <v>2332950</v>
          </cell>
          <cell r="J21">
            <v>135420</v>
          </cell>
          <cell r="K21">
            <v>2197530</v>
          </cell>
          <cell r="L21">
            <v>11962</v>
          </cell>
          <cell r="M21">
            <v>11318</v>
          </cell>
          <cell r="N21">
            <v>0</v>
          </cell>
          <cell r="O21">
            <v>22514722</v>
          </cell>
          <cell r="P21">
            <v>9216737</v>
          </cell>
          <cell r="Q21">
            <v>392782</v>
          </cell>
          <cell r="R21">
            <v>109854</v>
          </cell>
          <cell r="S21">
            <v>0</v>
          </cell>
          <cell r="T21">
            <v>2529637</v>
          </cell>
          <cell r="U21">
            <v>8033306</v>
          </cell>
          <cell r="V21">
            <v>0</v>
          </cell>
          <cell r="W21">
            <v>8979</v>
          </cell>
          <cell r="X21">
            <v>0</v>
          </cell>
          <cell r="Y21">
            <v>9069</v>
          </cell>
          <cell r="Z21">
            <v>32133220</v>
          </cell>
          <cell r="AA21">
            <v>34781780</v>
          </cell>
          <cell r="AB21" t="str">
            <v>ERCA</v>
          </cell>
          <cell r="AC21">
            <v>1101</v>
          </cell>
          <cell r="AD21">
            <v>2</v>
          </cell>
          <cell r="AE21">
            <v>2332950</v>
          </cell>
        </row>
        <row r="22">
          <cell r="A22" t="str">
            <v>SML</v>
          </cell>
          <cell r="B22">
            <v>0</v>
          </cell>
          <cell r="C22" t="str">
            <v>DRLS</v>
          </cell>
          <cell r="D22">
            <v>1</v>
          </cell>
          <cell r="E22">
            <v>2</v>
          </cell>
          <cell r="F22" t="str">
            <v>A4</v>
          </cell>
          <cell r="G22">
            <v>20</v>
          </cell>
          <cell r="H22">
            <v>60</v>
          </cell>
          <cell r="I22">
            <v>617498</v>
          </cell>
          <cell r="J22">
            <v>0</v>
          </cell>
          <cell r="K22">
            <v>0</v>
          </cell>
          <cell r="L22">
            <v>3526</v>
          </cell>
          <cell r="M22">
            <v>0</v>
          </cell>
          <cell r="N22">
            <v>0</v>
          </cell>
          <cell r="O22">
            <v>7085582</v>
          </cell>
          <cell r="P22">
            <v>2759688</v>
          </cell>
          <cell r="Q22">
            <v>766445</v>
          </cell>
          <cell r="R22">
            <v>96376</v>
          </cell>
          <cell r="S22">
            <v>0</v>
          </cell>
          <cell r="T22">
            <v>474173</v>
          </cell>
          <cell r="U22">
            <v>2755082</v>
          </cell>
          <cell r="V22">
            <v>0</v>
          </cell>
          <cell r="W22">
            <v>436728</v>
          </cell>
          <cell r="X22">
            <v>0</v>
          </cell>
          <cell r="Y22">
            <v>23164</v>
          </cell>
          <cell r="Z22">
            <v>11048443</v>
          </cell>
          <cell r="AA22">
            <v>11642156</v>
          </cell>
          <cell r="AB22" t="str">
            <v>ERCA</v>
          </cell>
          <cell r="AC22">
            <v>1101</v>
          </cell>
          <cell r="AD22">
            <v>2</v>
          </cell>
          <cell r="AE22">
            <v>617498</v>
          </cell>
        </row>
        <row r="23">
          <cell r="A23" t="str">
            <v>SML</v>
          </cell>
          <cell r="B23">
            <v>0</v>
          </cell>
          <cell r="C23" t="str">
            <v>DRLS</v>
          </cell>
          <cell r="D23">
            <v>1</v>
          </cell>
          <cell r="E23">
            <v>2</v>
          </cell>
          <cell r="F23" t="str">
            <v xml:space="preserve">B </v>
          </cell>
          <cell r="G23">
            <v>0</v>
          </cell>
          <cell r="H23">
            <v>147</v>
          </cell>
          <cell r="I23">
            <v>137279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2857930</v>
          </cell>
          <cell r="P23">
            <v>0</v>
          </cell>
          <cell r="Q23">
            <v>0</v>
          </cell>
          <cell r="R23">
            <v>52427</v>
          </cell>
          <cell r="S23">
            <v>0</v>
          </cell>
          <cell r="T23">
            <v>375009</v>
          </cell>
          <cell r="U23">
            <v>709635</v>
          </cell>
          <cell r="V23">
            <v>283</v>
          </cell>
          <cell r="W23">
            <v>0</v>
          </cell>
          <cell r="X23">
            <v>0</v>
          </cell>
          <cell r="Y23">
            <v>37908</v>
          </cell>
          <cell r="Z23">
            <v>2857930</v>
          </cell>
          <cell r="AA23">
            <v>3323557</v>
          </cell>
          <cell r="AB23" t="str">
            <v>ERCA</v>
          </cell>
          <cell r="AC23">
            <v>1101</v>
          </cell>
          <cell r="AD23">
            <v>2</v>
          </cell>
          <cell r="AE23">
            <v>136416</v>
          </cell>
        </row>
        <row r="24">
          <cell r="A24" t="str">
            <v>SML</v>
          </cell>
          <cell r="B24">
            <v>0</v>
          </cell>
          <cell r="C24" t="str">
            <v>DRLS</v>
          </cell>
          <cell r="D24">
            <v>1</v>
          </cell>
          <cell r="E24">
            <v>3</v>
          </cell>
          <cell r="F24" t="str">
            <v>A4</v>
          </cell>
          <cell r="G24">
            <v>22</v>
          </cell>
          <cell r="H24">
            <v>4</v>
          </cell>
          <cell r="I24">
            <v>953918</v>
          </cell>
          <cell r="J24">
            <v>82218</v>
          </cell>
          <cell r="K24">
            <v>871700</v>
          </cell>
          <cell r="L24">
            <v>3989</v>
          </cell>
          <cell r="M24">
            <v>2437</v>
          </cell>
          <cell r="N24">
            <v>2324</v>
          </cell>
          <cell r="O24">
            <v>6745599</v>
          </cell>
          <cell r="P24">
            <v>6495384</v>
          </cell>
          <cell r="Q24">
            <v>45133</v>
          </cell>
          <cell r="R24">
            <v>-88147</v>
          </cell>
          <cell r="S24">
            <v>0</v>
          </cell>
          <cell r="T24">
            <v>0</v>
          </cell>
          <cell r="U24">
            <v>3354143</v>
          </cell>
          <cell r="V24">
            <v>0</v>
          </cell>
          <cell r="W24">
            <v>130452</v>
          </cell>
          <cell r="X24">
            <v>0</v>
          </cell>
          <cell r="Y24">
            <v>561</v>
          </cell>
          <cell r="Z24">
            <v>13416568</v>
          </cell>
          <cell r="AA24">
            <v>13328982</v>
          </cell>
          <cell r="AB24" t="str">
            <v>ERCA</v>
          </cell>
          <cell r="AC24">
            <v>1101</v>
          </cell>
          <cell r="AD24">
            <v>2</v>
          </cell>
          <cell r="AE24">
            <v>953918</v>
          </cell>
        </row>
        <row r="25">
          <cell r="A25" t="str">
            <v>SML</v>
          </cell>
          <cell r="B25">
            <v>0</v>
          </cell>
          <cell r="C25" t="str">
            <v>DRLS</v>
          </cell>
          <cell r="D25">
            <v>1</v>
          </cell>
          <cell r="E25">
            <v>3</v>
          </cell>
          <cell r="F25" t="str">
            <v>A4</v>
          </cell>
          <cell r="G25">
            <v>21</v>
          </cell>
          <cell r="H25">
            <v>5</v>
          </cell>
          <cell r="I25">
            <v>239246</v>
          </cell>
          <cell r="J25">
            <v>15778</v>
          </cell>
          <cell r="K25">
            <v>223468</v>
          </cell>
          <cell r="L25">
            <v>1167</v>
          </cell>
          <cell r="M25">
            <v>1167</v>
          </cell>
          <cell r="N25">
            <v>0</v>
          </cell>
          <cell r="O25">
            <v>2412910</v>
          </cell>
          <cell r="P25">
            <v>806009</v>
          </cell>
          <cell r="Q25">
            <v>108456</v>
          </cell>
          <cell r="R25">
            <v>19540</v>
          </cell>
          <cell r="S25">
            <v>0</v>
          </cell>
          <cell r="T25">
            <v>33554</v>
          </cell>
          <cell r="U25">
            <v>831844</v>
          </cell>
          <cell r="V25">
            <v>0</v>
          </cell>
          <cell r="W25">
            <v>0</v>
          </cell>
          <cell r="X25">
            <v>0</v>
          </cell>
          <cell r="Y25">
            <v>2166</v>
          </cell>
          <cell r="Z25">
            <v>3327375</v>
          </cell>
          <cell r="AA25">
            <v>3382635</v>
          </cell>
          <cell r="AB25" t="str">
            <v>ERCA</v>
          </cell>
          <cell r="AC25">
            <v>1101</v>
          </cell>
          <cell r="AD25">
            <v>2</v>
          </cell>
          <cell r="AE25">
            <v>239246</v>
          </cell>
        </row>
        <row r="26">
          <cell r="A26" t="str">
            <v>SML</v>
          </cell>
          <cell r="B26">
            <v>0</v>
          </cell>
          <cell r="C26" t="str">
            <v>DRLS</v>
          </cell>
          <cell r="D26">
            <v>1</v>
          </cell>
          <cell r="E26">
            <v>3</v>
          </cell>
          <cell r="F26" t="str">
            <v>A4</v>
          </cell>
          <cell r="G26">
            <v>20</v>
          </cell>
          <cell r="H26">
            <v>95</v>
          </cell>
          <cell r="I26">
            <v>1013667</v>
          </cell>
          <cell r="J26">
            <v>0</v>
          </cell>
          <cell r="K26">
            <v>0</v>
          </cell>
          <cell r="L26">
            <v>3060</v>
          </cell>
          <cell r="M26">
            <v>0</v>
          </cell>
          <cell r="N26">
            <v>0</v>
          </cell>
          <cell r="O26">
            <v>11631517</v>
          </cell>
          <cell r="P26">
            <v>2394969</v>
          </cell>
          <cell r="Q26">
            <v>247646</v>
          </cell>
          <cell r="R26">
            <v>78096</v>
          </cell>
          <cell r="S26">
            <v>0</v>
          </cell>
          <cell r="T26">
            <v>47956</v>
          </cell>
          <cell r="U26">
            <v>3582102</v>
          </cell>
          <cell r="V26">
            <v>0</v>
          </cell>
          <cell r="W26">
            <v>71222</v>
          </cell>
          <cell r="X26">
            <v>0</v>
          </cell>
          <cell r="Y26">
            <v>30296</v>
          </cell>
          <cell r="Z26">
            <v>14345354</v>
          </cell>
          <cell r="AA26">
            <v>14501702</v>
          </cell>
          <cell r="AB26" t="str">
            <v>ERCA</v>
          </cell>
          <cell r="AC26">
            <v>1101</v>
          </cell>
          <cell r="AD26">
            <v>2</v>
          </cell>
          <cell r="AE26">
            <v>1013667</v>
          </cell>
        </row>
        <row r="27">
          <cell r="A27" t="str">
            <v>SML</v>
          </cell>
          <cell r="B27">
            <v>0</v>
          </cell>
          <cell r="C27" t="str">
            <v>DRLS</v>
          </cell>
          <cell r="D27">
            <v>1</v>
          </cell>
          <cell r="E27">
            <v>3</v>
          </cell>
          <cell r="F27" t="str">
            <v xml:space="preserve">B </v>
          </cell>
          <cell r="G27">
            <v>0</v>
          </cell>
          <cell r="H27">
            <v>4608</v>
          </cell>
          <cell r="I27">
            <v>1348079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28079201</v>
          </cell>
          <cell r="P27">
            <v>0</v>
          </cell>
          <cell r="Q27">
            <v>0</v>
          </cell>
          <cell r="R27">
            <v>442903</v>
          </cell>
          <cell r="S27">
            <v>0</v>
          </cell>
          <cell r="T27">
            <v>1624896</v>
          </cell>
          <cell r="U27">
            <v>6953116</v>
          </cell>
          <cell r="V27">
            <v>3114</v>
          </cell>
          <cell r="W27">
            <v>0</v>
          </cell>
          <cell r="X27">
            <v>0</v>
          </cell>
          <cell r="Y27">
            <v>597350</v>
          </cell>
          <cell r="Z27">
            <v>28079201</v>
          </cell>
          <cell r="AA27">
            <v>30747464</v>
          </cell>
          <cell r="AB27" t="str">
            <v>ERCA</v>
          </cell>
          <cell r="AC27">
            <v>1101</v>
          </cell>
          <cell r="AD27">
            <v>2</v>
          </cell>
          <cell r="AE27">
            <v>1325159</v>
          </cell>
        </row>
        <row r="28">
          <cell r="A28" t="str">
            <v>SML</v>
          </cell>
          <cell r="B28">
            <v>0</v>
          </cell>
          <cell r="C28" t="str">
            <v>DRLS</v>
          </cell>
          <cell r="D28">
            <v>1</v>
          </cell>
          <cell r="E28">
            <v>4</v>
          </cell>
          <cell r="F28" t="str">
            <v>A4</v>
          </cell>
          <cell r="G28">
            <v>20</v>
          </cell>
          <cell r="H28">
            <v>17</v>
          </cell>
          <cell r="I28">
            <v>259905</v>
          </cell>
          <cell r="J28">
            <v>0</v>
          </cell>
          <cell r="K28">
            <v>0</v>
          </cell>
          <cell r="L28">
            <v>950</v>
          </cell>
          <cell r="M28">
            <v>0</v>
          </cell>
          <cell r="N28">
            <v>0</v>
          </cell>
          <cell r="O28">
            <v>2012965</v>
          </cell>
          <cell r="P28">
            <v>501600</v>
          </cell>
          <cell r="Q28">
            <v>7652</v>
          </cell>
          <cell r="R28">
            <v>24579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3168</v>
          </cell>
          <cell r="X28">
            <v>0</v>
          </cell>
          <cell r="Y28">
            <v>0</v>
          </cell>
          <cell r="Z28">
            <v>2525385</v>
          </cell>
          <cell r="AA28">
            <v>2549964</v>
          </cell>
          <cell r="AB28" t="str">
            <v>ERCA</v>
          </cell>
          <cell r="AC28">
            <v>1101</v>
          </cell>
          <cell r="AD28">
            <v>2</v>
          </cell>
          <cell r="AE28">
            <v>259905</v>
          </cell>
        </row>
        <row r="29">
          <cell r="A29" t="str">
            <v>SML</v>
          </cell>
          <cell r="B29">
            <v>0</v>
          </cell>
          <cell r="C29" t="str">
            <v>DRLS</v>
          </cell>
          <cell r="D29">
            <v>1</v>
          </cell>
          <cell r="E29">
            <v>4</v>
          </cell>
          <cell r="F29" t="str">
            <v xml:space="preserve">B </v>
          </cell>
          <cell r="G29">
            <v>0</v>
          </cell>
          <cell r="H29">
            <v>2147</v>
          </cell>
          <cell r="I29">
            <v>413830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4288036</v>
          </cell>
          <cell r="P29">
            <v>0</v>
          </cell>
          <cell r="Q29">
            <v>0</v>
          </cell>
          <cell r="R29">
            <v>4226</v>
          </cell>
          <cell r="S29">
            <v>0</v>
          </cell>
          <cell r="T29">
            <v>495163</v>
          </cell>
          <cell r="U29">
            <v>0</v>
          </cell>
          <cell r="V29">
            <v>94781</v>
          </cell>
          <cell r="W29">
            <v>0</v>
          </cell>
          <cell r="X29">
            <v>0</v>
          </cell>
          <cell r="Y29">
            <v>0</v>
          </cell>
          <cell r="Z29">
            <v>4288036</v>
          </cell>
          <cell r="AA29">
            <v>4882206</v>
          </cell>
          <cell r="AB29" t="str">
            <v>ERCA</v>
          </cell>
          <cell r="AC29">
            <v>1101</v>
          </cell>
          <cell r="AD29">
            <v>2</v>
          </cell>
          <cell r="AE29">
            <v>407267</v>
          </cell>
        </row>
        <row r="30">
          <cell r="A30" t="str">
            <v>SML</v>
          </cell>
          <cell r="B30">
            <v>0</v>
          </cell>
          <cell r="C30" t="str">
            <v>DRLS</v>
          </cell>
          <cell r="D30">
            <v>1</v>
          </cell>
          <cell r="E30">
            <v>5</v>
          </cell>
          <cell r="F30" t="str">
            <v>A4</v>
          </cell>
          <cell r="G30">
            <v>21</v>
          </cell>
          <cell r="H30">
            <v>1</v>
          </cell>
          <cell r="I30">
            <v>16441</v>
          </cell>
          <cell r="J30">
            <v>751</v>
          </cell>
          <cell r="K30">
            <v>15690</v>
          </cell>
          <cell r="L30">
            <v>70</v>
          </cell>
          <cell r="M30">
            <v>70</v>
          </cell>
          <cell r="N30">
            <v>0</v>
          </cell>
          <cell r="O30">
            <v>147481</v>
          </cell>
          <cell r="P30">
            <v>48347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48957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195828</v>
          </cell>
          <cell r="AA30">
            <v>195828</v>
          </cell>
          <cell r="AB30" t="str">
            <v>ERCA</v>
          </cell>
          <cell r="AC30">
            <v>1101</v>
          </cell>
          <cell r="AD30">
            <v>2</v>
          </cell>
          <cell r="AE30">
            <v>16441</v>
          </cell>
        </row>
        <row r="31">
          <cell r="A31" t="str">
            <v>SML</v>
          </cell>
          <cell r="B31">
            <v>0</v>
          </cell>
          <cell r="C31" t="str">
            <v>DRLS</v>
          </cell>
          <cell r="D31">
            <v>1</v>
          </cell>
          <cell r="E31">
            <v>5</v>
          </cell>
          <cell r="F31" t="str">
            <v>A4</v>
          </cell>
          <cell r="G31">
            <v>20</v>
          </cell>
          <cell r="H31">
            <v>18</v>
          </cell>
          <cell r="I31">
            <v>299066</v>
          </cell>
          <cell r="J31">
            <v>0</v>
          </cell>
          <cell r="K31">
            <v>0</v>
          </cell>
          <cell r="L31">
            <v>1312</v>
          </cell>
          <cell r="M31">
            <v>0</v>
          </cell>
          <cell r="N31">
            <v>0</v>
          </cell>
          <cell r="O31">
            <v>2790475</v>
          </cell>
          <cell r="P31">
            <v>844497</v>
          </cell>
          <cell r="Q31">
            <v>133146</v>
          </cell>
          <cell r="R31">
            <v>9973</v>
          </cell>
          <cell r="S31">
            <v>0</v>
          </cell>
          <cell r="T31">
            <v>287600</v>
          </cell>
          <cell r="U31">
            <v>295994</v>
          </cell>
          <cell r="V31">
            <v>0</v>
          </cell>
          <cell r="W31">
            <v>34046</v>
          </cell>
          <cell r="X31">
            <v>0</v>
          </cell>
          <cell r="Y31">
            <v>0</v>
          </cell>
          <cell r="Z31">
            <v>3802164</v>
          </cell>
          <cell r="AA31">
            <v>4099737</v>
          </cell>
          <cell r="AB31" t="str">
            <v>ERCA</v>
          </cell>
          <cell r="AC31">
            <v>1101</v>
          </cell>
          <cell r="AD31">
            <v>2</v>
          </cell>
          <cell r="AE31">
            <v>299066</v>
          </cell>
        </row>
        <row r="32">
          <cell r="A32" t="str">
            <v>SML</v>
          </cell>
          <cell r="B32">
            <v>0</v>
          </cell>
          <cell r="C32" t="str">
            <v>DRLS</v>
          </cell>
          <cell r="D32">
            <v>1</v>
          </cell>
          <cell r="E32">
            <v>5</v>
          </cell>
          <cell r="F32" t="str">
            <v xml:space="preserve">B </v>
          </cell>
          <cell r="G32">
            <v>0</v>
          </cell>
          <cell r="H32">
            <v>287</v>
          </cell>
          <cell r="I32">
            <v>244126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4941473</v>
          </cell>
          <cell r="P32">
            <v>0</v>
          </cell>
          <cell r="Q32">
            <v>0</v>
          </cell>
          <cell r="R32">
            <v>9967</v>
          </cell>
          <cell r="S32">
            <v>0</v>
          </cell>
          <cell r="T32">
            <v>1577060</v>
          </cell>
          <cell r="U32">
            <v>1129712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4941473</v>
          </cell>
          <cell r="AA32">
            <v>6528500</v>
          </cell>
          <cell r="AB32" t="str">
            <v>ERCA</v>
          </cell>
          <cell r="AC32">
            <v>1101</v>
          </cell>
          <cell r="AD32">
            <v>2</v>
          </cell>
          <cell r="AE32">
            <v>243321</v>
          </cell>
        </row>
        <row r="33">
          <cell r="A33" t="str">
            <v>SML</v>
          </cell>
          <cell r="B33">
            <v>0</v>
          </cell>
          <cell r="C33" t="str">
            <v>DRLS</v>
          </cell>
          <cell r="D33">
            <v>1</v>
          </cell>
          <cell r="E33">
            <v>6</v>
          </cell>
          <cell r="F33" t="str">
            <v xml:space="preserve">B </v>
          </cell>
          <cell r="G33">
            <v>0</v>
          </cell>
          <cell r="H33">
            <v>31</v>
          </cell>
          <cell r="I33">
            <v>527368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6208878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1552222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6208878</v>
          </cell>
          <cell r="AA33">
            <v>6208878</v>
          </cell>
          <cell r="AB33" t="str">
            <v>ERCA</v>
          </cell>
          <cell r="AC33">
            <v>1101</v>
          </cell>
          <cell r="AD33">
            <v>2</v>
          </cell>
          <cell r="AE33">
            <v>527368</v>
          </cell>
        </row>
        <row r="34">
          <cell r="A34" t="str">
            <v>SML</v>
          </cell>
          <cell r="B34">
            <v>0</v>
          </cell>
          <cell r="C34" t="str">
            <v>DRLS</v>
          </cell>
          <cell r="D34">
            <v>1</v>
          </cell>
          <cell r="E34">
            <v>7</v>
          </cell>
          <cell r="F34" t="str">
            <v>A4</v>
          </cell>
          <cell r="G34">
            <v>22</v>
          </cell>
          <cell r="H34">
            <v>3</v>
          </cell>
          <cell r="I34">
            <v>787954</v>
          </cell>
          <cell r="J34">
            <v>63259</v>
          </cell>
          <cell r="K34">
            <v>724695</v>
          </cell>
          <cell r="L34">
            <v>2552</v>
          </cell>
          <cell r="M34">
            <v>1289</v>
          </cell>
          <cell r="N34">
            <v>1263</v>
          </cell>
          <cell r="O34">
            <v>4707389</v>
          </cell>
          <cell r="P34">
            <v>2979094</v>
          </cell>
          <cell r="Q34">
            <v>295940</v>
          </cell>
          <cell r="R34">
            <v>0</v>
          </cell>
          <cell r="S34">
            <v>0</v>
          </cell>
          <cell r="T34">
            <v>0</v>
          </cell>
          <cell r="U34">
            <v>2034179</v>
          </cell>
          <cell r="V34">
            <v>0</v>
          </cell>
          <cell r="W34">
            <v>154293</v>
          </cell>
          <cell r="X34">
            <v>0</v>
          </cell>
          <cell r="Y34">
            <v>0</v>
          </cell>
          <cell r="Z34">
            <v>8136716</v>
          </cell>
          <cell r="AA34">
            <v>8136716</v>
          </cell>
          <cell r="AB34" t="str">
            <v>ERCA</v>
          </cell>
          <cell r="AC34">
            <v>1101</v>
          </cell>
          <cell r="AD34">
            <v>2</v>
          </cell>
          <cell r="AE34">
            <v>787954</v>
          </cell>
        </row>
        <row r="35">
          <cell r="A35" t="str">
            <v>SML</v>
          </cell>
          <cell r="B35">
            <v>0</v>
          </cell>
          <cell r="C35" t="str">
            <v>DRLS</v>
          </cell>
          <cell r="D35">
            <v>1</v>
          </cell>
          <cell r="E35">
            <v>7</v>
          </cell>
          <cell r="F35" t="str">
            <v>A4</v>
          </cell>
          <cell r="G35">
            <v>20</v>
          </cell>
          <cell r="H35">
            <v>8</v>
          </cell>
          <cell r="I35">
            <v>311414</v>
          </cell>
          <cell r="J35">
            <v>0</v>
          </cell>
          <cell r="K35">
            <v>0</v>
          </cell>
          <cell r="L35">
            <v>640</v>
          </cell>
          <cell r="M35">
            <v>0</v>
          </cell>
          <cell r="N35">
            <v>0</v>
          </cell>
          <cell r="O35">
            <v>3037325</v>
          </cell>
          <cell r="P35">
            <v>424960</v>
          </cell>
          <cell r="Q35">
            <v>284623</v>
          </cell>
          <cell r="R35">
            <v>0</v>
          </cell>
          <cell r="S35">
            <v>0</v>
          </cell>
          <cell r="T35">
            <v>0</v>
          </cell>
          <cell r="U35">
            <v>950339</v>
          </cell>
          <cell r="V35">
            <v>0</v>
          </cell>
          <cell r="W35">
            <v>54448</v>
          </cell>
          <cell r="X35">
            <v>0</v>
          </cell>
          <cell r="Y35">
            <v>0</v>
          </cell>
          <cell r="Z35">
            <v>3801356</v>
          </cell>
          <cell r="AA35">
            <v>3801356</v>
          </cell>
          <cell r="AB35" t="str">
            <v>ERCA</v>
          </cell>
          <cell r="AC35">
            <v>1101</v>
          </cell>
          <cell r="AD35">
            <v>2</v>
          </cell>
          <cell r="AE35">
            <v>311414</v>
          </cell>
        </row>
        <row r="36">
          <cell r="A36" t="str">
            <v>SML</v>
          </cell>
          <cell r="B36">
            <v>0</v>
          </cell>
          <cell r="C36" t="str">
            <v>DRLS</v>
          </cell>
          <cell r="D36">
            <v>1</v>
          </cell>
          <cell r="E36">
            <v>7</v>
          </cell>
          <cell r="F36" t="str">
            <v xml:space="preserve">B </v>
          </cell>
          <cell r="G36">
            <v>0</v>
          </cell>
          <cell r="H36">
            <v>16</v>
          </cell>
          <cell r="I36">
            <v>38330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678237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169560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678237</v>
          </cell>
          <cell r="AA36">
            <v>678237</v>
          </cell>
          <cell r="AB36" t="str">
            <v>ERCA</v>
          </cell>
          <cell r="AC36">
            <v>1101</v>
          </cell>
          <cell r="AD36">
            <v>2</v>
          </cell>
          <cell r="AE36">
            <v>38329</v>
          </cell>
        </row>
        <row r="37">
          <cell r="A37" t="str">
            <v>SML</v>
          </cell>
          <cell r="B37">
            <v>0</v>
          </cell>
          <cell r="C37" t="str">
            <v>DRLS</v>
          </cell>
          <cell r="D37">
            <v>1</v>
          </cell>
          <cell r="E37">
            <v>8</v>
          </cell>
          <cell r="F37" t="str">
            <v xml:space="preserve">B </v>
          </cell>
          <cell r="G37">
            <v>0</v>
          </cell>
          <cell r="H37">
            <v>18</v>
          </cell>
          <cell r="I37">
            <v>23748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494396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123599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494396</v>
          </cell>
          <cell r="AA37">
            <v>494396</v>
          </cell>
          <cell r="AB37" t="str">
            <v>ERCA</v>
          </cell>
          <cell r="AC37">
            <v>1101</v>
          </cell>
          <cell r="AD37">
            <v>2</v>
          </cell>
          <cell r="AE37">
            <v>23395</v>
          </cell>
        </row>
        <row r="38">
          <cell r="A38" t="str">
            <v>SML</v>
          </cell>
          <cell r="B38">
            <v>0</v>
          </cell>
          <cell r="C38" t="str">
            <v>DRLS</v>
          </cell>
          <cell r="D38">
            <v>2</v>
          </cell>
          <cell r="E38">
            <v>1</v>
          </cell>
          <cell r="F38" t="str">
            <v xml:space="preserve">B </v>
          </cell>
          <cell r="G38">
            <v>1</v>
          </cell>
          <cell r="H38">
            <v>3567</v>
          </cell>
          <cell r="I38">
            <v>84038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1357945</v>
          </cell>
          <cell r="P38">
            <v>0</v>
          </cell>
          <cell r="Q38">
            <v>0</v>
          </cell>
          <cell r="R38">
            <v>45413</v>
          </cell>
          <cell r="S38">
            <v>0</v>
          </cell>
          <cell r="T38">
            <v>471646</v>
          </cell>
          <cell r="U38">
            <v>330</v>
          </cell>
          <cell r="V38">
            <v>94</v>
          </cell>
          <cell r="W38">
            <v>0</v>
          </cell>
          <cell r="X38">
            <v>0</v>
          </cell>
          <cell r="Y38">
            <v>28804</v>
          </cell>
          <cell r="Z38">
            <v>1357945</v>
          </cell>
          <cell r="AA38">
            <v>1903902</v>
          </cell>
          <cell r="AB38" t="str">
            <v>ERBA</v>
          </cell>
          <cell r="AC38">
            <v>1101</v>
          </cell>
          <cell r="AD38">
            <v>2</v>
          </cell>
          <cell r="AE38">
            <v>53726</v>
          </cell>
        </row>
        <row r="39">
          <cell r="A39" t="str">
            <v>SML</v>
          </cell>
          <cell r="B39">
            <v>0</v>
          </cell>
          <cell r="C39" t="str">
            <v>DRLS</v>
          </cell>
          <cell r="D39">
            <v>2</v>
          </cell>
          <cell r="E39">
            <v>1</v>
          </cell>
          <cell r="F39" t="str">
            <v xml:space="preserve">B </v>
          </cell>
          <cell r="G39">
            <v>2</v>
          </cell>
          <cell r="H39">
            <v>1833</v>
          </cell>
          <cell r="I39">
            <v>74603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1446700</v>
          </cell>
          <cell r="P39">
            <v>0</v>
          </cell>
          <cell r="Q39">
            <v>0</v>
          </cell>
          <cell r="R39">
            <v>19391</v>
          </cell>
          <cell r="S39">
            <v>0</v>
          </cell>
          <cell r="T39">
            <v>77008</v>
          </cell>
          <cell r="U39">
            <v>245854</v>
          </cell>
          <cell r="V39">
            <v>0</v>
          </cell>
          <cell r="W39">
            <v>0</v>
          </cell>
          <cell r="X39">
            <v>0</v>
          </cell>
          <cell r="Y39">
            <v>77257</v>
          </cell>
          <cell r="Z39">
            <v>1446700</v>
          </cell>
          <cell r="AA39">
            <v>1620356</v>
          </cell>
          <cell r="AB39" t="str">
            <v>ERBA</v>
          </cell>
          <cell r="AC39">
            <v>1101</v>
          </cell>
          <cell r="AD39">
            <v>2</v>
          </cell>
          <cell r="AE39">
            <v>74603</v>
          </cell>
        </row>
        <row r="40">
          <cell r="A40" t="str">
            <v>SML</v>
          </cell>
          <cell r="B40">
            <v>0</v>
          </cell>
          <cell r="C40" t="str">
            <v>DRLS</v>
          </cell>
          <cell r="D40">
            <v>2</v>
          </cell>
          <cell r="E40">
            <v>1</v>
          </cell>
          <cell r="F40" t="str">
            <v xml:space="preserve">B </v>
          </cell>
          <cell r="G40">
            <v>3</v>
          </cell>
          <cell r="H40">
            <v>5598</v>
          </cell>
          <cell r="I40">
            <v>422524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8188131</v>
          </cell>
          <cell r="P40">
            <v>0</v>
          </cell>
          <cell r="Q40">
            <v>0</v>
          </cell>
          <cell r="R40">
            <v>81375</v>
          </cell>
          <cell r="S40">
            <v>0</v>
          </cell>
          <cell r="T40">
            <v>213232</v>
          </cell>
          <cell r="U40">
            <v>1392003</v>
          </cell>
          <cell r="V40">
            <v>94</v>
          </cell>
          <cell r="W40">
            <v>0</v>
          </cell>
          <cell r="X40">
            <v>0</v>
          </cell>
          <cell r="Y40">
            <v>418337</v>
          </cell>
          <cell r="Z40">
            <v>8188131</v>
          </cell>
          <cell r="AA40">
            <v>8901169</v>
          </cell>
          <cell r="AB40" t="str">
            <v>ERBA</v>
          </cell>
          <cell r="AC40">
            <v>1101</v>
          </cell>
          <cell r="AD40">
            <v>2</v>
          </cell>
          <cell r="AE40">
            <v>419220</v>
          </cell>
        </row>
        <row r="41">
          <cell r="A41" t="str">
            <v>SML</v>
          </cell>
          <cell r="B41">
            <v>0</v>
          </cell>
          <cell r="C41" t="str">
            <v>DRLS</v>
          </cell>
          <cell r="D41">
            <v>2</v>
          </cell>
          <cell r="E41">
            <v>1</v>
          </cell>
          <cell r="F41" t="str">
            <v xml:space="preserve">B </v>
          </cell>
          <cell r="G41">
            <v>4</v>
          </cell>
          <cell r="H41">
            <v>2721</v>
          </cell>
          <cell r="I41">
            <v>330507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6399071</v>
          </cell>
          <cell r="P41">
            <v>0</v>
          </cell>
          <cell r="Q41">
            <v>0</v>
          </cell>
          <cell r="R41">
            <v>93072</v>
          </cell>
          <cell r="S41">
            <v>0</v>
          </cell>
          <cell r="T41">
            <v>135124</v>
          </cell>
          <cell r="U41">
            <v>1087871</v>
          </cell>
          <cell r="V41">
            <v>377</v>
          </cell>
          <cell r="W41">
            <v>0</v>
          </cell>
          <cell r="X41">
            <v>0</v>
          </cell>
          <cell r="Y41">
            <v>318940</v>
          </cell>
          <cell r="Z41">
            <v>6399071</v>
          </cell>
          <cell r="AA41">
            <v>6946584</v>
          </cell>
          <cell r="AB41" t="str">
            <v>ERBA</v>
          </cell>
          <cell r="AC41">
            <v>1101</v>
          </cell>
          <cell r="AD41">
            <v>2</v>
          </cell>
          <cell r="AE41">
            <v>330507</v>
          </cell>
        </row>
        <row r="42">
          <cell r="A42" t="str">
            <v>SML</v>
          </cell>
          <cell r="B42">
            <v>0</v>
          </cell>
          <cell r="C42" t="str">
            <v>DRLS</v>
          </cell>
          <cell r="D42">
            <v>2</v>
          </cell>
          <cell r="E42">
            <v>1</v>
          </cell>
          <cell r="F42" t="str">
            <v xml:space="preserve">B </v>
          </cell>
          <cell r="G42">
            <v>5</v>
          </cell>
          <cell r="H42">
            <v>1116</v>
          </cell>
          <cell r="I42">
            <v>193661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3754320</v>
          </cell>
          <cell r="P42">
            <v>0</v>
          </cell>
          <cell r="Q42">
            <v>0</v>
          </cell>
          <cell r="R42">
            <v>50439</v>
          </cell>
          <cell r="S42">
            <v>0</v>
          </cell>
          <cell r="T42">
            <v>64050</v>
          </cell>
          <cell r="U42">
            <v>638259</v>
          </cell>
          <cell r="V42">
            <v>471</v>
          </cell>
          <cell r="W42">
            <v>0</v>
          </cell>
          <cell r="X42">
            <v>0</v>
          </cell>
          <cell r="Y42">
            <v>208240</v>
          </cell>
          <cell r="Z42">
            <v>3754320</v>
          </cell>
          <cell r="AA42">
            <v>4077520</v>
          </cell>
          <cell r="AB42" t="str">
            <v>ERBA</v>
          </cell>
          <cell r="AC42">
            <v>1101</v>
          </cell>
          <cell r="AD42">
            <v>2</v>
          </cell>
          <cell r="AE42">
            <v>193661</v>
          </cell>
        </row>
        <row r="43">
          <cell r="A43" t="str">
            <v>SML</v>
          </cell>
          <cell r="B43">
            <v>0</v>
          </cell>
          <cell r="C43" t="str">
            <v>DRLS</v>
          </cell>
          <cell r="D43">
            <v>2</v>
          </cell>
          <cell r="E43">
            <v>1</v>
          </cell>
          <cell r="F43" t="str">
            <v xml:space="preserve">B </v>
          </cell>
          <cell r="G43">
            <v>6</v>
          </cell>
          <cell r="H43">
            <v>878</v>
          </cell>
          <cell r="I43">
            <v>211200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4084181</v>
          </cell>
          <cell r="P43">
            <v>0</v>
          </cell>
          <cell r="Q43">
            <v>0</v>
          </cell>
          <cell r="R43">
            <v>47784</v>
          </cell>
          <cell r="S43">
            <v>0</v>
          </cell>
          <cell r="T43">
            <v>76912</v>
          </cell>
          <cell r="U43">
            <v>694529</v>
          </cell>
          <cell r="V43">
            <v>0</v>
          </cell>
          <cell r="W43">
            <v>0</v>
          </cell>
          <cell r="X43">
            <v>0</v>
          </cell>
          <cell r="Y43">
            <v>177890</v>
          </cell>
          <cell r="Z43">
            <v>4084181</v>
          </cell>
          <cell r="AA43">
            <v>4386767</v>
          </cell>
          <cell r="AB43" t="str">
            <v>ERBA</v>
          </cell>
          <cell r="AC43">
            <v>1101</v>
          </cell>
          <cell r="AD43">
            <v>2</v>
          </cell>
          <cell r="AE43">
            <v>211200</v>
          </cell>
        </row>
        <row r="44">
          <cell r="A44" t="str">
            <v>SML</v>
          </cell>
          <cell r="B44">
            <v>0</v>
          </cell>
          <cell r="C44" t="str">
            <v>DRLS</v>
          </cell>
          <cell r="D44">
            <v>2</v>
          </cell>
          <cell r="E44">
            <v>1</v>
          </cell>
          <cell r="F44" t="str">
            <v xml:space="preserve">B </v>
          </cell>
          <cell r="G44">
            <v>7</v>
          </cell>
          <cell r="H44">
            <v>290</v>
          </cell>
          <cell r="I44">
            <v>97956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1972135</v>
          </cell>
          <cell r="P44">
            <v>0</v>
          </cell>
          <cell r="Q44">
            <v>0</v>
          </cell>
          <cell r="R44">
            <v>20864</v>
          </cell>
          <cell r="S44">
            <v>0</v>
          </cell>
          <cell r="T44">
            <v>22173</v>
          </cell>
          <cell r="U44">
            <v>394557</v>
          </cell>
          <cell r="V44">
            <v>0</v>
          </cell>
          <cell r="W44">
            <v>0</v>
          </cell>
          <cell r="X44">
            <v>0</v>
          </cell>
          <cell r="Y44">
            <v>110192</v>
          </cell>
          <cell r="Z44">
            <v>1972135</v>
          </cell>
          <cell r="AA44">
            <v>2125364</v>
          </cell>
          <cell r="AB44" t="str">
            <v>ERBA</v>
          </cell>
          <cell r="AC44">
            <v>1101</v>
          </cell>
          <cell r="AD44">
            <v>2</v>
          </cell>
          <cell r="AE44">
            <v>97956</v>
          </cell>
        </row>
        <row r="45">
          <cell r="A45" t="str">
            <v>SML</v>
          </cell>
          <cell r="B45">
            <v>0</v>
          </cell>
          <cell r="C45" t="str">
            <v>DRLS</v>
          </cell>
          <cell r="D45">
            <v>2</v>
          </cell>
          <cell r="E45">
            <v>1</v>
          </cell>
          <cell r="F45" t="str">
            <v xml:space="preserve">B </v>
          </cell>
          <cell r="G45">
            <v>8</v>
          </cell>
          <cell r="H45">
            <v>122</v>
          </cell>
          <cell r="I45">
            <v>53473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1076047</v>
          </cell>
          <cell r="P45">
            <v>0</v>
          </cell>
          <cell r="Q45">
            <v>0</v>
          </cell>
          <cell r="R45">
            <v>6851</v>
          </cell>
          <cell r="S45">
            <v>0</v>
          </cell>
          <cell r="T45">
            <v>11953</v>
          </cell>
          <cell r="U45">
            <v>215256</v>
          </cell>
          <cell r="V45">
            <v>0</v>
          </cell>
          <cell r="W45">
            <v>0</v>
          </cell>
          <cell r="X45">
            <v>0</v>
          </cell>
          <cell r="Y45">
            <v>44562</v>
          </cell>
          <cell r="Z45">
            <v>1076047</v>
          </cell>
          <cell r="AA45">
            <v>1139413</v>
          </cell>
          <cell r="AB45" t="str">
            <v>ERBA</v>
          </cell>
          <cell r="AC45">
            <v>1101</v>
          </cell>
          <cell r="AD45">
            <v>2</v>
          </cell>
          <cell r="AE45">
            <v>53473</v>
          </cell>
        </row>
        <row r="46">
          <cell r="A46" t="str">
            <v>SML</v>
          </cell>
          <cell r="B46">
            <v>0</v>
          </cell>
          <cell r="C46" t="str">
            <v>DRLS</v>
          </cell>
          <cell r="D46">
            <v>2</v>
          </cell>
          <cell r="E46">
            <v>1</v>
          </cell>
          <cell r="F46" t="str">
            <v xml:space="preserve">B </v>
          </cell>
          <cell r="G46">
            <v>9</v>
          </cell>
          <cell r="H46">
            <v>140</v>
          </cell>
          <cell r="I46">
            <v>88697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1902064</v>
          </cell>
          <cell r="P46">
            <v>0</v>
          </cell>
          <cell r="Q46">
            <v>0</v>
          </cell>
          <cell r="R46">
            <v>23907</v>
          </cell>
          <cell r="S46">
            <v>0</v>
          </cell>
          <cell r="T46">
            <v>26579</v>
          </cell>
          <cell r="U46">
            <v>475626</v>
          </cell>
          <cell r="V46">
            <v>0</v>
          </cell>
          <cell r="W46">
            <v>0</v>
          </cell>
          <cell r="X46">
            <v>0</v>
          </cell>
          <cell r="Y46">
            <v>69059</v>
          </cell>
          <cell r="Z46">
            <v>1902064</v>
          </cell>
          <cell r="AA46">
            <v>2021609</v>
          </cell>
          <cell r="AB46" t="str">
            <v>ERBA</v>
          </cell>
          <cell r="AC46">
            <v>1101</v>
          </cell>
          <cell r="AD46">
            <v>2</v>
          </cell>
          <cell r="AE46">
            <v>88697</v>
          </cell>
        </row>
        <row r="47">
          <cell r="A47" t="str">
            <v>SML</v>
          </cell>
          <cell r="B47">
            <v>0</v>
          </cell>
          <cell r="C47" t="str">
            <v>DRLS</v>
          </cell>
          <cell r="D47">
            <v>2</v>
          </cell>
          <cell r="E47">
            <v>1</v>
          </cell>
          <cell r="F47" t="str">
            <v xml:space="preserve">B </v>
          </cell>
          <cell r="G47">
            <v>10</v>
          </cell>
          <cell r="H47">
            <v>32</v>
          </cell>
          <cell r="I47">
            <v>33527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718827</v>
          </cell>
          <cell r="P47">
            <v>0</v>
          </cell>
          <cell r="Q47">
            <v>0</v>
          </cell>
          <cell r="R47">
            <v>7141</v>
          </cell>
          <cell r="S47">
            <v>0</v>
          </cell>
          <cell r="T47">
            <v>16500</v>
          </cell>
          <cell r="U47">
            <v>179717</v>
          </cell>
          <cell r="V47">
            <v>0</v>
          </cell>
          <cell r="W47">
            <v>0</v>
          </cell>
          <cell r="X47">
            <v>0</v>
          </cell>
          <cell r="Y47">
            <v>28307</v>
          </cell>
          <cell r="Z47">
            <v>718827</v>
          </cell>
          <cell r="AA47">
            <v>770775</v>
          </cell>
          <cell r="AB47" t="str">
            <v>ERBA</v>
          </cell>
          <cell r="AC47">
            <v>1101</v>
          </cell>
          <cell r="AD47">
            <v>2</v>
          </cell>
          <cell r="AE47">
            <v>33527</v>
          </cell>
        </row>
        <row r="48">
          <cell r="A48" t="str">
            <v>SML</v>
          </cell>
          <cell r="B48">
            <v>0</v>
          </cell>
          <cell r="C48" t="str">
            <v>DRLS</v>
          </cell>
          <cell r="D48">
            <v>2</v>
          </cell>
          <cell r="E48">
            <v>1</v>
          </cell>
          <cell r="F48" t="str">
            <v xml:space="preserve">B </v>
          </cell>
          <cell r="G48">
            <v>11</v>
          </cell>
          <cell r="H48">
            <v>4140</v>
          </cell>
          <cell r="I48">
            <v>98982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558484</v>
          </cell>
          <cell r="P48">
            <v>0</v>
          </cell>
          <cell r="Q48">
            <v>0</v>
          </cell>
          <cell r="R48">
            <v>12339</v>
          </cell>
          <cell r="S48">
            <v>0</v>
          </cell>
          <cell r="T48">
            <v>78668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28682</v>
          </cell>
          <cell r="Z48">
            <v>558484</v>
          </cell>
          <cell r="AA48">
            <v>678173</v>
          </cell>
          <cell r="AB48" t="str">
            <v>ERBA</v>
          </cell>
          <cell r="AC48">
            <v>1101</v>
          </cell>
          <cell r="AD48">
            <v>2</v>
          </cell>
          <cell r="AE48">
            <v>67426</v>
          </cell>
        </row>
        <row r="49">
          <cell r="A49" t="str">
            <v>SML</v>
          </cell>
          <cell r="B49">
            <v>0</v>
          </cell>
          <cell r="C49" t="str">
            <v>DRLS</v>
          </cell>
          <cell r="D49">
            <v>2</v>
          </cell>
          <cell r="E49">
            <v>1</v>
          </cell>
          <cell r="F49" t="str">
            <v xml:space="preserve">B </v>
          </cell>
          <cell r="G49">
            <v>12</v>
          </cell>
          <cell r="H49">
            <v>5434</v>
          </cell>
          <cell r="I49">
            <v>333851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3098236</v>
          </cell>
          <cell r="P49">
            <v>0</v>
          </cell>
          <cell r="Q49">
            <v>0</v>
          </cell>
          <cell r="R49">
            <v>32209</v>
          </cell>
          <cell r="S49">
            <v>0</v>
          </cell>
          <cell r="T49">
            <v>54349</v>
          </cell>
          <cell r="U49">
            <v>526918</v>
          </cell>
          <cell r="V49">
            <v>0</v>
          </cell>
          <cell r="W49">
            <v>0</v>
          </cell>
          <cell r="X49">
            <v>0</v>
          </cell>
          <cell r="Y49">
            <v>359575</v>
          </cell>
          <cell r="Z49">
            <v>3098236</v>
          </cell>
          <cell r="AA49">
            <v>3544369</v>
          </cell>
          <cell r="AB49" t="str">
            <v>ERBA</v>
          </cell>
          <cell r="AC49">
            <v>1101</v>
          </cell>
          <cell r="AD49">
            <v>2</v>
          </cell>
          <cell r="AE49">
            <v>333851</v>
          </cell>
        </row>
        <row r="50">
          <cell r="A50" t="str">
            <v>SML</v>
          </cell>
          <cell r="B50">
            <v>0</v>
          </cell>
          <cell r="C50" t="str">
            <v>DRLS</v>
          </cell>
          <cell r="D50">
            <v>2</v>
          </cell>
          <cell r="E50">
            <v>1</v>
          </cell>
          <cell r="F50" t="str">
            <v xml:space="preserve">B </v>
          </cell>
          <cell r="G50">
            <v>13</v>
          </cell>
          <cell r="H50">
            <v>630</v>
          </cell>
          <cell r="I50">
            <v>73297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900324</v>
          </cell>
          <cell r="P50">
            <v>0</v>
          </cell>
          <cell r="Q50">
            <v>0</v>
          </cell>
          <cell r="R50">
            <v>10302</v>
          </cell>
          <cell r="S50">
            <v>0</v>
          </cell>
          <cell r="T50">
            <v>10736</v>
          </cell>
          <cell r="U50">
            <v>153078</v>
          </cell>
          <cell r="V50">
            <v>0</v>
          </cell>
          <cell r="W50">
            <v>0</v>
          </cell>
          <cell r="X50">
            <v>0</v>
          </cell>
          <cell r="Y50">
            <v>72116</v>
          </cell>
          <cell r="Z50">
            <v>900324</v>
          </cell>
          <cell r="AA50">
            <v>993478</v>
          </cell>
          <cell r="AB50" t="str">
            <v>ERBA</v>
          </cell>
          <cell r="AC50">
            <v>1101</v>
          </cell>
          <cell r="AD50">
            <v>2</v>
          </cell>
          <cell r="AE50">
            <v>73297</v>
          </cell>
        </row>
        <row r="51">
          <cell r="A51" t="str">
            <v>SML</v>
          </cell>
          <cell r="B51">
            <v>0</v>
          </cell>
          <cell r="C51" t="str">
            <v>DRLS</v>
          </cell>
          <cell r="D51">
            <v>2</v>
          </cell>
          <cell r="E51">
            <v>1</v>
          </cell>
          <cell r="F51" t="str">
            <v xml:space="preserve">B </v>
          </cell>
          <cell r="G51">
            <v>14</v>
          </cell>
          <cell r="H51">
            <v>55</v>
          </cell>
          <cell r="I51">
            <v>8537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109364</v>
          </cell>
          <cell r="P51">
            <v>0</v>
          </cell>
          <cell r="Q51">
            <v>0</v>
          </cell>
          <cell r="R51">
            <v>1111</v>
          </cell>
          <cell r="S51">
            <v>0</v>
          </cell>
          <cell r="T51">
            <v>3571</v>
          </cell>
          <cell r="U51">
            <v>18592</v>
          </cell>
          <cell r="V51">
            <v>0</v>
          </cell>
          <cell r="W51">
            <v>0</v>
          </cell>
          <cell r="X51">
            <v>0</v>
          </cell>
          <cell r="Y51">
            <v>8418</v>
          </cell>
          <cell r="Z51">
            <v>109364</v>
          </cell>
          <cell r="AA51">
            <v>122464</v>
          </cell>
          <cell r="AB51" t="str">
            <v>ERBA</v>
          </cell>
          <cell r="AC51">
            <v>1101</v>
          </cell>
          <cell r="AD51">
            <v>2</v>
          </cell>
          <cell r="AE51">
            <v>8537</v>
          </cell>
        </row>
        <row r="52">
          <cell r="A52" t="str">
            <v>SML</v>
          </cell>
          <cell r="B52">
            <v>0</v>
          </cell>
          <cell r="C52" t="str">
            <v>DRLS</v>
          </cell>
          <cell r="D52">
            <v>2</v>
          </cell>
          <cell r="E52">
            <v>1</v>
          </cell>
          <cell r="F52" t="str">
            <v xml:space="preserve">B </v>
          </cell>
          <cell r="G52">
            <v>15</v>
          </cell>
          <cell r="H52">
            <v>83</v>
          </cell>
          <cell r="I52">
            <v>12569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160148</v>
          </cell>
          <cell r="P52">
            <v>0</v>
          </cell>
          <cell r="Q52">
            <v>0</v>
          </cell>
          <cell r="R52">
            <v>2218</v>
          </cell>
          <cell r="S52">
            <v>0</v>
          </cell>
          <cell r="T52">
            <v>2719</v>
          </cell>
          <cell r="U52">
            <v>21702</v>
          </cell>
          <cell r="V52">
            <v>0</v>
          </cell>
          <cell r="W52">
            <v>0</v>
          </cell>
          <cell r="X52">
            <v>0</v>
          </cell>
          <cell r="Y52">
            <v>11869</v>
          </cell>
          <cell r="Z52">
            <v>160148</v>
          </cell>
          <cell r="AA52">
            <v>176954</v>
          </cell>
          <cell r="AB52" t="str">
            <v>ERBA</v>
          </cell>
          <cell r="AC52">
            <v>1101</v>
          </cell>
          <cell r="AD52">
            <v>2</v>
          </cell>
          <cell r="AE52">
            <v>12569</v>
          </cell>
        </row>
        <row r="53">
          <cell r="A53" t="str">
            <v>SML</v>
          </cell>
          <cell r="B53">
            <v>0</v>
          </cell>
          <cell r="C53" t="str">
            <v>DRLS</v>
          </cell>
          <cell r="D53">
            <v>2</v>
          </cell>
          <cell r="E53">
            <v>2</v>
          </cell>
          <cell r="F53" t="str">
            <v>A4</v>
          </cell>
          <cell r="G53">
            <v>21</v>
          </cell>
          <cell r="H53">
            <v>1</v>
          </cell>
          <cell r="I53">
            <v>50218</v>
          </cell>
          <cell r="J53">
            <v>4494</v>
          </cell>
          <cell r="K53">
            <v>45724</v>
          </cell>
          <cell r="L53">
            <v>380</v>
          </cell>
          <cell r="M53">
            <v>380</v>
          </cell>
          <cell r="N53">
            <v>0</v>
          </cell>
          <cell r="O53">
            <v>571510</v>
          </cell>
          <cell r="P53">
            <v>262453</v>
          </cell>
          <cell r="Q53">
            <v>133877</v>
          </cell>
          <cell r="R53">
            <v>0</v>
          </cell>
          <cell r="S53">
            <v>0</v>
          </cell>
          <cell r="T53">
            <v>0</v>
          </cell>
          <cell r="U53">
            <v>244032</v>
          </cell>
          <cell r="V53">
            <v>0</v>
          </cell>
          <cell r="W53">
            <v>8288</v>
          </cell>
          <cell r="X53">
            <v>0</v>
          </cell>
          <cell r="Y53">
            <v>3062</v>
          </cell>
          <cell r="Z53">
            <v>976128</v>
          </cell>
          <cell r="AA53">
            <v>979190</v>
          </cell>
          <cell r="AB53" t="str">
            <v>ERBA</v>
          </cell>
          <cell r="AC53">
            <v>1101</v>
          </cell>
          <cell r="AD53">
            <v>2</v>
          </cell>
          <cell r="AE53">
            <v>50218</v>
          </cell>
        </row>
        <row r="54">
          <cell r="A54" t="str">
            <v>SML</v>
          </cell>
          <cell r="B54">
            <v>0</v>
          </cell>
          <cell r="C54" t="str">
            <v>DRLS</v>
          </cell>
          <cell r="D54">
            <v>2</v>
          </cell>
          <cell r="E54">
            <v>2</v>
          </cell>
          <cell r="F54" t="str">
            <v>A4</v>
          </cell>
          <cell r="G54">
            <v>20</v>
          </cell>
          <cell r="H54">
            <v>5</v>
          </cell>
          <cell r="I54">
            <v>13336</v>
          </cell>
          <cell r="J54">
            <v>0</v>
          </cell>
          <cell r="K54">
            <v>0</v>
          </cell>
          <cell r="L54">
            <v>339</v>
          </cell>
          <cell r="M54">
            <v>0</v>
          </cell>
          <cell r="N54">
            <v>0</v>
          </cell>
          <cell r="O54">
            <v>153025</v>
          </cell>
          <cell r="P54">
            <v>265325</v>
          </cell>
          <cell r="Q54">
            <v>9191</v>
          </cell>
          <cell r="R54">
            <v>9998</v>
          </cell>
          <cell r="S54">
            <v>0</v>
          </cell>
          <cell r="T54">
            <v>619448</v>
          </cell>
          <cell r="U54">
            <v>108842</v>
          </cell>
          <cell r="V54">
            <v>0</v>
          </cell>
          <cell r="W54">
            <v>7827</v>
          </cell>
          <cell r="X54">
            <v>0</v>
          </cell>
          <cell r="Y54">
            <v>909</v>
          </cell>
          <cell r="Z54">
            <v>435368</v>
          </cell>
          <cell r="AA54">
            <v>1065723</v>
          </cell>
          <cell r="AB54" t="str">
            <v>ERBA</v>
          </cell>
          <cell r="AC54">
            <v>1101</v>
          </cell>
          <cell r="AD54">
            <v>2</v>
          </cell>
          <cell r="AE54">
            <v>13336</v>
          </cell>
        </row>
        <row r="55">
          <cell r="A55" t="str">
            <v>SML</v>
          </cell>
          <cell r="B55">
            <v>0</v>
          </cell>
          <cell r="C55" t="str">
            <v>DRLS</v>
          </cell>
          <cell r="D55">
            <v>2</v>
          </cell>
          <cell r="E55">
            <v>2</v>
          </cell>
          <cell r="F55" t="str">
            <v xml:space="preserve">B </v>
          </cell>
          <cell r="G55">
            <v>0</v>
          </cell>
          <cell r="H55">
            <v>125</v>
          </cell>
          <cell r="I55">
            <v>65453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1362618</v>
          </cell>
          <cell r="P55">
            <v>0</v>
          </cell>
          <cell r="Q55">
            <v>0</v>
          </cell>
          <cell r="R55">
            <v>22649</v>
          </cell>
          <cell r="S55">
            <v>0</v>
          </cell>
          <cell r="T55">
            <v>142861</v>
          </cell>
          <cell r="U55">
            <v>329011</v>
          </cell>
          <cell r="V55">
            <v>0</v>
          </cell>
          <cell r="W55">
            <v>0</v>
          </cell>
          <cell r="X55">
            <v>0</v>
          </cell>
          <cell r="Y55">
            <v>38408</v>
          </cell>
          <cell r="Z55">
            <v>1362618</v>
          </cell>
          <cell r="AA55">
            <v>1566536</v>
          </cell>
          <cell r="AB55" t="str">
            <v>ERBA</v>
          </cell>
          <cell r="AC55">
            <v>1101</v>
          </cell>
          <cell r="AD55">
            <v>2</v>
          </cell>
          <cell r="AE55">
            <v>64415</v>
          </cell>
        </row>
        <row r="56">
          <cell r="A56" t="str">
            <v>SML</v>
          </cell>
          <cell r="B56">
            <v>0</v>
          </cell>
          <cell r="C56" t="str">
            <v>DRLS</v>
          </cell>
          <cell r="D56">
            <v>2</v>
          </cell>
          <cell r="E56">
            <v>3</v>
          </cell>
          <cell r="F56" t="str">
            <v>A4</v>
          </cell>
          <cell r="G56">
            <v>21</v>
          </cell>
          <cell r="H56">
            <v>2</v>
          </cell>
          <cell r="I56">
            <v>31789</v>
          </cell>
          <cell r="J56">
            <v>2110</v>
          </cell>
          <cell r="K56">
            <v>29679</v>
          </cell>
          <cell r="L56">
            <v>175</v>
          </cell>
          <cell r="M56">
            <v>175</v>
          </cell>
          <cell r="N56">
            <v>0</v>
          </cell>
          <cell r="O56">
            <v>321353</v>
          </cell>
          <cell r="P56">
            <v>120867</v>
          </cell>
          <cell r="Q56">
            <v>6730</v>
          </cell>
          <cell r="R56">
            <v>4607</v>
          </cell>
          <cell r="S56">
            <v>0</v>
          </cell>
          <cell r="T56">
            <v>17629</v>
          </cell>
          <cell r="U56">
            <v>112237</v>
          </cell>
          <cell r="V56">
            <v>0</v>
          </cell>
          <cell r="W56">
            <v>0</v>
          </cell>
          <cell r="X56">
            <v>0</v>
          </cell>
          <cell r="Y56">
            <v>5972</v>
          </cell>
          <cell r="Z56">
            <v>448950</v>
          </cell>
          <cell r="AA56">
            <v>477158</v>
          </cell>
          <cell r="AB56" t="str">
            <v>ERBA</v>
          </cell>
          <cell r="AC56">
            <v>1101</v>
          </cell>
          <cell r="AD56">
            <v>2</v>
          </cell>
          <cell r="AE56">
            <v>31789</v>
          </cell>
        </row>
        <row r="57">
          <cell r="A57" t="str">
            <v>SML</v>
          </cell>
          <cell r="B57">
            <v>0</v>
          </cell>
          <cell r="C57" t="str">
            <v>DRLS</v>
          </cell>
          <cell r="D57">
            <v>2</v>
          </cell>
          <cell r="E57">
            <v>3</v>
          </cell>
          <cell r="F57" t="str">
            <v>A4</v>
          </cell>
          <cell r="G57">
            <v>20</v>
          </cell>
          <cell r="H57">
            <v>6</v>
          </cell>
          <cell r="I57">
            <v>48083</v>
          </cell>
          <cell r="J57">
            <v>0</v>
          </cell>
          <cell r="K57">
            <v>0</v>
          </cell>
          <cell r="L57">
            <v>232</v>
          </cell>
          <cell r="M57">
            <v>0</v>
          </cell>
          <cell r="N57">
            <v>0</v>
          </cell>
          <cell r="O57">
            <v>551736</v>
          </cell>
          <cell r="P57">
            <v>181578</v>
          </cell>
          <cell r="Q57">
            <v>5610</v>
          </cell>
          <cell r="R57">
            <v>1952</v>
          </cell>
          <cell r="S57">
            <v>0</v>
          </cell>
          <cell r="T57">
            <v>0</v>
          </cell>
          <cell r="U57">
            <v>185515</v>
          </cell>
          <cell r="V57">
            <v>0</v>
          </cell>
          <cell r="W57">
            <v>3130</v>
          </cell>
          <cell r="X57">
            <v>0</v>
          </cell>
          <cell r="Y57">
            <v>15422</v>
          </cell>
          <cell r="Z57">
            <v>742054</v>
          </cell>
          <cell r="AA57">
            <v>759428</v>
          </cell>
          <cell r="AB57" t="str">
            <v>ERBA</v>
          </cell>
          <cell r="AC57">
            <v>1101</v>
          </cell>
          <cell r="AD57">
            <v>2</v>
          </cell>
          <cell r="AE57">
            <v>48083</v>
          </cell>
        </row>
        <row r="58">
          <cell r="A58" t="str">
            <v>SML</v>
          </cell>
          <cell r="B58">
            <v>0</v>
          </cell>
          <cell r="C58" t="str">
            <v>DRLS</v>
          </cell>
          <cell r="D58">
            <v>2</v>
          </cell>
          <cell r="E58">
            <v>3</v>
          </cell>
          <cell r="F58" t="str">
            <v xml:space="preserve">B </v>
          </cell>
          <cell r="G58">
            <v>0</v>
          </cell>
          <cell r="H58">
            <v>1923</v>
          </cell>
          <cell r="I58">
            <v>544856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11343437</v>
          </cell>
          <cell r="P58">
            <v>0</v>
          </cell>
          <cell r="Q58">
            <v>0</v>
          </cell>
          <cell r="R58">
            <v>178036</v>
          </cell>
          <cell r="S58">
            <v>0</v>
          </cell>
          <cell r="T58">
            <v>507108</v>
          </cell>
          <cell r="U58">
            <v>2811525</v>
          </cell>
          <cell r="V58">
            <v>0</v>
          </cell>
          <cell r="W58">
            <v>0</v>
          </cell>
          <cell r="X58">
            <v>0</v>
          </cell>
          <cell r="Y58">
            <v>374264</v>
          </cell>
          <cell r="Z58">
            <v>11343437</v>
          </cell>
          <cell r="AA58">
            <v>12402845</v>
          </cell>
          <cell r="AB58" t="str">
            <v>ERBA</v>
          </cell>
          <cell r="AC58">
            <v>1101</v>
          </cell>
          <cell r="AD58">
            <v>2</v>
          </cell>
          <cell r="AE58">
            <v>530730</v>
          </cell>
        </row>
        <row r="59">
          <cell r="A59" t="str">
            <v>SML</v>
          </cell>
          <cell r="B59">
            <v>0</v>
          </cell>
          <cell r="C59" t="str">
            <v>DRLS</v>
          </cell>
          <cell r="D59">
            <v>2</v>
          </cell>
          <cell r="E59">
            <v>4</v>
          </cell>
          <cell r="F59" t="str">
            <v>A4</v>
          </cell>
          <cell r="G59">
            <v>20</v>
          </cell>
          <cell r="H59">
            <v>8</v>
          </cell>
          <cell r="I59">
            <v>144869</v>
          </cell>
          <cell r="J59">
            <v>0</v>
          </cell>
          <cell r="K59">
            <v>0</v>
          </cell>
          <cell r="L59">
            <v>497</v>
          </cell>
          <cell r="M59">
            <v>0</v>
          </cell>
          <cell r="N59">
            <v>0</v>
          </cell>
          <cell r="O59">
            <v>1122010</v>
          </cell>
          <cell r="P59">
            <v>262416</v>
          </cell>
          <cell r="Q59">
            <v>113565</v>
          </cell>
          <cell r="R59">
            <v>20302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32208</v>
          </cell>
          <cell r="X59">
            <v>0</v>
          </cell>
          <cell r="Y59">
            <v>0</v>
          </cell>
          <cell r="Z59">
            <v>1530199</v>
          </cell>
          <cell r="AA59">
            <v>1550501</v>
          </cell>
          <cell r="AB59" t="str">
            <v>ERBA</v>
          </cell>
          <cell r="AC59">
            <v>1101</v>
          </cell>
          <cell r="AD59">
            <v>2</v>
          </cell>
          <cell r="AE59">
            <v>144869</v>
          </cell>
        </row>
        <row r="60">
          <cell r="A60" t="str">
            <v>SML</v>
          </cell>
          <cell r="B60">
            <v>0</v>
          </cell>
          <cell r="C60" t="str">
            <v>DRLS</v>
          </cell>
          <cell r="D60">
            <v>2</v>
          </cell>
          <cell r="E60">
            <v>4</v>
          </cell>
          <cell r="F60" t="str">
            <v xml:space="preserve">B </v>
          </cell>
          <cell r="G60">
            <v>0</v>
          </cell>
          <cell r="H60">
            <v>371</v>
          </cell>
          <cell r="I60">
            <v>378471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3695960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1608160</v>
          </cell>
          <cell r="U60">
            <v>0</v>
          </cell>
          <cell r="V60">
            <v>6029</v>
          </cell>
          <cell r="W60">
            <v>0</v>
          </cell>
          <cell r="X60">
            <v>0</v>
          </cell>
          <cell r="Y60">
            <v>0</v>
          </cell>
          <cell r="Z60">
            <v>3695960</v>
          </cell>
          <cell r="AA60">
            <v>5310149</v>
          </cell>
          <cell r="AB60" t="str">
            <v>ERBA</v>
          </cell>
          <cell r="AC60">
            <v>1101</v>
          </cell>
          <cell r="AD60">
            <v>2</v>
          </cell>
          <cell r="AE60">
            <v>376265</v>
          </cell>
        </row>
        <row r="61">
          <cell r="A61" t="str">
            <v>SML</v>
          </cell>
          <cell r="B61">
            <v>0</v>
          </cell>
          <cell r="C61" t="str">
            <v>DRLS</v>
          </cell>
          <cell r="D61">
            <v>2</v>
          </cell>
          <cell r="E61">
            <v>5</v>
          </cell>
          <cell r="F61" t="str">
            <v>A4</v>
          </cell>
          <cell r="G61">
            <v>20</v>
          </cell>
          <cell r="H61">
            <v>6</v>
          </cell>
          <cell r="I61">
            <v>23853</v>
          </cell>
          <cell r="J61">
            <v>0</v>
          </cell>
          <cell r="K61">
            <v>0</v>
          </cell>
          <cell r="L61">
            <v>119</v>
          </cell>
          <cell r="M61">
            <v>0</v>
          </cell>
          <cell r="N61">
            <v>0</v>
          </cell>
          <cell r="O61">
            <v>273704</v>
          </cell>
          <cell r="P61">
            <v>93137</v>
          </cell>
          <cell r="Q61">
            <v>79557</v>
          </cell>
          <cell r="R61">
            <v>2204</v>
          </cell>
          <cell r="S61">
            <v>0</v>
          </cell>
          <cell r="T61">
            <v>0</v>
          </cell>
          <cell r="U61">
            <v>116688</v>
          </cell>
          <cell r="V61">
            <v>0</v>
          </cell>
          <cell r="W61">
            <v>20350</v>
          </cell>
          <cell r="X61">
            <v>0</v>
          </cell>
          <cell r="Y61">
            <v>0</v>
          </cell>
          <cell r="Z61">
            <v>466748</v>
          </cell>
          <cell r="AA61">
            <v>468952</v>
          </cell>
          <cell r="AB61" t="str">
            <v>ERBA</v>
          </cell>
          <cell r="AC61">
            <v>1101</v>
          </cell>
          <cell r="AD61">
            <v>2</v>
          </cell>
          <cell r="AE61">
            <v>23853</v>
          </cell>
        </row>
        <row r="62">
          <cell r="A62" t="str">
            <v>SML</v>
          </cell>
          <cell r="B62">
            <v>0</v>
          </cell>
          <cell r="C62" t="str">
            <v>DRLS</v>
          </cell>
          <cell r="D62">
            <v>2</v>
          </cell>
          <cell r="E62">
            <v>5</v>
          </cell>
          <cell r="F62" t="str">
            <v xml:space="preserve">B </v>
          </cell>
          <cell r="G62">
            <v>0</v>
          </cell>
          <cell r="H62">
            <v>307</v>
          </cell>
          <cell r="I62">
            <v>148389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2859287</v>
          </cell>
          <cell r="P62">
            <v>0</v>
          </cell>
          <cell r="Q62">
            <v>0</v>
          </cell>
          <cell r="R62">
            <v>17939</v>
          </cell>
          <cell r="S62">
            <v>0</v>
          </cell>
          <cell r="T62">
            <v>-11124</v>
          </cell>
          <cell r="U62">
            <v>542388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2859287</v>
          </cell>
          <cell r="AA62">
            <v>2866102</v>
          </cell>
          <cell r="AB62" t="str">
            <v>ERBA</v>
          </cell>
          <cell r="AC62">
            <v>1101</v>
          </cell>
          <cell r="AD62">
            <v>2</v>
          </cell>
          <cell r="AE62">
            <v>146610</v>
          </cell>
        </row>
        <row r="63">
          <cell r="A63" t="str">
            <v>SML</v>
          </cell>
          <cell r="B63">
            <v>0</v>
          </cell>
          <cell r="C63" t="str">
            <v>DRLS</v>
          </cell>
          <cell r="D63">
            <v>2</v>
          </cell>
          <cell r="E63">
            <v>6</v>
          </cell>
          <cell r="F63" t="str">
            <v xml:space="preserve">B </v>
          </cell>
          <cell r="G63">
            <v>0</v>
          </cell>
          <cell r="H63">
            <v>15</v>
          </cell>
          <cell r="I63">
            <v>279206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3287183</v>
          </cell>
          <cell r="P63">
            <v>0</v>
          </cell>
          <cell r="Q63">
            <v>0</v>
          </cell>
          <cell r="R63">
            <v>20263</v>
          </cell>
          <cell r="S63">
            <v>0</v>
          </cell>
          <cell r="T63">
            <v>0</v>
          </cell>
          <cell r="U63">
            <v>821795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3287183</v>
          </cell>
          <cell r="AA63">
            <v>3307446</v>
          </cell>
          <cell r="AB63" t="str">
            <v>ERBA</v>
          </cell>
          <cell r="AC63">
            <v>1101</v>
          </cell>
          <cell r="AD63">
            <v>2</v>
          </cell>
          <cell r="AE63">
            <v>279206</v>
          </cell>
        </row>
        <row r="64">
          <cell r="A64" t="str">
            <v>SML</v>
          </cell>
          <cell r="B64">
            <v>0</v>
          </cell>
          <cell r="C64" t="str">
            <v>DRLS</v>
          </cell>
          <cell r="D64">
            <v>2</v>
          </cell>
          <cell r="E64">
            <v>7</v>
          </cell>
          <cell r="F64" t="str">
            <v>A4</v>
          </cell>
          <cell r="G64">
            <v>20</v>
          </cell>
          <cell r="H64">
            <v>14</v>
          </cell>
          <cell r="I64">
            <v>226825</v>
          </cell>
          <cell r="J64">
            <v>0</v>
          </cell>
          <cell r="K64">
            <v>0</v>
          </cell>
          <cell r="L64">
            <v>506</v>
          </cell>
          <cell r="M64">
            <v>0</v>
          </cell>
          <cell r="N64">
            <v>0</v>
          </cell>
          <cell r="O64">
            <v>2212298</v>
          </cell>
          <cell r="P64">
            <v>335984</v>
          </cell>
          <cell r="Q64">
            <v>81831</v>
          </cell>
          <cell r="R64">
            <v>755</v>
          </cell>
          <cell r="S64">
            <v>0</v>
          </cell>
          <cell r="T64">
            <v>0</v>
          </cell>
          <cell r="U64">
            <v>663174</v>
          </cell>
          <cell r="V64">
            <v>0</v>
          </cell>
          <cell r="W64">
            <v>22576</v>
          </cell>
          <cell r="X64">
            <v>0</v>
          </cell>
          <cell r="Y64">
            <v>0</v>
          </cell>
          <cell r="Z64">
            <v>2652689</v>
          </cell>
          <cell r="AA64">
            <v>2653444</v>
          </cell>
          <cell r="AB64" t="str">
            <v>ERBA</v>
          </cell>
          <cell r="AC64">
            <v>1101</v>
          </cell>
          <cell r="AD64">
            <v>2</v>
          </cell>
          <cell r="AE64">
            <v>226825</v>
          </cell>
        </row>
        <row r="65">
          <cell r="A65" t="str">
            <v>SML</v>
          </cell>
          <cell r="B65">
            <v>0</v>
          </cell>
          <cell r="C65" t="str">
            <v>DRLS</v>
          </cell>
          <cell r="D65">
            <v>2</v>
          </cell>
          <cell r="E65">
            <v>7</v>
          </cell>
          <cell r="F65" t="str">
            <v xml:space="preserve">B </v>
          </cell>
          <cell r="G65">
            <v>0</v>
          </cell>
          <cell r="H65">
            <v>6</v>
          </cell>
          <cell r="I65">
            <v>3931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69556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17389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69556</v>
          </cell>
          <cell r="AA65">
            <v>69556</v>
          </cell>
          <cell r="AB65" t="str">
            <v>ERBA</v>
          </cell>
          <cell r="AC65">
            <v>1101</v>
          </cell>
          <cell r="AD65">
            <v>2</v>
          </cell>
          <cell r="AE65">
            <v>3931</v>
          </cell>
        </row>
        <row r="66">
          <cell r="A66" t="str">
            <v>SML</v>
          </cell>
          <cell r="B66">
            <v>0</v>
          </cell>
          <cell r="C66" t="str">
            <v>DRLS</v>
          </cell>
          <cell r="D66">
            <v>2</v>
          </cell>
          <cell r="E66">
            <v>8</v>
          </cell>
          <cell r="F66" t="str">
            <v xml:space="preserve">B </v>
          </cell>
          <cell r="G66">
            <v>0</v>
          </cell>
          <cell r="H66">
            <v>5</v>
          </cell>
          <cell r="I66">
            <v>5715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118977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29744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118977</v>
          </cell>
          <cell r="AA66">
            <v>118977</v>
          </cell>
          <cell r="AB66" t="str">
            <v>ERBA</v>
          </cell>
          <cell r="AC66">
            <v>1101</v>
          </cell>
          <cell r="AD66">
            <v>2</v>
          </cell>
          <cell r="AE66">
            <v>5615</v>
          </cell>
        </row>
        <row r="67">
          <cell r="A67" t="str">
            <v>SML</v>
          </cell>
          <cell r="B67">
            <v>0</v>
          </cell>
          <cell r="C67" t="str">
            <v>DRLS</v>
          </cell>
          <cell r="D67">
            <v>2</v>
          </cell>
          <cell r="E67">
            <v>90</v>
          </cell>
          <cell r="F67" t="str">
            <v>A4</v>
          </cell>
          <cell r="G67">
            <v>20</v>
          </cell>
          <cell r="H67">
            <v>1</v>
          </cell>
          <cell r="I67">
            <v>236400</v>
          </cell>
          <cell r="J67">
            <v>0</v>
          </cell>
          <cell r="K67">
            <v>0</v>
          </cell>
          <cell r="L67">
            <v>778</v>
          </cell>
          <cell r="M67">
            <v>0</v>
          </cell>
          <cell r="N67">
            <v>0</v>
          </cell>
          <cell r="O67">
            <v>617240</v>
          </cell>
          <cell r="P67">
            <v>668302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1285542</v>
          </cell>
          <cell r="AA67">
            <v>1285542</v>
          </cell>
          <cell r="AB67" t="str">
            <v>ERBA</v>
          </cell>
          <cell r="AC67">
            <v>1101</v>
          </cell>
          <cell r="AD67">
            <v>2</v>
          </cell>
          <cell r="AE67">
            <v>236400</v>
          </cell>
        </row>
        <row r="68">
          <cell r="A68" t="str">
            <v>SML</v>
          </cell>
          <cell r="B68">
            <v>0</v>
          </cell>
          <cell r="C68" t="str">
            <v>DRLS</v>
          </cell>
          <cell r="D68">
            <v>3</v>
          </cell>
          <cell r="E68">
            <v>1</v>
          </cell>
          <cell r="F68" t="str">
            <v xml:space="preserve">B </v>
          </cell>
          <cell r="G68">
            <v>1</v>
          </cell>
          <cell r="H68">
            <v>2603</v>
          </cell>
          <cell r="I68">
            <v>60740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986472</v>
          </cell>
          <cell r="P68">
            <v>0</v>
          </cell>
          <cell r="Q68">
            <v>0</v>
          </cell>
          <cell r="R68">
            <v>22655</v>
          </cell>
          <cell r="S68">
            <v>0</v>
          </cell>
          <cell r="T68">
            <v>338570</v>
          </cell>
          <cell r="U68">
            <v>330</v>
          </cell>
          <cell r="V68">
            <v>565</v>
          </cell>
          <cell r="W68">
            <v>0</v>
          </cell>
          <cell r="X68">
            <v>0</v>
          </cell>
          <cell r="Y68">
            <v>21234</v>
          </cell>
          <cell r="Z68">
            <v>986472</v>
          </cell>
          <cell r="AA68">
            <v>1369496</v>
          </cell>
          <cell r="AB68" t="str">
            <v>ERJA</v>
          </cell>
          <cell r="AC68">
            <v>1101</v>
          </cell>
          <cell r="AD68">
            <v>2</v>
          </cell>
          <cell r="AE68">
            <v>37912</v>
          </cell>
        </row>
        <row r="69">
          <cell r="A69" t="str">
            <v>SML</v>
          </cell>
          <cell r="B69">
            <v>0</v>
          </cell>
          <cell r="C69" t="str">
            <v>DRLS</v>
          </cell>
          <cell r="D69">
            <v>3</v>
          </cell>
          <cell r="E69">
            <v>1</v>
          </cell>
          <cell r="F69" t="str">
            <v xml:space="preserve">B </v>
          </cell>
          <cell r="G69">
            <v>2</v>
          </cell>
          <cell r="H69">
            <v>1982</v>
          </cell>
          <cell r="I69">
            <v>82503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1599168</v>
          </cell>
          <cell r="P69">
            <v>0</v>
          </cell>
          <cell r="Q69">
            <v>0</v>
          </cell>
          <cell r="R69">
            <v>39474</v>
          </cell>
          <cell r="S69">
            <v>0</v>
          </cell>
          <cell r="T69">
            <v>83699</v>
          </cell>
          <cell r="U69">
            <v>271806</v>
          </cell>
          <cell r="V69">
            <v>0</v>
          </cell>
          <cell r="W69">
            <v>0</v>
          </cell>
          <cell r="X69">
            <v>0</v>
          </cell>
          <cell r="Y69">
            <v>142487</v>
          </cell>
          <cell r="Z69">
            <v>1599168</v>
          </cell>
          <cell r="AA69">
            <v>1864828</v>
          </cell>
          <cell r="AB69" t="str">
            <v>ERJA</v>
          </cell>
          <cell r="AC69">
            <v>1101</v>
          </cell>
          <cell r="AD69">
            <v>2</v>
          </cell>
          <cell r="AE69">
            <v>82503</v>
          </cell>
        </row>
        <row r="70">
          <cell r="A70" t="str">
            <v>SML</v>
          </cell>
          <cell r="B70">
            <v>0</v>
          </cell>
          <cell r="C70" t="str">
            <v>DRLS</v>
          </cell>
          <cell r="D70">
            <v>3</v>
          </cell>
          <cell r="E70">
            <v>1</v>
          </cell>
          <cell r="F70" t="str">
            <v xml:space="preserve">B </v>
          </cell>
          <cell r="G70">
            <v>3</v>
          </cell>
          <cell r="H70">
            <v>9045</v>
          </cell>
          <cell r="I70">
            <v>692970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13439273</v>
          </cell>
          <cell r="P70">
            <v>0</v>
          </cell>
          <cell r="Q70">
            <v>0</v>
          </cell>
          <cell r="R70">
            <v>129801</v>
          </cell>
          <cell r="S70">
            <v>0</v>
          </cell>
          <cell r="T70">
            <v>441865</v>
          </cell>
          <cell r="U70">
            <v>2284709</v>
          </cell>
          <cell r="V70">
            <v>94</v>
          </cell>
          <cell r="W70">
            <v>0</v>
          </cell>
          <cell r="X70">
            <v>0</v>
          </cell>
          <cell r="Y70">
            <v>907746</v>
          </cell>
          <cell r="Z70">
            <v>13439273</v>
          </cell>
          <cell r="AA70">
            <v>14918779</v>
          </cell>
          <cell r="AB70" t="str">
            <v>ERJA</v>
          </cell>
          <cell r="AC70">
            <v>1101</v>
          </cell>
          <cell r="AD70">
            <v>2</v>
          </cell>
          <cell r="AE70">
            <v>692470</v>
          </cell>
        </row>
        <row r="71">
          <cell r="A71" t="str">
            <v>SML</v>
          </cell>
          <cell r="B71">
            <v>0</v>
          </cell>
          <cell r="C71" t="str">
            <v>DRLS</v>
          </cell>
          <cell r="D71">
            <v>3</v>
          </cell>
          <cell r="E71">
            <v>1</v>
          </cell>
          <cell r="F71" t="str">
            <v xml:space="preserve">B </v>
          </cell>
          <cell r="G71">
            <v>4</v>
          </cell>
          <cell r="H71">
            <v>5011</v>
          </cell>
          <cell r="I71">
            <v>607605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11784031</v>
          </cell>
          <cell r="P71">
            <v>0</v>
          </cell>
          <cell r="Q71">
            <v>0</v>
          </cell>
          <cell r="R71">
            <v>132087</v>
          </cell>
          <cell r="S71">
            <v>0</v>
          </cell>
          <cell r="T71">
            <v>345375</v>
          </cell>
          <cell r="U71">
            <v>2003306</v>
          </cell>
          <cell r="V71">
            <v>378</v>
          </cell>
          <cell r="W71">
            <v>0</v>
          </cell>
          <cell r="X71">
            <v>0</v>
          </cell>
          <cell r="Y71">
            <v>961718</v>
          </cell>
          <cell r="Z71">
            <v>11784031</v>
          </cell>
          <cell r="AA71">
            <v>13223589</v>
          </cell>
          <cell r="AB71" t="str">
            <v>ERJA</v>
          </cell>
          <cell r="AC71">
            <v>1101</v>
          </cell>
          <cell r="AD71">
            <v>2</v>
          </cell>
          <cell r="AE71">
            <v>607605</v>
          </cell>
        </row>
        <row r="72">
          <cell r="A72" t="str">
            <v>SML</v>
          </cell>
          <cell r="B72">
            <v>0</v>
          </cell>
          <cell r="C72" t="str">
            <v>DRLS</v>
          </cell>
          <cell r="D72">
            <v>3</v>
          </cell>
          <cell r="E72">
            <v>1</v>
          </cell>
          <cell r="F72" t="str">
            <v xml:space="preserve">B </v>
          </cell>
          <cell r="G72">
            <v>5</v>
          </cell>
          <cell r="H72">
            <v>1973</v>
          </cell>
          <cell r="I72">
            <v>339187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6576601</v>
          </cell>
          <cell r="P72">
            <v>0</v>
          </cell>
          <cell r="Q72">
            <v>0</v>
          </cell>
          <cell r="R72">
            <v>88032</v>
          </cell>
          <cell r="S72">
            <v>0</v>
          </cell>
          <cell r="T72">
            <v>197588</v>
          </cell>
          <cell r="U72">
            <v>1118043</v>
          </cell>
          <cell r="V72">
            <v>471</v>
          </cell>
          <cell r="W72">
            <v>0</v>
          </cell>
          <cell r="X72">
            <v>0</v>
          </cell>
          <cell r="Y72">
            <v>434694</v>
          </cell>
          <cell r="Z72">
            <v>6576601</v>
          </cell>
          <cell r="AA72">
            <v>7297386</v>
          </cell>
          <cell r="AB72" t="str">
            <v>ERJA</v>
          </cell>
          <cell r="AC72">
            <v>1101</v>
          </cell>
          <cell r="AD72">
            <v>2</v>
          </cell>
          <cell r="AE72">
            <v>339187</v>
          </cell>
        </row>
        <row r="73">
          <cell r="A73" t="str">
            <v>SML</v>
          </cell>
          <cell r="B73">
            <v>0</v>
          </cell>
          <cell r="C73" t="str">
            <v>DRLS</v>
          </cell>
          <cell r="D73">
            <v>3</v>
          </cell>
          <cell r="E73">
            <v>1</v>
          </cell>
          <cell r="F73" t="str">
            <v xml:space="preserve">B </v>
          </cell>
          <cell r="G73">
            <v>6</v>
          </cell>
          <cell r="H73">
            <v>1001</v>
          </cell>
          <cell r="I73">
            <v>235473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4567012</v>
          </cell>
          <cell r="P73">
            <v>0</v>
          </cell>
          <cell r="Q73">
            <v>0</v>
          </cell>
          <cell r="R73">
            <v>56742</v>
          </cell>
          <cell r="S73">
            <v>0</v>
          </cell>
          <cell r="T73">
            <v>142148</v>
          </cell>
          <cell r="U73">
            <v>776634</v>
          </cell>
          <cell r="V73">
            <v>0</v>
          </cell>
          <cell r="W73">
            <v>0</v>
          </cell>
          <cell r="X73">
            <v>0</v>
          </cell>
          <cell r="Y73">
            <v>222661</v>
          </cell>
          <cell r="Z73">
            <v>4567012</v>
          </cell>
          <cell r="AA73">
            <v>4988563</v>
          </cell>
          <cell r="AB73" t="str">
            <v>ERJA</v>
          </cell>
          <cell r="AC73">
            <v>1101</v>
          </cell>
          <cell r="AD73">
            <v>2</v>
          </cell>
          <cell r="AE73">
            <v>235473</v>
          </cell>
        </row>
        <row r="74">
          <cell r="A74" t="str">
            <v>SML</v>
          </cell>
          <cell r="B74">
            <v>0</v>
          </cell>
          <cell r="C74" t="str">
            <v>DRLS</v>
          </cell>
          <cell r="D74">
            <v>3</v>
          </cell>
          <cell r="E74">
            <v>1</v>
          </cell>
          <cell r="F74" t="str">
            <v xml:space="preserve">B </v>
          </cell>
          <cell r="G74">
            <v>7</v>
          </cell>
          <cell r="H74">
            <v>232</v>
          </cell>
          <cell r="I74">
            <v>75902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1527465</v>
          </cell>
          <cell r="P74">
            <v>0</v>
          </cell>
          <cell r="Q74">
            <v>0</v>
          </cell>
          <cell r="R74">
            <v>27622</v>
          </cell>
          <cell r="S74">
            <v>0</v>
          </cell>
          <cell r="T74">
            <v>35482</v>
          </cell>
          <cell r="U74">
            <v>305592</v>
          </cell>
          <cell r="V74">
            <v>0</v>
          </cell>
          <cell r="W74">
            <v>0</v>
          </cell>
          <cell r="X74">
            <v>0</v>
          </cell>
          <cell r="Y74">
            <v>93549</v>
          </cell>
          <cell r="Z74">
            <v>1527465</v>
          </cell>
          <cell r="AA74">
            <v>1684118</v>
          </cell>
          <cell r="AB74" t="str">
            <v>ERJA</v>
          </cell>
          <cell r="AC74">
            <v>1101</v>
          </cell>
          <cell r="AD74">
            <v>2</v>
          </cell>
          <cell r="AE74">
            <v>75902</v>
          </cell>
        </row>
        <row r="75">
          <cell r="A75" t="str">
            <v>SML</v>
          </cell>
          <cell r="B75">
            <v>0</v>
          </cell>
          <cell r="C75" t="str">
            <v>DRLS</v>
          </cell>
          <cell r="D75">
            <v>3</v>
          </cell>
          <cell r="E75">
            <v>1</v>
          </cell>
          <cell r="F75" t="str">
            <v xml:space="preserve">B </v>
          </cell>
          <cell r="G75">
            <v>8</v>
          </cell>
          <cell r="H75">
            <v>67</v>
          </cell>
          <cell r="I75">
            <v>29711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597585</v>
          </cell>
          <cell r="P75">
            <v>0</v>
          </cell>
          <cell r="Q75">
            <v>0</v>
          </cell>
          <cell r="R75">
            <v>7886</v>
          </cell>
          <cell r="S75">
            <v>0</v>
          </cell>
          <cell r="T75">
            <v>29478</v>
          </cell>
          <cell r="U75">
            <v>119546</v>
          </cell>
          <cell r="V75">
            <v>189</v>
          </cell>
          <cell r="W75">
            <v>0</v>
          </cell>
          <cell r="X75">
            <v>0</v>
          </cell>
          <cell r="Y75">
            <v>27698</v>
          </cell>
          <cell r="Z75">
            <v>597585</v>
          </cell>
          <cell r="AA75">
            <v>662836</v>
          </cell>
          <cell r="AB75" t="str">
            <v>ERJA</v>
          </cell>
          <cell r="AC75">
            <v>1101</v>
          </cell>
          <cell r="AD75">
            <v>2</v>
          </cell>
          <cell r="AE75">
            <v>29711</v>
          </cell>
        </row>
        <row r="76">
          <cell r="A76" t="str">
            <v>SML</v>
          </cell>
          <cell r="B76">
            <v>0</v>
          </cell>
          <cell r="C76" t="str">
            <v>DRLS</v>
          </cell>
          <cell r="D76">
            <v>3</v>
          </cell>
          <cell r="E76">
            <v>1</v>
          </cell>
          <cell r="F76" t="str">
            <v xml:space="preserve">B </v>
          </cell>
          <cell r="G76">
            <v>9</v>
          </cell>
          <cell r="H76">
            <v>63</v>
          </cell>
          <cell r="I76">
            <v>33479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721069</v>
          </cell>
          <cell r="P76">
            <v>0</v>
          </cell>
          <cell r="Q76">
            <v>0</v>
          </cell>
          <cell r="R76">
            <v>8273</v>
          </cell>
          <cell r="S76">
            <v>0</v>
          </cell>
          <cell r="T76">
            <v>14238</v>
          </cell>
          <cell r="U76">
            <v>180303</v>
          </cell>
          <cell r="V76">
            <v>0</v>
          </cell>
          <cell r="W76">
            <v>0</v>
          </cell>
          <cell r="X76">
            <v>0</v>
          </cell>
          <cell r="Y76">
            <v>46502</v>
          </cell>
          <cell r="Z76">
            <v>721069</v>
          </cell>
          <cell r="AA76">
            <v>790082</v>
          </cell>
          <cell r="AB76" t="str">
            <v>ERJA</v>
          </cell>
          <cell r="AC76">
            <v>1101</v>
          </cell>
          <cell r="AD76">
            <v>2</v>
          </cell>
          <cell r="AE76">
            <v>33479</v>
          </cell>
        </row>
        <row r="77">
          <cell r="A77" t="str">
            <v>SML</v>
          </cell>
          <cell r="B77">
            <v>0</v>
          </cell>
          <cell r="C77" t="str">
            <v>DRLS</v>
          </cell>
          <cell r="D77">
            <v>3</v>
          </cell>
          <cell r="E77">
            <v>1</v>
          </cell>
          <cell r="F77" t="str">
            <v xml:space="preserve">B </v>
          </cell>
          <cell r="G77">
            <v>10</v>
          </cell>
          <cell r="H77">
            <v>17</v>
          </cell>
          <cell r="I77">
            <v>19388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416089</v>
          </cell>
          <cell r="P77">
            <v>0</v>
          </cell>
          <cell r="Q77">
            <v>0</v>
          </cell>
          <cell r="R77">
            <v>3199</v>
          </cell>
          <cell r="S77">
            <v>0</v>
          </cell>
          <cell r="T77">
            <v>26762</v>
          </cell>
          <cell r="U77">
            <v>104038</v>
          </cell>
          <cell r="V77">
            <v>189</v>
          </cell>
          <cell r="W77">
            <v>0</v>
          </cell>
          <cell r="X77">
            <v>0</v>
          </cell>
          <cell r="Y77">
            <v>25942</v>
          </cell>
          <cell r="Z77">
            <v>416089</v>
          </cell>
          <cell r="AA77">
            <v>472181</v>
          </cell>
          <cell r="AB77" t="str">
            <v>ERJA</v>
          </cell>
          <cell r="AC77">
            <v>1101</v>
          </cell>
          <cell r="AD77">
            <v>2</v>
          </cell>
          <cell r="AE77">
            <v>19388</v>
          </cell>
        </row>
        <row r="78">
          <cell r="A78" t="str">
            <v>SML</v>
          </cell>
          <cell r="B78">
            <v>0</v>
          </cell>
          <cell r="C78" t="str">
            <v>DRLS</v>
          </cell>
          <cell r="D78">
            <v>3</v>
          </cell>
          <cell r="E78">
            <v>1</v>
          </cell>
          <cell r="F78" t="str">
            <v xml:space="preserve">B </v>
          </cell>
          <cell r="G78">
            <v>11</v>
          </cell>
          <cell r="H78">
            <v>4468</v>
          </cell>
          <cell r="I78">
            <v>107135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605059</v>
          </cell>
          <cell r="P78">
            <v>0</v>
          </cell>
          <cell r="Q78">
            <v>0</v>
          </cell>
          <cell r="R78">
            <v>11351</v>
          </cell>
          <cell r="S78">
            <v>0</v>
          </cell>
          <cell r="T78">
            <v>76290</v>
          </cell>
          <cell r="U78">
            <v>0</v>
          </cell>
          <cell r="V78">
            <v>94</v>
          </cell>
          <cell r="W78">
            <v>0</v>
          </cell>
          <cell r="X78">
            <v>0</v>
          </cell>
          <cell r="Y78">
            <v>57450</v>
          </cell>
          <cell r="Z78">
            <v>605059</v>
          </cell>
          <cell r="AA78">
            <v>750244</v>
          </cell>
          <cell r="AB78" t="str">
            <v>ERJA</v>
          </cell>
          <cell r="AC78">
            <v>1101</v>
          </cell>
          <cell r="AD78">
            <v>2</v>
          </cell>
          <cell r="AE78">
            <v>68550</v>
          </cell>
        </row>
        <row r="79">
          <cell r="A79" t="str">
            <v>SML</v>
          </cell>
          <cell r="B79">
            <v>0</v>
          </cell>
          <cell r="C79" t="str">
            <v>DRLS</v>
          </cell>
          <cell r="D79">
            <v>3</v>
          </cell>
          <cell r="E79">
            <v>1</v>
          </cell>
          <cell r="F79" t="str">
            <v xml:space="preserve">B </v>
          </cell>
          <cell r="G79">
            <v>12</v>
          </cell>
          <cell r="H79">
            <v>8619</v>
          </cell>
          <cell r="I79">
            <v>554453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5210323</v>
          </cell>
          <cell r="P79">
            <v>0</v>
          </cell>
          <cell r="Q79">
            <v>0</v>
          </cell>
          <cell r="R79">
            <v>58369</v>
          </cell>
          <cell r="S79">
            <v>0</v>
          </cell>
          <cell r="T79">
            <v>187426</v>
          </cell>
          <cell r="U79">
            <v>886048</v>
          </cell>
          <cell r="V79">
            <v>0</v>
          </cell>
          <cell r="W79">
            <v>0</v>
          </cell>
          <cell r="X79">
            <v>0</v>
          </cell>
          <cell r="Y79">
            <v>846981</v>
          </cell>
          <cell r="Z79">
            <v>5210323</v>
          </cell>
          <cell r="AA79">
            <v>6303099</v>
          </cell>
          <cell r="AB79" t="str">
            <v>ERJA</v>
          </cell>
          <cell r="AC79">
            <v>1101</v>
          </cell>
          <cell r="AD79">
            <v>2</v>
          </cell>
          <cell r="AE79">
            <v>554453</v>
          </cell>
        </row>
        <row r="80">
          <cell r="A80" t="str">
            <v>SML</v>
          </cell>
          <cell r="B80">
            <v>0</v>
          </cell>
          <cell r="C80" t="str">
            <v>DRLS</v>
          </cell>
          <cell r="D80">
            <v>3</v>
          </cell>
          <cell r="E80">
            <v>1</v>
          </cell>
          <cell r="F80" t="str">
            <v xml:space="preserve">B </v>
          </cell>
          <cell r="G80">
            <v>13</v>
          </cell>
          <cell r="H80">
            <v>1456</v>
          </cell>
          <cell r="I80">
            <v>167375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2039083</v>
          </cell>
          <cell r="P80">
            <v>0</v>
          </cell>
          <cell r="Q80">
            <v>0</v>
          </cell>
          <cell r="R80">
            <v>21141</v>
          </cell>
          <cell r="S80">
            <v>0</v>
          </cell>
          <cell r="T80">
            <v>39862</v>
          </cell>
          <cell r="U80">
            <v>346677</v>
          </cell>
          <cell r="V80">
            <v>0</v>
          </cell>
          <cell r="W80">
            <v>0</v>
          </cell>
          <cell r="X80">
            <v>0</v>
          </cell>
          <cell r="Y80">
            <v>282692</v>
          </cell>
          <cell r="Z80">
            <v>2039083</v>
          </cell>
          <cell r="AA80">
            <v>2382778</v>
          </cell>
          <cell r="AB80" t="str">
            <v>ERJA</v>
          </cell>
          <cell r="AC80">
            <v>1101</v>
          </cell>
          <cell r="AD80">
            <v>2</v>
          </cell>
          <cell r="AE80">
            <v>167375</v>
          </cell>
        </row>
        <row r="81">
          <cell r="A81" t="str">
            <v>SML</v>
          </cell>
          <cell r="B81">
            <v>0</v>
          </cell>
          <cell r="C81" t="str">
            <v>DRLS</v>
          </cell>
          <cell r="D81">
            <v>3</v>
          </cell>
          <cell r="E81">
            <v>1</v>
          </cell>
          <cell r="F81" t="str">
            <v xml:space="preserve">B </v>
          </cell>
          <cell r="G81">
            <v>14</v>
          </cell>
          <cell r="H81">
            <v>127</v>
          </cell>
          <cell r="I81">
            <v>18851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240701</v>
          </cell>
          <cell r="P81">
            <v>0</v>
          </cell>
          <cell r="Q81">
            <v>0</v>
          </cell>
          <cell r="R81">
            <v>3372</v>
          </cell>
          <cell r="S81">
            <v>0</v>
          </cell>
          <cell r="T81">
            <v>12337</v>
          </cell>
          <cell r="U81">
            <v>40931</v>
          </cell>
          <cell r="V81">
            <v>0</v>
          </cell>
          <cell r="W81">
            <v>0</v>
          </cell>
          <cell r="X81">
            <v>0</v>
          </cell>
          <cell r="Y81">
            <v>25939</v>
          </cell>
          <cell r="Z81">
            <v>240701</v>
          </cell>
          <cell r="AA81">
            <v>282349</v>
          </cell>
          <cell r="AB81" t="str">
            <v>ERJA</v>
          </cell>
          <cell r="AC81">
            <v>1101</v>
          </cell>
          <cell r="AD81">
            <v>2</v>
          </cell>
          <cell r="AE81">
            <v>18851</v>
          </cell>
        </row>
        <row r="82">
          <cell r="A82" t="str">
            <v>SML</v>
          </cell>
          <cell r="B82">
            <v>0</v>
          </cell>
          <cell r="C82" t="str">
            <v>DRLS</v>
          </cell>
          <cell r="D82">
            <v>3</v>
          </cell>
          <cell r="E82">
            <v>1</v>
          </cell>
          <cell r="F82" t="str">
            <v xml:space="preserve">B </v>
          </cell>
          <cell r="G82">
            <v>15</v>
          </cell>
          <cell r="H82">
            <v>167</v>
          </cell>
          <cell r="I82">
            <v>38611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613297</v>
          </cell>
          <cell r="P82">
            <v>0</v>
          </cell>
          <cell r="Q82">
            <v>0</v>
          </cell>
          <cell r="R82">
            <v>4817</v>
          </cell>
          <cell r="S82">
            <v>0</v>
          </cell>
          <cell r="T82">
            <v>22277</v>
          </cell>
          <cell r="U82">
            <v>118037</v>
          </cell>
          <cell r="V82">
            <v>0</v>
          </cell>
          <cell r="W82">
            <v>0</v>
          </cell>
          <cell r="X82">
            <v>0</v>
          </cell>
          <cell r="Y82">
            <v>42884</v>
          </cell>
          <cell r="Z82">
            <v>613297</v>
          </cell>
          <cell r="AA82">
            <v>683275</v>
          </cell>
          <cell r="AB82" t="str">
            <v>ERJA</v>
          </cell>
          <cell r="AC82">
            <v>1101</v>
          </cell>
          <cell r="AD82">
            <v>2</v>
          </cell>
          <cell r="AE82">
            <v>38611</v>
          </cell>
        </row>
        <row r="83">
          <cell r="A83" t="str">
            <v>SML</v>
          </cell>
          <cell r="B83">
            <v>0</v>
          </cell>
          <cell r="C83" t="str">
            <v>DRLS</v>
          </cell>
          <cell r="D83">
            <v>3</v>
          </cell>
          <cell r="E83">
            <v>2</v>
          </cell>
          <cell r="F83" t="str">
            <v>A3</v>
          </cell>
          <cell r="G83">
            <v>26</v>
          </cell>
          <cell r="H83">
            <v>2</v>
          </cell>
          <cell r="I83">
            <v>4381305</v>
          </cell>
          <cell r="J83">
            <v>339948</v>
          </cell>
          <cell r="K83">
            <v>4041357</v>
          </cell>
          <cell r="L83">
            <v>9001</v>
          </cell>
          <cell r="M83">
            <v>9001</v>
          </cell>
          <cell r="N83">
            <v>7001</v>
          </cell>
          <cell r="O83">
            <v>25304803</v>
          </cell>
          <cell r="P83">
            <v>16176843</v>
          </cell>
          <cell r="Q83">
            <v>1628908</v>
          </cell>
          <cell r="R83">
            <v>532860</v>
          </cell>
          <cell r="S83">
            <v>0</v>
          </cell>
          <cell r="T83">
            <v>0</v>
          </cell>
          <cell r="U83">
            <v>11130022</v>
          </cell>
          <cell r="V83">
            <v>0</v>
          </cell>
          <cell r="W83">
            <v>1409532</v>
          </cell>
          <cell r="X83">
            <v>0</v>
          </cell>
          <cell r="Y83">
            <v>12342</v>
          </cell>
          <cell r="Z83">
            <v>44520086</v>
          </cell>
          <cell r="AA83">
            <v>45065288</v>
          </cell>
          <cell r="AB83" t="str">
            <v>ERJA</v>
          </cell>
          <cell r="AC83">
            <v>1101</v>
          </cell>
          <cell r="AD83">
            <v>2</v>
          </cell>
          <cell r="AE83">
            <v>4381305</v>
          </cell>
        </row>
        <row r="84">
          <cell r="A84" t="str">
            <v>SML</v>
          </cell>
          <cell r="B84">
            <v>0</v>
          </cell>
          <cell r="C84" t="str">
            <v>DRLS</v>
          </cell>
          <cell r="D84">
            <v>3</v>
          </cell>
          <cell r="E84">
            <v>2</v>
          </cell>
          <cell r="F84" t="str">
            <v>A4</v>
          </cell>
          <cell r="G84">
            <v>22</v>
          </cell>
          <cell r="H84">
            <v>3</v>
          </cell>
          <cell r="I84">
            <v>549578</v>
          </cell>
          <cell r="J84">
            <v>52398</v>
          </cell>
          <cell r="K84">
            <v>497180</v>
          </cell>
          <cell r="L84">
            <v>2329</v>
          </cell>
          <cell r="M84">
            <v>1224</v>
          </cell>
          <cell r="N84">
            <v>1105</v>
          </cell>
          <cell r="O84">
            <v>3922164</v>
          </cell>
          <cell r="P84">
            <v>3133463</v>
          </cell>
          <cell r="Q84">
            <v>155462</v>
          </cell>
          <cell r="R84">
            <v>190884</v>
          </cell>
          <cell r="S84">
            <v>0</v>
          </cell>
          <cell r="T84">
            <v>4444591</v>
          </cell>
          <cell r="U84">
            <v>1836944</v>
          </cell>
          <cell r="V84">
            <v>0</v>
          </cell>
          <cell r="W84">
            <v>136685</v>
          </cell>
          <cell r="X84">
            <v>0</v>
          </cell>
          <cell r="Y84">
            <v>13604</v>
          </cell>
          <cell r="Z84">
            <v>7347774</v>
          </cell>
          <cell r="AA84">
            <v>11996853</v>
          </cell>
          <cell r="AB84" t="str">
            <v>ERJA</v>
          </cell>
          <cell r="AC84">
            <v>1101</v>
          </cell>
          <cell r="AD84">
            <v>2</v>
          </cell>
          <cell r="AE84">
            <v>549578</v>
          </cell>
        </row>
        <row r="85">
          <cell r="A85" t="str">
            <v>SML</v>
          </cell>
          <cell r="B85">
            <v>0</v>
          </cell>
          <cell r="C85" t="str">
            <v>DRLS</v>
          </cell>
          <cell r="D85">
            <v>3</v>
          </cell>
          <cell r="E85">
            <v>2</v>
          </cell>
          <cell r="F85" t="str">
            <v>A4</v>
          </cell>
          <cell r="G85">
            <v>21</v>
          </cell>
          <cell r="H85">
            <v>4</v>
          </cell>
          <cell r="I85">
            <v>190426</v>
          </cell>
          <cell r="J85">
            <v>4078</v>
          </cell>
          <cell r="K85">
            <v>186348</v>
          </cell>
          <cell r="L85">
            <v>1234</v>
          </cell>
          <cell r="M85">
            <v>1234</v>
          </cell>
          <cell r="N85">
            <v>0</v>
          </cell>
          <cell r="O85">
            <v>1453995</v>
          </cell>
          <cell r="P85">
            <v>852282</v>
          </cell>
          <cell r="Q85">
            <v>376024</v>
          </cell>
          <cell r="R85">
            <v>92386</v>
          </cell>
          <cell r="S85">
            <v>0</v>
          </cell>
          <cell r="T85">
            <v>0</v>
          </cell>
          <cell r="U85">
            <v>678173</v>
          </cell>
          <cell r="V85">
            <v>0</v>
          </cell>
          <cell r="W85">
            <v>30390</v>
          </cell>
          <cell r="X85">
            <v>0</v>
          </cell>
          <cell r="Y85">
            <v>16128</v>
          </cell>
          <cell r="Z85">
            <v>2712691</v>
          </cell>
          <cell r="AA85">
            <v>2821205</v>
          </cell>
          <cell r="AB85" t="str">
            <v>ERJA</v>
          </cell>
          <cell r="AC85">
            <v>1101</v>
          </cell>
          <cell r="AD85">
            <v>2</v>
          </cell>
          <cell r="AE85">
            <v>190426</v>
          </cell>
        </row>
        <row r="86">
          <cell r="A86" t="str">
            <v>SML</v>
          </cell>
          <cell r="B86">
            <v>0</v>
          </cell>
          <cell r="C86" t="str">
            <v>DRLS</v>
          </cell>
          <cell r="D86">
            <v>3</v>
          </cell>
          <cell r="E86">
            <v>2</v>
          </cell>
          <cell r="F86" t="str">
            <v>A4</v>
          </cell>
          <cell r="G86">
            <v>20</v>
          </cell>
          <cell r="H86">
            <v>27</v>
          </cell>
          <cell r="I86">
            <v>374207</v>
          </cell>
          <cell r="J86">
            <v>0</v>
          </cell>
          <cell r="K86">
            <v>0</v>
          </cell>
          <cell r="L86">
            <v>1777</v>
          </cell>
          <cell r="M86">
            <v>0</v>
          </cell>
          <cell r="N86">
            <v>0</v>
          </cell>
          <cell r="O86">
            <v>4293875</v>
          </cell>
          <cell r="P86">
            <v>1390801</v>
          </cell>
          <cell r="Q86">
            <v>264335</v>
          </cell>
          <cell r="R86">
            <v>73139</v>
          </cell>
          <cell r="S86">
            <v>0</v>
          </cell>
          <cell r="T86">
            <v>230135</v>
          </cell>
          <cell r="U86">
            <v>1513671</v>
          </cell>
          <cell r="V86">
            <v>0</v>
          </cell>
          <cell r="W86">
            <v>105660</v>
          </cell>
          <cell r="X86">
            <v>0</v>
          </cell>
          <cell r="Y86">
            <v>111214</v>
          </cell>
          <cell r="Z86">
            <v>6054671</v>
          </cell>
          <cell r="AA86">
            <v>6469159</v>
          </cell>
          <cell r="AB86" t="str">
            <v>ERJA</v>
          </cell>
          <cell r="AC86">
            <v>1101</v>
          </cell>
          <cell r="AD86">
            <v>2</v>
          </cell>
          <cell r="AE86">
            <v>374207</v>
          </cell>
        </row>
        <row r="87">
          <cell r="A87" t="str">
            <v>SML</v>
          </cell>
          <cell r="B87">
            <v>0</v>
          </cell>
          <cell r="C87" t="str">
            <v>DRLS</v>
          </cell>
          <cell r="D87">
            <v>3</v>
          </cell>
          <cell r="E87">
            <v>2</v>
          </cell>
          <cell r="F87" t="str">
            <v xml:space="preserve">B </v>
          </cell>
          <cell r="G87">
            <v>0</v>
          </cell>
          <cell r="H87">
            <v>121</v>
          </cell>
          <cell r="I87">
            <v>119282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2483274</v>
          </cell>
          <cell r="P87">
            <v>0</v>
          </cell>
          <cell r="Q87">
            <v>0</v>
          </cell>
          <cell r="R87">
            <v>35925</v>
          </cell>
          <cell r="S87">
            <v>0</v>
          </cell>
          <cell r="T87">
            <v>259275</v>
          </cell>
          <cell r="U87">
            <v>619748</v>
          </cell>
          <cell r="V87">
            <v>189</v>
          </cell>
          <cell r="W87">
            <v>0</v>
          </cell>
          <cell r="X87">
            <v>0</v>
          </cell>
          <cell r="Y87">
            <v>194129</v>
          </cell>
          <cell r="Z87">
            <v>2483274</v>
          </cell>
          <cell r="AA87">
            <v>2972792</v>
          </cell>
          <cell r="AB87" t="str">
            <v>ERJA</v>
          </cell>
          <cell r="AC87">
            <v>1101</v>
          </cell>
          <cell r="AD87">
            <v>2</v>
          </cell>
          <cell r="AE87">
            <v>117930</v>
          </cell>
        </row>
        <row r="88">
          <cell r="A88" t="str">
            <v>SML</v>
          </cell>
          <cell r="B88">
            <v>0</v>
          </cell>
          <cell r="C88" t="str">
            <v>DRLS</v>
          </cell>
          <cell r="D88">
            <v>3</v>
          </cell>
          <cell r="E88">
            <v>3</v>
          </cell>
          <cell r="F88" t="str">
            <v>A4</v>
          </cell>
          <cell r="G88">
            <v>21</v>
          </cell>
          <cell r="H88">
            <v>1</v>
          </cell>
          <cell r="I88">
            <v>17879</v>
          </cell>
          <cell r="J88">
            <v>669</v>
          </cell>
          <cell r="K88">
            <v>17210</v>
          </cell>
          <cell r="L88">
            <v>116</v>
          </cell>
          <cell r="M88">
            <v>116</v>
          </cell>
          <cell r="N88">
            <v>0</v>
          </cell>
          <cell r="O88">
            <v>152256</v>
          </cell>
          <cell r="P88">
            <v>80117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58093</v>
          </cell>
          <cell r="V88">
            <v>0</v>
          </cell>
          <cell r="W88">
            <v>0</v>
          </cell>
          <cell r="X88">
            <v>0</v>
          </cell>
          <cell r="Y88">
            <v>12342</v>
          </cell>
          <cell r="Z88">
            <v>232373</v>
          </cell>
          <cell r="AA88">
            <v>244715</v>
          </cell>
          <cell r="AB88" t="str">
            <v>ERJA</v>
          </cell>
          <cell r="AC88">
            <v>1101</v>
          </cell>
          <cell r="AD88">
            <v>2</v>
          </cell>
          <cell r="AE88">
            <v>17879</v>
          </cell>
        </row>
        <row r="89">
          <cell r="A89" t="str">
            <v>SML</v>
          </cell>
          <cell r="B89">
            <v>0</v>
          </cell>
          <cell r="C89" t="str">
            <v>DRLS</v>
          </cell>
          <cell r="D89">
            <v>3</v>
          </cell>
          <cell r="E89">
            <v>3</v>
          </cell>
          <cell r="F89" t="str">
            <v>A4</v>
          </cell>
          <cell r="G89">
            <v>20</v>
          </cell>
          <cell r="H89">
            <v>19</v>
          </cell>
          <cell r="I89">
            <v>319173</v>
          </cell>
          <cell r="J89">
            <v>0</v>
          </cell>
          <cell r="K89">
            <v>0</v>
          </cell>
          <cell r="L89">
            <v>941</v>
          </cell>
          <cell r="M89">
            <v>0</v>
          </cell>
          <cell r="N89">
            <v>0</v>
          </cell>
          <cell r="O89">
            <v>3662406</v>
          </cell>
          <cell r="P89">
            <v>736488</v>
          </cell>
          <cell r="Q89">
            <v>48618</v>
          </cell>
          <cell r="R89">
            <v>33228</v>
          </cell>
          <cell r="S89">
            <v>0</v>
          </cell>
          <cell r="T89">
            <v>0</v>
          </cell>
          <cell r="U89">
            <v>1114816</v>
          </cell>
          <cell r="V89">
            <v>0</v>
          </cell>
          <cell r="W89">
            <v>11740</v>
          </cell>
          <cell r="X89">
            <v>0</v>
          </cell>
          <cell r="Y89">
            <v>159938</v>
          </cell>
          <cell r="Z89">
            <v>4459252</v>
          </cell>
          <cell r="AA89">
            <v>4652418</v>
          </cell>
          <cell r="AB89" t="str">
            <v>ERJA</v>
          </cell>
          <cell r="AC89">
            <v>1101</v>
          </cell>
          <cell r="AD89">
            <v>2</v>
          </cell>
          <cell r="AE89">
            <v>319173</v>
          </cell>
        </row>
        <row r="90">
          <cell r="A90" t="str">
            <v>SML</v>
          </cell>
          <cell r="B90">
            <v>0</v>
          </cell>
          <cell r="C90" t="str">
            <v>DRLS</v>
          </cell>
          <cell r="D90">
            <v>3</v>
          </cell>
          <cell r="E90">
            <v>3</v>
          </cell>
          <cell r="F90" t="str">
            <v xml:space="preserve">B </v>
          </cell>
          <cell r="G90">
            <v>0</v>
          </cell>
          <cell r="H90">
            <v>2333</v>
          </cell>
          <cell r="I90">
            <v>521009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10847208</v>
          </cell>
          <cell r="P90">
            <v>0</v>
          </cell>
          <cell r="Q90">
            <v>0</v>
          </cell>
          <cell r="R90">
            <v>160760</v>
          </cell>
          <cell r="S90">
            <v>0</v>
          </cell>
          <cell r="T90">
            <v>558392</v>
          </cell>
          <cell r="U90">
            <v>2679120</v>
          </cell>
          <cell r="V90">
            <v>378</v>
          </cell>
          <cell r="W90">
            <v>0</v>
          </cell>
          <cell r="X90">
            <v>0</v>
          </cell>
          <cell r="Y90">
            <v>860639</v>
          </cell>
          <cell r="Z90">
            <v>10847208</v>
          </cell>
          <cell r="AA90">
            <v>12427377</v>
          </cell>
          <cell r="AB90" t="str">
            <v>ERJA</v>
          </cell>
          <cell r="AC90">
            <v>1101</v>
          </cell>
          <cell r="AD90">
            <v>2</v>
          </cell>
          <cell r="AE90">
            <v>503299</v>
          </cell>
        </row>
        <row r="91">
          <cell r="A91" t="str">
            <v>SML</v>
          </cell>
          <cell r="B91">
            <v>0</v>
          </cell>
          <cell r="C91" t="str">
            <v>DRLS</v>
          </cell>
          <cell r="D91">
            <v>3</v>
          </cell>
          <cell r="E91">
            <v>4</v>
          </cell>
          <cell r="F91" t="str">
            <v>A4</v>
          </cell>
          <cell r="G91">
            <v>20</v>
          </cell>
          <cell r="H91">
            <v>3</v>
          </cell>
          <cell r="I91">
            <v>33005</v>
          </cell>
          <cell r="J91">
            <v>0</v>
          </cell>
          <cell r="K91">
            <v>0</v>
          </cell>
          <cell r="L91">
            <v>171</v>
          </cell>
          <cell r="M91">
            <v>0</v>
          </cell>
          <cell r="N91">
            <v>0</v>
          </cell>
          <cell r="O91">
            <v>255624</v>
          </cell>
          <cell r="P91">
            <v>90288</v>
          </cell>
          <cell r="Q91">
            <v>16985</v>
          </cell>
          <cell r="R91">
            <v>7543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4752</v>
          </cell>
          <cell r="X91">
            <v>0</v>
          </cell>
          <cell r="Y91">
            <v>0</v>
          </cell>
          <cell r="Z91">
            <v>367649</v>
          </cell>
          <cell r="AA91">
            <v>375192</v>
          </cell>
          <cell r="AB91" t="str">
            <v>ERJA</v>
          </cell>
          <cell r="AC91">
            <v>1101</v>
          </cell>
          <cell r="AD91">
            <v>2</v>
          </cell>
          <cell r="AE91">
            <v>33005</v>
          </cell>
        </row>
        <row r="92">
          <cell r="A92" t="str">
            <v>SML</v>
          </cell>
          <cell r="B92">
            <v>0</v>
          </cell>
          <cell r="C92" t="str">
            <v>DRLS</v>
          </cell>
          <cell r="D92">
            <v>3</v>
          </cell>
          <cell r="E92">
            <v>4</v>
          </cell>
          <cell r="F92" t="str">
            <v xml:space="preserve">B </v>
          </cell>
          <cell r="G92">
            <v>0</v>
          </cell>
          <cell r="H92">
            <v>350</v>
          </cell>
          <cell r="I92">
            <v>288803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2783478</v>
          </cell>
          <cell r="P92">
            <v>0</v>
          </cell>
          <cell r="Q92">
            <v>0</v>
          </cell>
          <cell r="R92">
            <v>293</v>
          </cell>
          <cell r="S92">
            <v>0</v>
          </cell>
          <cell r="T92">
            <v>204874</v>
          </cell>
          <cell r="U92">
            <v>0</v>
          </cell>
          <cell r="V92">
            <v>34517</v>
          </cell>
          <cell r="W92">
            <v>0</v>
          </cell>
          <cell r="X92">
            <v>0</v>
          </cell>
          <cell r="Y92">
            <v>0</v>
          </cell>
          <cell r="Z92">
            <v>2783478</v>
          </cell>
          <cell r="AA92">
            <v>3023162</v>
          </cell>
          <cell r="AB92" t="str">
            <v>ERJA</v>
          </cell>
          <cell r="AC92">
            <v>1101</v>
          </cell>
          <cell r="AD92">
            <v>2</v>
          </cell>
          <cell r="AE92">
            <v>286739</v>
          </cell>
        </row>
        <row r="93">
          <cell r="A93" t="str">
            <v>SML</v>
          </cell>
          <cell r="B93">
            <v>0</v>
          </cell>
          <cell r="C93" t="str">
            <v>DRLS</v>
          </cell>
          <cell r="D93">
            <v>3</v>
          </cell>
          <cell r="E93">
            <v>5</v>
          </cell>
          <cell r="F93" t="str">
            <v>A4</v>
          </cell>
          <cell r="G93">
            <v>20</v>
          </cell>
          <cell r="H93">
            <v>5</v>
          </cell>
          <cell r="I93">
            <v>18265</v>
          </cell>
          <cell r="J93">
            <v>0</v>
          </cell>
          <cell r="K93">
            <v>0</v>
          </cell>
          <cell r="L93">
            <v>112</v>
          </cell>
          <cell r="M93">
            <v>0</v>
          </cell>
          <cell r="N93">
            <v>0</v>
          </cell>
          <cell r="O93">
            <v>209584</v>
          </cell>
          <cell r="P93">
            <v>87659</v>
          </cell>
          <cell r="Q93">
            <v>2754</v>
          </cell>
          <cell r="R93">
            <v>0</v>
          </cell>
          <cell r="S93">
            <v>0</v>
          </cell>
          <cell r="T93">
            <v>0</v>
          </cell>
          <cell r="U93">
            <v>75196</v>
          </cell>
          <cell r="V93">
            <v>0</v>
          </cell>
          <cell r="W93">
            <v>783</v>
          </cell>
          <cell r="X93">
            <v>0</v>
          </cell>
          <cell r="Y93">
            <v>0</v>
          </cell>
          <cell r="Z93">
            <v>300780</v>
          </cell>
          <cell r="AA93">
            <v>300780</v>
          </cell>
          <cell r="AB93" t="str">
            <v>ERJA</v>
          </cell>
          <cell r="AC93">
            <v>1101</v>
          </cell>
          <cell r="AD93">
            <v>2</v>
          </cell>
          <cell r="AE93">
            <v>18265</v>
          </cell>
        </row>
        <row r="94">
          <cell r="A94" t="str">
            <v>SML</v>
          </cell>
          <cell r="B94">
            <v>0</v>
          </cell>
          <cell r="C94" t="str">
            <v>DRLS</v>
          </cell>
          <cell r="D94">
            <v>3</v>
          </cell>
          <cell r="E94">
            <v>5</v>
          </cell>
          <cell r="F94" t="str">
            <v xml:space="preserve">B </v>
          </cell>
          <cell r="G94">
            <v>0</v>
          </cell>
          <cell r="H94">
            <v>187</v>
          </cell>
          <cell r="I94">
            <v>119303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2296284</v>
          </cell>
          <cell r="P94">
            <v>0</v>
          </cell>
          <cell r="Q94">
            <v>0</v>
          </cell>
          <cell r="R94">
            <v>14341</v>
          </cell>
          <cell r="S94">
            <v>0</v>
          </cell>
          <cell r="T94">
            <v>2237</v>
          </cell>
          <cell r="U94">
            <v>433495</v>
          </cell>
          <cell r="V94">
            <v>377</v>
          </cell>
          <cell r="W94">
            <v>0</v>
          </cell>
          <cell r="X94">
            <v>0</v>
          </cell>
          <cell r="Y94">
            <v>0</v>
          </cell>
          <cell r="Z94">
            <v>2296284</v>
          </cell>
          <cell r="AA94">
            <v>2313239</v>
          </cell>
          <cell r="AB94" t="str">
            <v>ERJA</v>
          </cell>
          <cell r="AC94">
            <v>1101</v>
          </cell>
          <cell r="AD94">
            <v>2</v>
          </cell>
          <cell r="AE94">
            <v>118711</v>
          </cell>
        </row>
        <row r="95">
          <cell r="A95" t="str">
            <v>SML</v>
          </cell>
          <cell r="B95">
            <v>0</v>
          </cell>
          <cell r="C95" t="str">
            <v>DRLS</v>
          </cell>
          <cell r="D95">
            <v>3</v>
          </cell>
          <cell r="E95">
            <v>6</v>
          </cell>
          <cell r="F95" t="str">
            <v xml:space="preserve">B </v>
          </cell>
          <cell r="G95">
            <v>0</v>
          </cell>
          <cell r="H95">
            <v>6</v>
          </cell>
          <cell r="I95">
            <v>382144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4499107</v>
          </cell>
          <cell r="P95">
            <v>0</v>
          </cell>
          <cell r="Q95">
            <v>0</v>
          </cell>
          <cell r="R95">
            <v>21297</v>
          </cell>
          <cell r="S95">
            <v>0</v>
          </cell>
          <cell r="T95">
            <v>0</v>
          </cell>
          <cell r="U95">
            <v>1124777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4499107</v>
          </cell>
          <cell r="AA95">
            <v>4520404</v>
          </cell>
          <cell r="AB95" t="str">
            <v>ERJA</v>
          </cell>
          <cell r="AC95">
            <v>1101</v>
          </cell>
          <cell r="AD95">
            <v>2</v>
          </cell>
          <cell r="AE95">
            <v>382144</v>
          </cell>
        </row>
        <row r="96">
          <cell r="A96" t="str">
            <v>SML</v>
          </cell>
          <cell r="B96">
            <v>0</v>
          </cell>
          <cell r="C96" t="str">
            <v>DRLS</v>
          </cell>
          <cell r="D96">
            <v>3</v>
          </cell>
          <cell r="E96">
            <v>7</v>
          </cell>
          <cell r="F96" t="str">
            <v>A4</v>
          </cell>
          <cell r="G96">
            <v>22</v>
          </cell>
          <cell r="H96">
            <v>2</v>
          </cell>
          <cell r="I96">
            <v>801867</v>
          </cell>
          <cell r="J96">
            <v>42765</v>
          </cell>
          <cell r="K96">
            <v>759102</v>
          </cell>
          <cell r="L96">
            <v>1841</v>
          </cell>
          <cell r="M96">
            <v>1111</v>
          </cell>
          <cell r="N96">
            <v>730</v>
          </cell>
          <cell r="O96">
            <v>4659630</v>
          </cell>
          <cell r="P96">
            <v>1936587</v>
          </cell>
          <cell r="Q96">
            <v>126773</v>
          </cell>
          <cell r="R96">
            <v>0</v>
          </cell>
          <cell r="S96">
            <v>0</v>
          </cell>
          <cell r="T96">
            <v>0</v>
          </cell>
          <cell r="U96">
            <v>1701721</v>
          </cell>
          <cell r="V96">
            <v>0</v>
          </cell>
          <cell r="W96">
            <v>83893</v>
          </cell>
          <cell r="X96">
            <v>0</v>
          </cell>
          <cell r="Y96">
            <v>0</v>
          </cell>
          <cell r="Z96">
            <v>6806883</v>
          </cell>
          <cell r="AA96">
            <v>6806883</v>
          </cell>
          <cell r="AB96" t="str">
            <v>ERJA</v>
          </cell>
          <cell r="AC96">
            <v>1101</v>
          </cell>
          <cell r="AD96">
            <v>2</v>
          </cell>
          <cell r="AE96">
            <v>801867</v>
          </cell>
        </row>
        <row r="97">
          <cell r="A97" t="str">
            <v>SML</v>
          </cell>
          <cell r="B97">
            <v>0</v>
          </cell>
          <cell r="C97" t="str">
            <v>DRLS</v>
          </cell>
          <cell r="D97">
            <v>3</v>
          </cell>
          <cell r="E97">
            <v>7</v>
          </cell>
          <cell r="F97" t="str">
            <v>A4</v>
          </cell>
          <cell r="G97">
            <v>20</v>
          </cell>
          <cell r="H97">
            <v>8</v>
          </cell>
          <cell r="I97">
            <v>326298</v>
          </cell>
          <cell r="J97">
            <v>0</v>
          </cell>
          <cell r="K97">
            <v>0</v>
          </cell>
          <cell r="L97">
            <v>631</v>
          </cell>
          <cell r="M97">
            <v>0</v>
          </cell>
          <cell r="N97">
            <v>0</v>
          </cell>
          <cell r="O97">
            <v>3182492</v>
          </cell>
          <cell r="P97">
            <v>418984</v>
          </cell>
          <cell r="Q97">
            <v>127163</v>
          </cell>
          <cell r="R97">
            <v>0</v>
          </cell>
          <cell r="S97">
            <v>0</v>
          </cell>
          <cell r="T97">
            <v>0</v>
          </cell>
          <cell r="U97">
            <v>935979</v>
          </cell>
          <cell r="V97">
            <v>0</v>
          </cell>
          <cell r="W97">
            <v>15272</v>
          </cell>
          <cell r="X97">
            <v>0</v>
          </cell>
          <cell r="Y97">
            <v>0</v>
          </cell>
          <cell r="Z97">
            <v>3743911</v>
          </cell>
          <cell r="AA97">
            <v>3743911</v>
          </cell>
          <cell r="AB97" t="str">
            <v>ERJA</v>
          </cell>
          <cell r="AC97">
            <v>1101</v>
          </cell>
          <cell r="AD97">
            <v>2</v>
          </cell>
          <cell r="AE97">
            <v>326298</v>
          </cell>
        </row>
        <row r="98">
          <cell r="A98" t="str">
            <v>SML</v>
          </cell>
          <cell r="B98">
            <v>0</v>
          </cell>
          <cell r="C98" t="str">
            <v>DRLS</v>
          </cell>
          <cell r="D98">
            <v>3</v>
          </cell>
          <cell r="E98">
            <v>7</v>
          </cell>
          <cell r="F98" t="str">
            <v xml:space="preserve">B </v>
          </cell>
          <cell r="G98">
            <v>0</v>
          </cell>
          <cell r="H98">
            <v>3</v>
          </cell>
          <cell r="I98">
            <v>7908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139929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34982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139929</v>
          </cell>
          <cell r="AA98">
            <v>139929</v>
          </cell>
          <cell r="AB98" t="str">
            <v>ERJA</v>
          </cell>
          <cell r="AC98">
            <v>1101</v>
          </cell>
          <cell r="AD98">
            <v>2</v>
          </cell>
          <cell r="AE98">
            <v>7908</v>
          </cell>
        </row>
        <row r="99">
          <cell r="A99" t="str">
            <v>SML</v>
          </cell>
          <cell r="B99">
            <v>0</v>
          </cell>
          <cell r="C99" t="str">
            <v>DRLS</v>
          </cell>
          <cell r="D99">
            <v>3</v>
          </cell>
          <cell r="E99">
            <v>8</v>
          </cell>
          <cell r="F99" t="str">
            <v xml:space="preserve">B </v>
          </cell>
          <cell r="G99">
            <v>0</v>
          </cell>
          <cell r="H99">
            <v>4</v>
          </cell>
          <cell r="I99">
            <v>4003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83336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20834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83336</v>
          </cell>
          <cell r="AA99">
            <v>83336</v>
          </cell>
          <cell r="AB99" t="str">
            <v>ERJA</v>
          </cell>
          <cell r="AC99">
            <v>1101</v>
          </cell>
          <cell r="AD99">
            <v>2</v>
          </cell>
          <cell r="AE99">
            <v>4003</v>
          </cell>
        </row>
        <row r="100">
          <cell r="A100" t="str">
            <v>SML</v>
          </cell>
          <cell r="B100">
            <v>0</v>
          </cell>
          <cell r="C100" t="str">
            <v>DRLN</v>
          </cell>
          <cell r="D100">
            <v>5</v>
          </cell>
          <cell r="E100">
            <v>1</v>
          </cell>
          <cell r="F100" t="str">
            <v>A4</v>
          </cell>
          <cell r="G100">
            <v>20</v>
          </cell>
          <cell r="H100">
            <v>1</v>
          </cell>
          <cell r="I100">
            <v>51120</v>
          </cell>
          <cell r="J100">
            <v>0</v>
          </cell>
          <cell r="K100">
            <v>0</v>
          </cell>
          <cell r="L100">
            <v>219</v>
          </cell>
          <cell r="M100">
            <v>0</v>
          </cell>
          <cell r="N100">
            <v>0</v>
          </cell>
          <cell r="O100">
            <v>586586</v>
          </cell>
          <cell r="P100">
            <v>171404</v>
          </cell>
          <cell r="Q100">
            <v>47092</v>
          </cell>
          <cell r="R100">
            <v>8644</v>
          </cell>
          <cell r="S100">
            <v>0</v>
          </cell>
          <cell r="T100">
            <v>0</v>
          </cell>
          <cell r="U100">
            <v>203227</v>
          </cell>
          <cell r="V100">
            <v>0</v>
          </cell>
          <cell r="W100">
            <v>7827</v>
          </cell>
          <cell r="X100">
            <v>0</v>
          </cell>
          <cell r="Y100">
            <v>0</v>
          </cell>
          <cell r="Z100">
            <v>812909</v>
          </cell>
          <cell r="AA100">
            <v>821553</v>
          </cell>
          <cell r="AB100" t="str">
            <v>ERGO</v>
          </cell>
          <cell r="AC100">
            <v>1101</v>
          </cell>
          <cell r="AD100">
            <v>2</v>
          </cell>
          <cell r="AE100">
            <v>51120</v>
          </cell>
        </row>
        <row r="101">
          <cell r="A101" t="str">
            <v>SML</v>
          </cell>
          <cell r="B101">
            <v>0</v>
          </cell>
          <cell r="C101" t="str">
            <v>DRLN</v>
          </cell>
          <cell r="D101">
            <v>5</v>
          </cell>
          <cell r="E101">
            <v>1</v>
          </cell>
          <cell r="F101" t="str">
            <v xml:space="preserve">B </v>
          </cell>
          <cell r="G101">
            <v>1</v>
          </cell>
          <cell r="H101">
            <v>4487</v>
          </cell>
          <cell r="I101">
            <v>104017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1682640</v>
          </cell>
          <cell r="P101">
            <v>0</v>
          </cell>
          <cell r="Q101">
            <v>0</v>
          </cell>
          <cell r="R101">
            <v>26499</v>
          </cell>
          <cell r="S101">
            <v>0</v>
          </cell>
          <cell r="T101">
            <v>461286</v>
          </cell>
          <cell r="U101">
            <v>0</v>
          </cell>
          <cell r="V101">
            <v>377</v>
          </cell>
          <cell r="W101">
            <v>0</v>
          </cell>
          <cell r="X101">
            <v>0</v>
          </cell>
          <cell r="Y101">
            <v>0</v>
          </cell>
          <cell r="Z101">
            <v>1682640</v>
          </cell>
          <cell r="AA101">
            <v>2170802</v>
          </cell>
          <cell r="AB101" t="str">
            <v>ERGO</v>
          </cell>
          <cell r="AC101">
            <v>1101</v>
          </cell>
          <cell r="AD101">
            <v>2</v>
          </cell>
          <cell r="AE101">
            <v>71871</v>
          </cell>
        </row>
        <row r="102">
          <cell r="A102" t="str">
            <v>SML</v>
          </cell>
          <cell r="B102">
            <v>0</v>
          </cell>
          <cell r="C102" t="str">
            <v>DRLN</v>
          </cell>
          <cell r="D102">
            <v>5</v>
          </cell>
          <cell r="E102">
            <v>1</v>
          </cell>
          <cell r="F102" t="str">
            <v xml:space="preserve">B </v>
          </cell>
          <cell r="G102">
            <v>2</v>
          </cell>
          <cell r="H102">
            <v>2438</v>
          </cell>
          <cell r="I102">
            <v>99707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1933817</v>
          </cell>
          <cell r="P102">
            <v>0</v>
          </cell>
          <cell r="Q102">
            <v>0</v>
          </cell>
          <cell r="R102">
            <v>17727</v>
          </cell>
          <cell r="S102">
            <v>0</v>
          </cell>
          <cell r="T102">
            <v>61722</v>
          </cell>
          <cell r="U102">
            <v>328673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1933817</v>
          </cell>
          <cell r="AA102">
            <v>2013266</v>
          </cell>
          <cell r="AB102" t="str">
            <v>ERGO</v>
          </cell>
          <cell r="AC102">
            <v>1101</v>
          </cell>
          <cell r="AD102">
            <v>2</v>
          </cell>
          <cell r="AE102">
            <v>99707</v>
          </cell>
        </row>
        <row r="103">
          <cell r="A103" t="str">
            <v>SML</v>
          </cell>
          <cell r="B103">
            <v>0</v>
          </cell>
          <cell r="C103" t="str">
            <v>DRLN</v>
          </cell>
          <cell r="D103">
            <v>5</v>
          </cell>
          <cell r="E103">
            <v>1</v>
          </cell>
          <cell r="F103" t="str">
            <v xml:space="preserve">B </v>
          </cell>
          <cell r="G103">
            <v>3</v>
          </cell>
          <cell r="H103">
            <v>8678</v>
          </cell>
          <cell r="I103">
            <v>655291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12708769</v>
          </cell>
          <cell r="P103">
            <v>0</v>
          </cell>
          <cell r="Q103">
            <v>213</v>
          </cell>
          <cell r="R103">
            <v>116570</v>
          </cell>
          <cell r="S103">
            <v>0</v>
          </cell>
          <cell r="T103">
            <v>173999</v>
          </cell>
          <cell r="U103">
            <v>2160591</v>
          </cell>
          <cell r="V103">
            <v>850</v>
          </cell>
          <cell r="W103">
            <v>0</v>
          </cell>
          <cell r="X103">
            <v>0</v>
          </cell>
          <cell r="Y103">
            <v>0</v>
          </cell>
          <cell r="Z103">
            <v>12708982</v>
          </cell>
          <cell r="AA103">
            <v>13000401</v>
          </cell>
          <cell r="AB103" t="str">
            <v>ERGO</v>
          </cell>
          <cell r="AC103">
            <v>1101</v>
          </cell>
          <cell r="AD103">
            <v>2</v>
          </cell>
          <cell r="AE103">
            <v>651720</v>
          </cell>
        </row>
        <row r="104">
          <cell r="A104" t="str">
            <v>SML</v>
          </cell>
          <cell r="B104">
            <v>0</v>
          </cell>
          <cell r="C104" t="str">
            <v>DRLN</v>
          </cell>
          <cell r="D104">
            <v>5</v>
          </cell>
          <cell r="E104">
            <v>1</v>
          </cell>
          <cell r="F104" t="str">
            <v xml:space="preserve">B </v>
          </cell>
          <cell r="G104">
            <v>4</v>
          </cell>
          <cell r="H104">
            <v>3568</v>
          </cell>
          <cell r="I104">
            <v>431304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8388520</v>
          </cell>
          <cell r="P104">
            <v>0</v>
          </cell>
          <cell r="Q104">
            <v>0</v>
          </cell>
          <cell r="R104">
            <v>98296</v>
          </cell>
          <cell r="S104">
            <v>0</v>
          </cell>
          <cell r="T104">
            <v>116209</v>
          </cell>
          <cell r="U104">
            <v>1445085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8388520</v>
          </cell>
          <cell r="AA104">
            <v>8603025</v>
          </cell>
          <cell r="AB104" t="str">
            <v>ERGO</v>
          </cell>
          <cell r="AC104">
            <v>1101</v>
          </cell>
          <cell r="AD104">
            <v>2</v>
          </cell>
          <cell r="AE104">
            <v>431304</v>
          </cell>
        </row>
        <row r="105">
          <cell r="A105" t="str">
            <v>SML</v>
          </cell>
          <cell r="B105">
            <v>0</v>
          </cell>
          <cell r="C105" t="str">
            <v>DRLN</v>
          </cell>
          <cell r="D105">
            <v>5</v>
          </cell>
          <cell r="E105">
            <v>1</v>
          </cell>
          <cell r="F105" t="str">
            <v xml:space="preserve">B </v>
          </cell>
          <cell r="G105">
            <v>5</v>
          </cell>
          <cell r="H105">
            <v>1329</v>
          </cell>
          <cell r="I105">
            <v>227813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4428479</v>
          </cell>
          <cell r="P105">
            <v>0</v>
          </cell>
          <cell r="Q105">
            <v>0</v>
          </cell>
          <cell r="R105">
            <v>48364</v>
          </cell>
          <cell r="S105">
            <v>0</v>
          </cell>
          <cell r="T105">
            <v>62375</v>
          </cell>
          <cell r="U105">
            <v>761172</v>
          </cell>
          <cell r="V105">
            <v>472</v>
          </cell>
          <cell r="W105">
            <v>0</v>
          </cell>
          <cell r="X105">
            <v>0</v>
          </cell>
          <cell r="Y105">
            <v>0</v>
          </cell>
          <cell r="Z105">
            <v>4428479</v>
          </cell>
          <cell r="AA105">
            <v>4539690</v>
          </cell>
          <cell r="AB105" t="str">
            <v>ERGO</v>
          </cell>
          <cell r="AC105">
            <v>1101</v>
          </cell>
          <cell r="AD105">
            <v>2</v>
          </cell>
          <cell r="AE105">
            <v>227813</v>
          </cell>
        </row>
        <row r="106">
          <cell r="A106" t="str">
            <v>SML</v>
          </cell>
          <cell r="B106">
            <v>0</v>
          </cell>
          <cell r="C106" t="str">
            <v>DRLN</v>
          </cell>
          <cell r="D106">
            <v>5</v>
          </cell>
          <cell r="E106">
            <v>1</v>
          </cell>
          <cell r="F106" t="str">
            <v xml:space="preserve">B </v>
          </cell>
          <cell r="G106">
            <v>6</v>
          </cell>
          <cell r="H106">
            <v>791</v>
          </cell>
          <cell r="I106">
            <v>187742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3649347</v>
          </cell>
          <cell r="P106">
            <v>0</v>
          </cell>
          <cell r="Q106">
            <v>0</v>
          </cell>
          <cell r="R106">
            <v>37809</v>
          </cell>
          <cell r="S106">
            <v>0</v>
          </cell>
          <cell r="T106">
            <v>98470</v>
          </cell>
          <cell r="U106">
            <v>626736</v>
          </cell>
          <cell r="V106">
            <v>283</v>
          </cell>
          <cell r="W106">
            <v>0</v>
          </cell>
          <cell r="X106">
            <v>0</v>
          </cell>
          <cell r="Y106">
            <v>0</v>
          </cell>
          <cell r="Z106">
            <v>3649347</v>
          </cell>
          <cell r="AA106">
            <v>3785909</v>
          </cell>
          <cell r="AB106" t="str">
            <v>ERGO</v>
          </cell>
          <cell r="AC106">
            <v>1101</v>
          </cell>
          <cell r="AD106">
            <v>2</v>
          </cell>
          <cell r="AE106">
            <v>187742</v>
          </cell>
        </row>
        <row r="107">
          <cell r="A107" t="str">
            <v>SML</v>
          </cell>
          <cell r="B107">
            <v>0</v>
          </cell>
          <cell r="C107" t="str">
            <v>DRLN</v>
          </cell>
          <cell r="D107">
            <v>5</v>
          </cell>
          <cell r="E107">
            <v>1</v>
          </cell>
          <cell r="F107" t="str">
            <v xml:space="preserve">B </v>
          </cell>
          <cell r="G107">
            <v>7</v>
          </cell>
          <cell r="H107">
            <v>223</v>
          </cell>
          <cell r="I107">
            <v>73569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1480584</v>
          </cell>
          <cell r="P107">
            <v>0</v>
          </cell>
          <cell r="Q107">
            <v>0</v>
          </cell>
          <cell r="R107">
            <v>13209</v>
          </cell>
          <cell r="S107">
            <v>0</v>
          </cell>
          <cell r="T107">
            <v>41174</v>
          </cell>
          <cell r="U107">
            <v>296203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1480584</v>
          </cell>
          <cell r="AA107">
            <v>1534967</v>
          </cell>
          <cell r="AB107" t="str">
            <v>ERGO</v>
          </cell>
          <cell r="AC107">
            <v>1101</v>
          </cell>
          <cell r="AD107">
            <v>2</v>
          </cell>
          <cell r="AE107">
            <v>73569</v>
          </cell>
        </row>
        <row r="108">
          <cell r="A108" t="str">
            <v>SML</v>
          </cell>
          <cell r="B108">
            <v>0</v>
          </cell>
          <cell r="C108" t="str">
            <v>DRLN</v>
          </cell>
          <cell r="D108">
            <v>5</v>
          </cell>
          <cell r="E108">
            <v>1</v>
          </cell>
          <cell r="F108" t="str">
            <v xml:space="preserve">B </v>
          </cell>
          <cell r="G108">
            <v>8</v>
          </cell>
          <cell r="H108">
            <v>89</v>
          </cell>
          <cell r="I108">
            <v>38236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769428</v>
          </cell>
          <cell r="P108">
            <v>0</v>
          </cell>
          <cell r="Q108">
            <v>0</v>
          </cell>
          <cell r="R108">
            <v>10218</v>
          </cell>
          <cell r="S108">
            <v>0</v>
          </cell>
          <cell r="T108">
            <v>13712</v>
          </cell>
          <cell r="U108">
            <v>153917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769428</v>
          </cell>
          <cell r="AA108">
            <v>793358</v>
          </cell>
          <cell r="AB108" t="str">
            <v>ERGO</v>
          </cell>
          <cell r="AC108">
            <v>1101</v>
          </cell>
          <cell r="AD108">
            <v>2</v>
          </cell>
          <cell r="AE108">
            <v>38236</v>
          </cell>
        </row>
        <row r="109">
          <cell r="A109" t="str">
            <v>SML</v>
          </cell>
          <cell r="B109">
            <v>0</v>
          </cell>
          <cell r="C109" t="str">
            <v>DRLN</v>
          </cell>
          <cell r="D109">
            <v>5</v>
          </cell>
          <cell r="E109">
            <v>1</v>
          </cell>
          <cell r="F109" t="str">
            <v xml:space="preserve">B </v>
          </cell>
          <cell r="G109">
            <v>9</v>
          </cell>
          <cell r="H109">
            <v>104</v>
          </cell>
          <cell r="I109">
            <v>62362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1335460</v>
          </cell>
          <cell r="P109">
            <v>0</v>
          </cell>
          <cell r="Q109">
            <v>0</v>
          </cell>
          <cell r="R109">
            <v>13610</v>
          </cell>
          <cell r="S109">
            <v>0</v>
          </cell>
          <cell r="T109">
            <v>32370</v>
          </cell>
          <cell r="U109">
            <v>331661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1335460</v>
          </cell>
          <cell r="AA109">
            <v>1381440</v>
          </cell>
          <cell r="AB109" t="str">
            <v>ERGO</v>
          </cell>
          <cell r="AC109">
            <v>1101</v>
          </cell>
          <cell r="AD109">
            <v>2</v>
          </cell>
          <cell r="AE109">
            <v>62362</v>
          </cell>
        </row>
        <row r="110">
          <cell r="A110" t="str">
            <v>SML</v>
          </cell>
          <cell r="B110">
            <v>0</v>
          </cell>
          <cell r="C110" t="str">
            <v>DRLN</v>
          </cell>
          <cell r="D110">
            <v>5</v>
          </cell>
          <cell r="E110">
            <v>1</v>
          </cell>
          <cell r="F110" t="str">
            <v xml:space="preserve">B </v>
          </cell>
          <cell r="G110">
            <v>10</v>
          </cell>
          <cell r="H110">
            <v>26</v>
          </cell>
          <cell r="I110">
            <v>29943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641135</v>
          </cell>
          <cell r="P110">
            <v>0</v>
          </cell>
          <cell r="Q110">
            <v>0</v>
          </cell>
          <cell r="R110">
            <v>10531</v>
          </cell>
          <cell r="S110">
            <v>0</v>
          </cell>
          <cell r="T110">
            <v>27503</v>
          </cell>
          <cell r="U110">
            <v>159177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641135</v>
          </cell>
          <cell r="AA110">
            <v>679169</v>
          </cell>
          <cell r="AB110" t="str">
            <v>ERGO</v>
          </cell>
          <cell r="AC110">
            <v>1101</v>
          </cell>
          <cell r="AD110">
            <v>2</v>
          </cell>
          <cell r="AE110">
            <v>29943</v>
          </cell>
        </row>
        <row r="111">
          <cell r="A111" t="str">
            <v>SML</v>
          </cell>
          <cell r="B111">
            <v>0</v>
          </cell>
          <cell r="C111" t="str">
            <v>DRLN</v>
          </cell>
          <cell r="D111">
            <v>5</v>
          </cell>
          <cell r="E111">
            <v>1</v>
          </cell>
          <cell r="F111" t="str">
            <v xml:space="preserve">B </v>
          </cell>
          <cell r="G111">
            <v>11</v>
          </cell>
          <cell r="H111">
            <v>6499</v>
          </cell>
          <cell r="I111">
            <v>147624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832358</v>
          </cell>
          <cell r="P111">
            <v>0</v>
          </cell>
          <cell r="Q111">
            <v>0</v>
          </cell>
          <cell r="R111">
            <v>11111</v>
          </cell>
          <cell r="S111">
            <v>0</v>
          </cell>
          <cell r="T111">
            <v>91704</v>
          </cell>
          <cell r="U111">
            <v>0</v>
          </cell>
          <cell r="V111">
            <v>565</v>
          </cell>
          <cell r="W111">
            <v>0</v>
          </cell>
          <cell r="X111">
            <v>0</v>
          </cell>
          <cell r="Y111">
            <v>0</v>
          </cell>
          <cell r="Z111">
            <v>832358</v>
          </cell>
          <cell r="AA111">
            <v>935738</v>
          </cell>
          <cell r="AB111" t="str">
            <v>ERGO</v>
          </cell>
          <cell r="AC111">
            <v>1101</v>
          </cell>
          <cell r="AD111">
            <v>2</v>
          </cell>
          <cell r="AE111">
            <v>111459</v>
          </cell>
        </row>
        <row r="112">
          <cell r="A112" t="str">
            <v>SML</v>
          </cell>
          <cell r="B112">
            <v>0</v>
          </cell>
          <cell r="C112" t="str">
            <v>DRLN</v>
          </cell>
          <cell r="D112">
            <v>5</v>
          </cell>
          <cell r="E112">
            <v>1</v>
          </cell>
          <cell r="F112" t="str">
            <v xml:space="preserve">B </v>
          </cell>
          <cell r="G112">
            <v>12</v>
          </cell>
          <cell r="H112">
            <v>8821</v>
          </cell>
          <cell r="I112">
            <v>534607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4942433</v>
          </cell>
          <cell r="P112">
            <v>0</v>
          </cell>
          <cell r="Q112">
            <v>0</v>
          </cell>
          <cell r="R112">
            <v>48700</v>
          </cell>
          <cell r="S112">
            <v>0</v>
          </cell>
          <cell r="T112">
            <v>54199</v>
          </cell>
          <cell r="U112">
            <v>840644</v>
          </cell>
          <cell r="V112">
            <v>282</v>
          </cell>
          <cell r="W112">
            <v>0</v>
          </cell>
          <cell r="X112">
            <v>0</v>
          </cell>
          <cell r="Y112">
            <v>0</v>
          </cell>
          <cell r="Z112">
            <v>4942433</v>
          </cell>
          <cell r="AA112">
            <v>5045614</v>
          </cell>
          <cell r="AB112" t="str">
            <v>ERGO</v>
          </cell>
          <cell r="AC112">
            <v>1101</v>
          </cell>
          <cell r="AD112">
            <v>2</v>
          </cell>
          <cell r="AE112">
            <v>534607</v>
          </cell>
        </row>
        <row r="113">
          <cell r="A113" t="str">
            <v>SML</v>
          </cell>
          <cell r="B113">
            <v>0</v>
          </cell>
          <cell r="C113" t="str">
            <v>DRLN</v>
          </cell>
          <cell r="D113">
            <v>5</v>
          </cell>
          <cell r="E113">
            <v>1</v>
          </cell>
          <cell r="F113" t="str">
            <v xml:space="preserve">B </v>
          </cell>
          <cell r="G113">
            <v>13</v>
          </cell>
          <cell r="H113">
            <v>862</v>
          </cell>
          <cell r="I113">
            <v>97605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1144025</v>
          </cell>
          <cell r="P113">
            <v>0</v>
          </cell>
          <cell r="Q113">
            <v>0</v>
          </cell>
          <cell r="R113">
            <v>13717</v>
          </cell>
          <cell r="S113">
            <v>0</v>
          </cell>
          <cell r="T113">
            <v>9605</v>
          </cell>
          <cell r="U113">
            <v>199548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1144025</v>
          </cell>
          <cell r="AA113">
            <v>1167347</v>
          </cell>
          <cell r="AB113" t="str">
            <v>ERGO</v>
          </cell>
          <cell r="AC113">
            <v>1101</v>
          </cell>
          <cell r="AD113">
            <v>2</v>
          </cell>
          <cell r="AE113">
            <v>97605</v>
          </cell>
        </row>
        <row r="114">
          <cell r="A114" t="str">
            <v>SML</v>
          </cell>
          <cell r="B114">
            <v>0</v>
          </cell>
          <cell r="C114" t="str">
            <v>DRLN</v>
          </cell>
          <cell r="D114">
            <v>5</v>
          </cell>
          <cell r="E114">
            <v>1</v>
          </cell>
          <cell r="F114" t="str">
            <v xml:space="preserve">B </v>
          </cell>
          <cell r="G114">
            <v>14</v>
          </cell>
          <cell r="H114">
            <v>68</v>
          </cell>
          <cell r="I114">
            <v>10005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127504</v>
          </cell>
          <cell r="P114">
            <v>0</v>
          </cell>
          <cell r="Q114">
            <v>0</v>
          </cell>
          <cell r="R114">
            <v>1417</v>
          </cell>
          <cell r="S114">
            <v>0</v>
          </cell>
          <cell r="T114">
            <v>2159</v>
          </cell>
          <cell r="U114">
            <v>22020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127504</v>
          </cell>
          <cell r="AA114">
            <v>131080</v>
          </cell>
          <cell r="AB114" t="str">
            <v>ERGO</v>
          </cell>
          <cell r="AC114">
            <v>1101</v>
          </cell>
          <cell r="AD114">
            <v>2</v>
          </cell>
          <cell r="AE114">
            <v>10005</v>
          </cell>
        </row>
        <row r="115">
          <cell r="A115" t="str">
            <v>SML</v>
          </cell>
          <cell r="B115">
            <v>0</v>
          </cell>
          <cell r="C115" t="str">
            <v>DRLN</v>
          </cell>
          <cell r="D115">
            <v>5</v>
          </cell>
          <cell r="E115">
            <v>1</v>
          </cell>
          <cell r="F115" t="str">
            <v xml:space="preserve">B </v>
          </cell>
          <cell r="G115">
            <v>15</v>
          </cell>
          <cell r="H115">
            <v>77</v>
          </cell>
          <cell r="I115">
            <v>17224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278356</v>
          </cell>
          <cell r="P115">
            <v>0</v>
          </cell>
          <cell r="Q115">
            <v>0</v>
          </cell>
          <cell r="R115">
            <v>1835</v>
          </cell>
          <cell r="S115">
            <v>0</v>
          </cell>
          <cell r="T115">
            <v>3880</v>
          </cell>
          <cell r="U115">
            <v>55484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278356</v>
          </cell>
          <cell r="AA115">
            <v>284071</v>
          </cell>
          <cell r="AB115" t="str">
            <v>ERGO</v>
          </cell>
          <cell r="AC115">
            <v>1101</v>
          </cell>
          <cell r="AD115">
            <v>2</v>
          </cell>
          <cell r="AE115">
            <v>17224</v>
          </cell>
        </row>
        <row r="116">
          <cell r="A116" t="str">
            <v>SML</v>
          </cell>
          <cell r="B116">
            <v>0</v>
          </cell>
          <cell r="C116" t="str">
            <v>DRLN</v>
          </cell>
          <cell r="D116">
            <v>5</v>
          </cell>
          <cell r="E116">
            <v>2</v>
          </cell>
          <cell r="F116" t="str">
            <v>A3</v>
          </cell>
          <cell r="G116">
            <v>26</v>
          </cell>
          <cell r="H116">
            <v>2</v>
          </cell>
          <cell r="I116">
            <v>6490189</v>
          </cell>
          <cell r="J116">
            <v>439931</v>
          </cell>
          <cell r="K116">
            <v>6050258</v>
          </cell>
          <cell r="L116">
            <v>18944</v>
          </cell>
          <cell r="M116">
            <v>14950</v>
          </cell>
          <cell r="N116">
            <v>9844</v>
          </cell>
          <cell r="O116">
            <v>37324467</v>
          </cell>
          <cell r="P116">
            <v>23816469</v>
          </cell>
          <cell r="Q116">
            <v>245217</v>
          </cell>
          <cell r="R116">
            <v>894188</v>
          </cell>
          <cell r="S116">
            <v>0</v>
          </cell>
          <cell r="T116">
            <v>0</v>
          </cell>
          <cell r="U116">
            <v>15348249</v>
          </cell>
          <cell r="V116">
            <v>0</v>
          </cell>
          <cell r="W116">
            <v>6843</v>
          </cell>
          <cell r="X116">
            <v>0</v>
          </cell>
          <cell r="Y116">
            <v>0</v>
          </cell>
          <cell r="Z116">
            <v>61392996</v>
          </cell>
          <cell r="AA116">
            <v>62287184</v>
          </cell>
          <cell r="AB116" t="str">
            <v>ERGO</v>
          </cell>
          <cell r="AC116">
            <v>1101</v>
          </cell>
          <cell r="AD116">
            <v>2</v>
          </cell>
          <cell r="AE116">
            <v>6490189</v>
          </cell>
        </row>
        <row r="117">
          <cell r="A117" t="str">
            <v>SML</v>
          </cell>
          <cell r="B117">
            <v>0</v>
          </cell>
          <cell r="C117" t="str">
            <v>DRLN</v>
          </cell>
          <cell r="D117">
            <v>5</v>
          </cell>
          <cell r="E117">
            <v>2</v>
          </cell>
          <cell r="F117" t="str">
            <v>A4</v>
          </cell>
          <cell r="G117">
            <v>22</v>
          </cell>
          <cell r="H117">
            <v>2</v>
          </cell>
          <cell r="I117">
            <v>547791</v>
          </cell>
          <cell r="J117">
            <v>3411</v>
          </cell>
          <cell r="K117">
            <v>544380</v>
          </cell>
          <cell r="L117">
            <v>2182</v>
          </cell>
          <cell r="M117">
            <v>2153</v>
          </cell>
          <cell r="N117">
            <v>1254</v>
          </cell>
          <cell r="O117">
            <v>3561573</v>
          </cell>
          <cell r="P117">
            <v>4083621</v>
          </cell>
          <cell r="Q117">
            <v>32476</v>
          </cell>
          <cell r="R117">
            <v>190642</v>
          </cell>
          <cell r="S117">
            <v>0</v>
          </cell>
          <cell r="T117">
            <v>0</v>
          </cell>
          <cell r="U117">
            <v>1976361</v>
          </cell>
          <cell r="V117">
            <v>0</v>
          </cell>
          <cell r="W117">
            <v>227773</v>
          </cell>
          <cell r="X117">
            <v>0</v>
          </cell>
          <cell r="Y117">
            <v>0</v>
          </cell>
          <cell r="Z117">
            <v>7905443</v>
          </cell>
          <cell r="AA117">
            <v>8096085</v>
          </cell>
          <cell r="AB117" t="str">
            <v>ERGO</v>
          </cell>
          <cell r="AC117">
            <v>1101</v>
          </cell>
          <cell r="AD117">
            <v>2</v>
          </cell>
          <cell r="AE117">
            <v>547791</v>
          </cell>
        </row>
        <row r="118">
          <cell r="A118" t="str">
            <v>SML</v>
          </cell>
          <cell r="B118">
            <v>0</v>
          </cell>
          <cell r="C118" t="str">
            <v>DRLN</v>
          </cell>
          <cell r="D118">
            <v>5</v>
          </cell>
          <cell r="E118">
            <v>2</v>
          </cell>
          <cell r="F118" t="str">
            <v>A4</v>
          </cell>
          <cell r="G118">
            <v>21</v>
          </cell>
          <cell r="H118">
            <v>2</v>
          </cell>
          <cell r="I118">
            <v>132757</v>
          </cell>
          <cell r="J118">
            <v>10886</v>
          </cell>
          <cell r="K118">
            <v>121871</v>
          </cell>
          <cell r="L118">
            <v>636</v>
          </cell>
          <cell r="M118">
            <v>600</v>
          </cell>
          <cell r="N118">
            <v>0</v>
          </cell>
          <cell r="O118">
            <v>1456147</v>
          </cell>
          <cell r="P118">
            <v>488944</v>
          </cell>
          <cell r="Q118">
            <v>42105</v>
          </cell>
          <cell r="R118">
            <v>5536</v>
          </cell>
          <cell r="S118">
            <v>0</v>
          </cell>
          <cell r="T118">
            <v>0</v>
          </cell>
          <cell r="U118">
            <v>496799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1987196</v>
          </cell>
          <cell r="AA118">
            <v>1992732</v>
          </cell>
          <cell r="AB118" t="str">
            <v>ERGO</v>
          </cell>
          <cell r="AC118">
            <v>1101</v>
          </cell>
          <cell r="AD118">
            <v>2</v>
          </cell>
          <cell r="AE118">
            <v>132757</v>
          </cell>
        </row>
        <row r="119">
          <cell r="A119" t="str">
            <v>SML</v>
          </cell>
          <cell r="B119">
            <v>0</v>
          </cell>
          <cell r="C119" t="str">
            <v>DRLN</v>
          </cell>
          <cell r="D119">
            <v>5</v>
          </cell>
          <cell r="E119">
            <v>2</v>
          </cell>
          <cell r="F119" t="str">
            <v>A4</v>
          </cell>
          <cell r="G119">
            <v>20</v>
          </cell>
          <cell r="H119">
            <v>7</v>
          </cell>
          <cell r="I119">
            <v>110648</v>
          </cell>
          <cell r="J119">
            <v>0</v>
          </cell>
          <cell r="K119">
            <v>0</v>
          </cell>
          <cell r="L119">
            <v>525</v>
          </cell>
          <cell r="M119">
            <v>0</v>
          </cell>
          <cell r="N119">
            <v>0</v>
          </cell>
          <cell r="O119">
            <v>1269651</v>
          </cell>
          <cell r="P119">
            <v>410900</v>
          </cell>
          <cell r="Q119">
            <v>235220</v>
          </cell>
          <cell r="R119">
            <v>10793</v>
          </cell>
          <cell r="S119">
            <v>0</v>
          </cell>
          <cell r="T119">
            <v>0</v>
          </cell>
          <cell r="U119">
            <v>498120</v>
          </cell>
          <cell r="V119">
            <v>0</v>
          </cell>
          <cell r="W119">
            <v>76702</v>
          </cell>
          <cell r="X119">
            <v>0</v>
          </cell>
          <cell r="Y119">
            <v>0</v>
          </cell>
          <cell r="Z119">
            <v>1992473</v>
          </cell>
          <cell r="AA119">
            <v>2003266</v>
          </cell>
          <cell r="AB119" t="str">
            <v>ERGO</v>
          </cell>
          <cell r="AC119">
            <v>1101</v>
          </cell>
          <cell r="AD119">
            <v>2</v>
          </cell>
          <cell r="AE119">
            <v>110648</v>
          </cell>
        </row>
        <row r="120">
          <cell r="A120" t="str">
            <v>SML</v>
          </cell>
          <cell r="B120">
            <v>0</v>
          </cell>
          <cell r="C120" t="str">
            <v>DRLN</v>
          </cell>
          <cell r="D120">
            <v>5</v>
          </cell>
          <cell r="E120">
            <v>2</v>
          </cell>
          <cell r="F120" t="str">
            <v xml:space="preserve">B </v>
          </cell>
          <cell r="G120">
            <v>0</v>
          </cell>
          <cell r="H120">
            <v>193</v>
          </cell>
          <cell r="I120">
            <v>105150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2176322</v>
          </cell>
          <cell r="P120">
            <v>0</v>
          </cell>
          <cell r="Q120">
            <v>40325</v>
          </cell>
          <cell r="R120">
            <v>41037</v>
          </cell>
          <cell r="S120">
            <v>0</v>
          </cell>
          <cell r="T120">
            <v>196964</v>
          </cell>
          <cell r="U120">
            <v>535236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2216647</v>
          </cell>
          <cell r="AA120">
            <v>2454648</v>
          </cell>
          <cell r="AB120" t="str">
            <v>ERGO</v>
          </cell>
          <cell r="AC120">
            <v>1101</v>
          </cell>
          <cell r="AD120">
            <v>2</v>
          </cell>
          <cell r="AE120">
            <v>103491</v>
          </cell>
        </row>
        <row r="121">
          <cell r="A121" t="str">
            <v>SML</v>
          </cell>
          <cell r="B121">
            <v>0</v>
          </cell>
          <cell r="C121" t="str">
            <v>DRLN</v>
          </cell>
          <cell r="D121">
            <v>5</v>
          </cell>
          <cell r="E121">
            <v>3</v>
          </cell>
          <cell r="F121" t="str">
            <v>A4</v>
          </cell>
          <cell r="G121">
            <v>20</v>
          </cell>
          <cell r="H121">
            <v>6</v>
          </cell>
          <cell r="I121">
            <v>45899</v>
          </cell>
          <cell r="J121">
            <v>0</v>
          </cell>
          <cell r="K121">
            <v>0</v>
          </cell>
          <cell r="L121">
            <v>177</v>
          </cell>
          <cell r="M121">
            <v>0</v>
          </cell>
          <cell r="N121">
            <v>0</v>
          </cell>
          <cell r="O121">
            <v>526677</v>
          </cell>
          <cell r="P121">
            <v>138532</v>
          </cell>
          <cell r="Q121">
            <v>18577</v>
          </cell>
          <cell r="R121">
            <v>0</v>
          </cell>
          <cell r="S121">
            <v>0</v>
          </cell>
          <cell r="T121">
            <v>0</v>
          </cell>
          <cell r="U121">
            <v>171730</v>
          </cell>
          <cell r="V121">
            <v>0</v>
          </cell>
          <cell r="W121">
            <v>3131</v>
          </cell>
          <cell r="X121">
            <v>0</v>
          </cell>
          <cell r="Y121">
            <v>0</v>
          </cell>
          <cell r="Z121">
            <v>686917</v>
          </cell>
          <cell r="AA121">
            <v>686917</v>
          </cell>
          <cell r="AB121" t="str">
            <v>ERGO</v>
          </cell>
          <cell r="AC121">
            <v>1101</v>
          </cell>
          <cell r="AD121">
            <v>2</v>
          </cell>
          <cell r="AE121">
            <v>45899</v>
          </cell>
        </row>
        <row r="122">
          <cell r="A122" t="str">
            <v>SML</v>
          </cell>
          <cell r="B122">
            <v>0</v>
          </cell>
          <cell r="C122" t="str">
            <v>DRLN</v>
          </cell>
          <cell r="D122">
            <v>5</v>
          </cell>
          <cell r="E122">
            <v>3</v>
          </cell>
          <cell r="F122" t="str">
            <v xml:space="preserve">B </v>
          </cell>
          <cell r="G122">
            <v>0</v>
          </cell>
          <cell r="H122">
            <v>2940</v>
          </cell>
          <cell r="I122">
            <v>585915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12257069</v>
          </cell>
          <cell r="P122">
            <v>0</v>
          </cell>
          <cell r="Q122">
            <v>117540</v>
          </cell>
          <cell r="R122">
            <v>155617</v>
          </cell>
          <cell r="S122">
            <v>0</v>
          </cell>
          <cell r="T122">
            <v>544586</v>
          </cell>
          <cell r="U122">
            <v>3020453</v>
          </cell>
          <cell r="V122">
            <v>94</v>
          </cell>
          <cell r="W122">
            <v>0</v>
          </cell>
          <cell r="X122">
            <v>0</v>
          </cell>
          <cell r="Y122">
            <v>0</v>
          </cell>
          <cell r="Z122">
            <v>12374609</v>
          </cell>
          <cell r="AA122">
            <v>13074906</v>
          </cell>
          <cell r="AB122" t="str">
            <v>ERGO</v>
          </cell>
          <cell r="AC122">
            <v>1101</v>
          </cell>
          <cell r="AD122">
            <v>2</v>
          </cell>
          <cell r="AE122">
            <v>566668</v>
          </cell>
        </row>
        <row r="123">
          <cell r="A123" t="str">
            <v>SML</v>
          </cell>
          <cell r="B123">
            <v>0</v>
          </cell>
          <cell r="C123" t="str">
            <v>DRLN</v>
          </cell>
          <cell r="D123">
            <v>5</v>
          </cell>
          <cell r="E123">
            <v>4</v>
          </cell>
          <cell r="F123" t="str">
            <v>A4</v>
          </cell>
          <cell r="G123">
            <v>21</v>
          </cell>
          <cell r="H123">
            <v>2</v>
          </cell>
          <cell r="I123">
            <v>466974</v>
          </cell>
          <cell r="J123">
            <v>32340</v>
          </cell>
          <cell r="K123">
            <v>434634</v>
          </cell>
          <cell r="L123">
            <v>1487</v>
          </cell>
          <cell r="M123">
            <v>1455</v>
          </cell>
          <cell r="N123">
            <v>0</v>
          </cell>
          <cell r="O123">
            <v>3236019</v>
          </cell>
          <cell r="P123">
            <v>727726</v>
          </cell>
          <cell r="Q123">
            <v>6326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7922</v>
          </cell>
          <cell r="X123">
            <v>0</v>
          </cell>
          <cell r="Y123">
            <v>0</v>
          </cell>
          <cell r="Z123">
            <v>3977993</v>
          </cell>
          <cell r="AA123">
            <v>3977993</v>
          </cell>
          <cell r="AB123" t="str">
            <v>ERGO</v>
          </cell>
          <cell r="AC123">
            <v>1101</v>
          </cell>
          <cell r="AD123">
            <v>2</v>
          </cell>
          <cell r="AE123">
            <v>466974</v>
          </cell>
        </row>
        <row r="124">
          <cell r="A124" t="str">
            <v>SML</v>
          </cell>
          <cell r="B124">
            <v>0</v>
          </cell>
          <cell r="C124" t="str">
            <v>DRLN</v>
          </cell>
          <cell r="D124">
            <v>5</v>
          </cell>
          <cell r="E124">
            <v>4</v>
          </cell>
          <cell r="F124" t="str">
            <v>A4</v>
          </cell>
          <cell r="G124">
            <v>20</v>
          </cell>
          <cell r="H124">
            <v>12</v>
          </cell>
          <cell r="I124">
            <v>169983</v>
          </cell>
          <cell r="J124">
            <v>0</v>
          </cell>
          <cell r="K124">
            <v>0</v>
          </cell>
          <cell r="L124">
            <v>1115</v>
          </cell>
          <cell r="M124">
            <v>0</v>
          </cell>
          <cell r="N124">
            <v>0</v>
          </cell>
          <cell r="O124">
            <v>1316519</v>
          </cell>
          <cell r="P124">
            <v>588720</v>
          </cell>
          <cell r="Q124">
            <v>140905</v>
          </cell>
          <cell r="R124">
            <v>3399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39600</v>
          </cell>
          <cell r="X124">
            <v>0</v>
          </cell>
          <cell r="Y124">
            <v>0</v>
          </cell>
          <cell r="Z124">
            <v>2085744</v>
          </cell>
          <cell r="AA124">
            <v>2089143</v>
          </cell>
          <cell r="AB124" t="str">
            <v>ERGO</v>
          </cell>
          <cell r="AC124">
            <v>1101</v>
          </cell>
          <cell r="AD124">
            <v>2</v>
          </cell>
          <cell r="AE124">
            <v>169983</v>
          </cell>
        </row>
        <row r="125">
          <cell r="A125" t="str">
            <v>SML</v>
          </cell>
          <cell r="B125">
            <v>0</v>
          </cell>
          <cell r="C125" t="str">
            <v>DRLN</v>
          </cell>
          <cell r="D125">
            <v>5</v>
          </cell>
          <cell r="E125">
            <v>4</v>
          </cell>
          <cell r="F125" t="str">
            <v xml:space="preserve">B </v>
          </cell>
          <cell r="G125">
            <v>0</v>
          </cell>
          <cell r="H125">
            <v>289</v>
          </cell>
          <cell r="I125">
            <v>169420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1585262</v>
          </cell>
          <cell r="P125">
            <v>0</v>
          </cell>
          <cell r="Q125">
            <v>0</v>
          </cell>
          <cell r="R125">
            <v>187</v>
          </cell>
          <cell r="S125">
            <v>0</v>
          </cell>
          <cell r="T125">
            <v>89384</v>
          </cell>
          <cell r="U125">
            <v>29889</v>
          </cell>
          <cell r="V125">
            <v>7634</v>
          </cell>
          <cell r="W125">
            <v>0</v>
          </cell>
          <cell r="X125">
            <v>0</v>
          </cell>
          <cell r="Y125">
            <v>0</v>
          </cell>
          <cell r="Z125">
            <v>1585262</v>
          </cell>
          <cell r="AA125">
            <v>1682467</v>
          </cell>
          <cell r="AB125" t="str">
            <v>ERGO</v>
          </cell>
          <cell r="AC125">
            <v>1101</v>
          </cell>
          <cell r="AD125">
            <v>2</v>
          </cell>
          <cell r="AE125">
            <v>167529</v>
          </cell>
        </row>
        <row r="126">
          <cell r="A126" t="str">
            <v>SML</v>
          </cell>
          <cell r="B126">
            <v>0</v>
          </cell>
          <cell r="C126" t="str">
            <v>DRLN</v>
          </cell>
          <cell r="D126">
            <v>5</v>
          </cell>
          <cell r="E126">
            <v>5</v>
          </cell>
          <cell r="F126" t="str">
            <v>A4</v>
          </cell>
          <cell r="G126">
            <v>20</v>
          </cell>
          <cell r="H126">
            <v>5</v>
          </cell>
          <cell r="I126">
            <v>74169</v>
          </cell>
          <cell r="J126">
            <v>0</v>
          </cell>
          <cell r="K126">
            <v>0</v>
          </cell>
          <cell r="L126">
            <v>275</v>
          </cell>
          <cell r="M126">
            <v>0</v>
          </cell>
          <cell r="N126">
            <v>0</v>
          </cell>
          <cell r="O126">
            <v>806314</v>
          </cell>
          <cell r="P126">
            <v>204472</v>
          </cell>
          <cell r="Q126">
            <v>35434</v>
          </cell>
          <cell r="R126">
            <v>10101</v>
          </cell>
          <cell r="S126">
            <v>0</v>
          </cell>
          <cell r="T126">
            <v>0</v>
          </cell>
          <cell r="U126">
            <v>221423</v>
          </cell>
          <cell r="V126">
            <v>0</v>
          </cell>
          <cell r="W126">
            <v>7044</v>
          </cell>
          <cell r="X126">
            <v>0</v>
          </cell>
          <cell r="Y126">
            <v>0</v>
          </cell>
          <cell r="Z126">
            <v>1053264</v>
          </cell>
          <cell r="AA126">
            <v>1063365</v>
          </cell>
          <cell r="AB126" t="str">
            <v>ERGO</v>
          </cell>
          <cell r="AC126">
            <v>1101</v>
          </cell>
          <cell r="AD126">
            <v>2</v>
          </cell>
          <cell r="AE126">
            <v>74169</v>
          </cell>
        </row>
        <row r="127">
          <cell r="A127" t="str">
            <v>SML</v>
          </cell>
          <cell r="B127">
            <v>0</v>
          </cell>
          <cell r="C127" t="str">
            <v>DRLN</v>
          </cell>
          <cell r="D127">
            <v>5</v>
          </cell>
          <cell r="E127">
            <v>5</v>
          </cell>
          <cell r="F127" t="str">
            <v xml:space="preserve">B </v>
          </cell>
          <cell r="G127">
            <v>0</v>
          </cell>
          <cell r="H127">
            <v>364</v>
          </cell>
          <cell r="I127">
            <v>352934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7155489</v>
          </cell>
          <cell r="P127">
            <v>0</v>
          </cell>
          <cell r="Q127">
            <v>0</v>
          </cell>
          <cell r="R127">
            <v>68199</v>
          </cell>
          <cell r="S127">
            <v>0</v>
          </cell>
          <cell r="T127">
            <v>295</v>
          </cell>
          <cell r="U127">
            <v>1644811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7155489</v>
          </cell>
          <cell r="AA127">
            <v>7223983</v>
          </cell>
          <cell r="AB127" t="str">
            <v>ERGO</v>
          </cell>
          <cell r="AC127">
            <v>1101</v>
          </cell>
          <cell r="AD127">
            <v>2</v>
          </cell>
          <cell r="AE127">
            <v>351047</v>
          </cell>
        </row>
        <row r="128">
          <cell r="A128" t="str">
            <v>SML</v>
          </cell>
          <cell r="B128">
            <v>0</v>
          </cell>
          <cell r="C128" t="str">
            <v>DRLN</v>
          </cell>
          <cell r="D128">
            <v>5</v>
          </cell>
          <cell r="E128">
            <v>6</v>
          </cell>
          <cell r="F128" t="str">
            <v xml:space="preserve">B </v>
          </cell>
          <cell r="G128">
            <v>0</v>
          </cell>
          <cell r="H128">
            <v>25</v>
          </cell>
          <cell r="I128">
            <v>435967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5112584</v>
          </cell>
          <cell r="P128">
            <v>0</v>
          </cell>
          <cell r="Q128">
            <v>0</v>
          </cell>
          <cell r="R128">
            <v>48863</v>
          </cell>
          <cell r="S128">
            <v>0</v>
          </cell>
          <cell r="T128">
            <v>0</v>
          </cell>
          <cell r="U128">
            <v>1262995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5112584</v>
          </cell>
          <cell r="AA128">
            <v>5161447</v>
          </cell>
          <cell r="AB128" t="str">
            <v>ERGO</v>
          </cell>
          <cell r="AC128">
            <v>1101</v>
          </cell>
          <cell r="AD128">
            <v>2</v>
          </cell>
          <cell r="AE128">
            <v>435967</v>
          </cell>
        </row>
        <row r="129">
          <cell r="A129" t="str">
            <v>SML</v>
          </cell>
          <cell r="B129">
            <v>0</v>
          </cell>
          <cell r="C129" t="str">
            <v>DRLN</v>
          </cell>
          <cell r="D129">
            <v>5</v>
          </cell>
          <cell r="E129">
            <v>7</v>
          </cell>
          <cell r="F129" t="str">
            <v>A4</v>
          </cell>
          <cell r="G129">
            <v>22</v>
          </cell>
          <cell r="H129">
            <v>2</v>
          </cell>
          <cell r="I129">
            <v>632391</v>
          </cell>
          <cell r="J129">
            <v>52812</v>
          </cell>
          <cell r="K129">
            <v>579579</v>
          </cell>
          <cell r="L129">
            <v>1967</v>
          </cell>
          <cell r="M129">
            <v>940</v>
          </cell>
          <cell r="N129">
            <v>939</v>
          </cell>
          <cell r="O129">
            <v>3790390</v>
          </cell>
          <cell r="P129">
            <v>2386326</v>
          </cell>
          <cell r="Q129">
            <v>151097</v>
          </cell>
          <cell r="R129">
            <v>0</v>
          </cell>
          <cell r="S129">
            <v>0</v>
          </cell>
          <cell r="T129">
            <v>0</v>
          </cell>
          <cell r="U129">
            <v>1581954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6327813</v>
          </cell>
          <cell r="AA129">
            <v>6327813</v>
          </cell>
          <cell r="AB129" t="str">
            <v>ERGO</v>
          </cell>
          <cell r="AC129">
            <v>1101</v>
          </cell>
          <cell r="AD129">
            <v>2</v>
          </cell>
          <cell r="AE129">
            <v>632391</v>
          </cell>
        </row>
        <row r="130">
          <cell r="A130" t="str">
            <v>SML</v>
          </cell>
          <cell r="B130">
            <v>0</v>
          </cell>
          <cell r="C130" t="str">
            <v>DRLN</v>
          </cell>
          <cell r="D130">
            <v>5</v>
          </cell>
          <cell r="E130">
            <v>7</v>
          </cell>
          <cell r="F130" t="str">
            <v>A4</v>
          </cell>
          <cell r="G130">
            <v>20</v>
          </cell>
          <cell r="H130">
            <v>11</v>
          </cell>
          <cell r="I130">
            <v>238446</v>
          </cell>
          <cell r="J130">
            <v>0</v>
          </cell>
          <cell r="K130">
            <v>0</v>
          </cell>
          <cell r="L130">
            <v>538</v>
          </cell>
          <cell r="M130">
            <v>0</v>
          </cell>
          <cell r="N130">
            <v>0</v>
          </cell>
          <cell r="O130">
            <v>2313045</v>
          </cell>
          <cell r="P130">
            <v>354784</v>
          </cell>
          <cell r="Q130">
            <v>226085</v>
          </cell>
          <cell r="R130">
            <v>0</v>
          </cell>
          <cell r="S130">
            <v>0</v>
          </cell>
          <cell r="T130">
            <v>0</v>
          </cell>
          <cell r="U130">
            <v>722402</v>
          </cell>
          <cell r="V130">
            <v>0</v>
          </cell>
          <cell r="W130">
            <v>41791</v>
          </cell>
          <cell r="X130">
            <v>0</v>
          </cell>
          <cell r="Y130">
            <v>0</v>
          </cell>
          <cell r="Z130">
            <v>2935705</v>
          </cell>
          <cell r="AA130">
            <v>2935705</v>
          </cell>
          <cell r="AB130" t="str">
            <v>ERGO</v>
          </cell>
          <cell r="AC130">
            <v>1101</v>
          </cell>
          <cell r="AD130">
            <v>2</v>
          </cell>
          <cell r="AE130">
            <v>238446</v>
          </cell>
        </row>
        <row r="131">
          <cell r="A131" t="str">
            <v>SML</v>
          </cell>
          <cell r="B131">
            <v>0</v>
          </cell>
          <cell r="C131" t="str">
            <v>DRLN</v>
          </cell>
          <cell r="D131">
            <v>5</v>
          </cell>
          <cell r="E131">
            <v>7</v>
          </cell>
          <cell r="F131" t="str">
            <v xml:space="preserve">B </v>
          </cell>
          <cell r="G131">
            <v>0</v>
          </cell>
          <cell r="H131">
            <v>8</v>
          </cell>
          <cell r="I131">
            <v>13412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237322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59331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237322</v>
          </cell>
          <cell r="AA131">
            <v>237322</v>
          </cell>
          <cell r="AB131" t="str">
            <v>ERGO</v>
          </cell>
          <cell r="AC131">
            <v>1101</v>
          </cell>
          <cell r="AD131">
            <v>2</v>
          </cell>
          <cell r="AE131">
            <v>13383</v>
          </cell>
        </row>
        <row r="132">
          <cell r="A132" t="str">
            <v>SML</v>
          </cell>
          <cell r="B132">
            <v>0</v>
          </cell>
          <cell r="C132" t="str">
            <v>DRLN</v>
          </cell>
          <cell r="D132">
            <v>5</v>
          </cell>
          <cell r="E132">
            <v>8</v>
          </cell>
          <cell r="F132" t="str">
            <v xml:space="preserve">B </v>
          </cell>
          <cell r="G132">
            <v>0</v>
          </cell>
          <cell r="H132">
            <v>11</v>
          </cell>
          <cell r="I132">
            <v>12220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254400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63600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254400</v>
          </cell>
          <cell r="AA132">
            <v>254400</v>
          </cell>
          <cell r="AB132" t="str">
            <v>ERGO</v>
          </cell>
          <cell r="AC132">
            <v>1101</v>
          </cell>
          <cell r="AD132">
            <v>2</v>
          </cell>
          <cell r="AE132">
            <v>12100</v>
          </cell>
        </row>
        <row r="133">
          <cell r="A133" t="str">
            <v>SML</v>
          </cell>
          <cell r="B133">
            <v>0</v>
          </cell>
          <cell r="C133" t="str">
            <v>DRLN</v>
          </cell>
          <cell r="D133">
            <v>5</v>
          </cell>
          <cell r="E133">
            <v>90</v>
          </cell>
          <cell r="F133" t="str">
            <v>A4</v>
          </cell>
          <cell r="G133">
            <v>20</v>
          </cell>
          <cell r="H133">
            <v>1</v>
          </cell>
          <cell r="I133">
            <v>844800</v>
          </cell>
          <cell r="J133">
            <v>0</v>
          </cell>
          <cell r="K133">
            <v>0</v>
          </cell>
          <cell r="L133">
            <v>3472</v>
          </cell>
          <cell r="M133">
            <v>0</v>
          </cell>
          <cell r="N133">
            <v>0</v>
          </cell>
          <cell r="O133">
            <v>2243789</v>
          </cell>
          <cell r="P133">
            <v>2982448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5226237</v>
          </cell>
          <cell r="AA133">
            <v>5226237</v>
          </cell>
          <cell r="AB133" t="str">
            <v>ERGO</v>
          </cell>
          <cell r="AC133">
            <v>1101</v>
          </cell>
          <cell r="AD133">
            <v>2</v>
          </cell>
          <cell r="AE133">
            <v>844800</v>
          </cell>
        </row>
        <row r="134">
          <cell r="A134" t="str">
            <v>SML</v>
          </cell>
          <cell r="B134">
            <v>0</v>
          </cell>
          <cell r="C134" t="str">
            <v>DRLN</v>
          </cell>
          <cell r="D134">
            <v>6</v>
          </cell>
          <cell r="E134">
            <v>1</v>
          </cell>
          <cell r="F134" t="str">
            <v>A4</v>
          </cell>
          <cell r="G134">
            <v>20</v>
          </cell>
          <cell r="H134">
            <v>8</v>
          </cell>
          <cell r="I134">
            <v>29674</v>
          </cell>
          <cell r="J134">
            <v>0</v>
          </cell>
          <cell r="K134">
            <v>0</v>
          </cell>
          <cell r="L134">
            <v>165</v>
          </cell>
          <cell r="M134">
            <v>0</v>
          </cell>
          <cell r="N134">
            <v>0</v>
          </cell>
          <cell r="O134">
            <v>340501</v>
          </cell>
          <cell r="P134">
            <v>129140</v>
          </cell>
          <cell r="Q134">
            <v>9892</v>
          </cell>
          <cell r="R134">
            <v>1302</v>
          </cell>
          <cell r="S134">
            <v>0</v>
          </cell>
          <cell r="T134">
            <v>0</v>
          </cell>
          <cell r="U134">
            <v>118204</v>
          </cell>
          <cell r="V134">
            <v>0</v>
          </cell>
          <cell r="W134">
            <v>3132</v>
          </cell>
          <cell r="X134">
            <v>0</v>
          </cell>
          <cell r="Y134">
            <v>14274</v>
          </cell>
          <cell r="Z134">
            <v>482665</v>
          </cell>
          <cell r="AA134">
            <v>498241</v>
          </cell>
          <cell r="AB134" t="str">
            <v>ERSL</v>
          </cell>
          <cell r="AC134">
            <v>1101</v>
          </cell>
          <cell r="AD134">
            <v>2</v>
          </cell>
          <cell r="AE134">
            <v>29674</v>
          </cell>
        </row>
        <row r="135">
          <cell r="A135" t="str">
            <v>SML</v>
          </cell>
          <cell r="B135">
            <v>0</v>
          </cell>
          <cell r="C135" t="str">
            <v>DRLN</v>
          </cell>
          <cell r="D135">
            <v>6</v>
          </cell>
          <cell r="E135">
            <v>1</v>
          </cell>
          <cell r="F135" t="str">
            <v xml:space="preserve">B </v>
          </cell>
          <cell r="G135">
            <v>1</v>
          </cell>
          <cell r="H135">
            <v>5340</v>
          </cell>
          <cell r="I135">
            <v>126559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2042606</v>
          </cell>
          <cell r="P135">
            <v>0</v>
          </cell>
          <cell r="Q135">
            <v>0</v>
          </cell>
          <cell r="R135">
            <v>46015</v>
          </cell>
          <cell r="S135">
            <v>0</v>
          </cell>
          <cell r="T135">
            <v>1609997</v>
          </cell>
          <cell r="U135">
            <v>330</v>
          </cell>
          <cell r="V135">
            <v>0</v>
          </cell>
          <cell r="W135">
            <v>0</v>
          </cell>
          <cell r="X135">
            <v>0</v>
          </cell>
          <cell r="Y135">
            <v>116428</v>
          </cell>
          <cell r="Z135">
            <v>2042606</v>
          </cell>
          <cell r="AA135">
            <v>3815046</v>
          </cell>
          <cell r="AB135" t="str">
            <v>ERSL</v>
          </cell>
          <cell r="AC135">
            <v>1101</v>
          </cell>
          <cell r="AD135">
            <v>2</v>
          </cell>
          <cell r="AE135">
            <v>79906</v>
          </cell>
        </row>
        <row r="136">
          <cell r="A136" t="str">
            <v>SML</v>
          </cell>
          <cell r="B136">
            <v>0</v>
          </cell>
          <cell r="C136" t="str">
            <v>DRLN</v>
          </cell>
          <cell r="D136">
            <v>6</v>
          </cell>
          <cell r="E136">
            <v>1</v>
          </cell>
          <cell r="F136" t="str">
            <v xml:space="preserve">B </v>
          </cell>
          <cell r="G136">
            <v>2</v>
          </cell>
          <cell r="H136">
            <v>3353</v>
          </cell>
          <cell r="I136">
            <v>136995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2657045</v>
          </cell>
          <cell r="P136">
            <v>0</v>
          </cell>
          <cell r="Q136">
            <v>0</v>
          </cell>
          <cell r="R136">
            <v>30379</v>
          </cell>
          <cell r="S136">
            <v>0</v>
          </cell>
          <cell r="T136">
            <v>148009</v>
          </cell>
          <cell r="U136">
            <v>451579</v>
          </cell>
          <cell r="V136">
            <v>378</v>
          </cell>
          <cell r="W136">
            <v>0</v>
          </cell>
          <cell r="X136">
            <v>0</v>
          </cell>
          <cell r="Y136">
            <v>219533</v>
          </cell>
          <cell r="Z136">
            <v>2657045</v>
          </cell>
          <cell r="AA136">
            <v>3055344</v>
          </cell>
          <cell r="AB136" t="str">
            <v>ERSL</v>
          </cell>
          <cell r="AC136">
            <v>1101</v>
          </cell>
          <cell r="AD136">
            <v>2</v>
          </cell>
          <cell r="AE136">
            <v>136995</v>
          </cell>
        </row>
        <row r="137">
          <cell r="A137" t="str">
            <v>SML</v>
          </cell>
          <cell r="B137">
            <v>0</v>
          </cell>
          <cell r="C137" t="str">
            <v>DRLN</v>
          </cell>
          <cell r="D137">
            <v>6</v>
          </cell>
          <cell r="E137">
            <v>1</v>
          </cell>
          <cell r="F137" t="str">
            <v xml:space="preserve">B </v>
          </cell>
          <cell r="G137">
            <v>3</v>
          </cell>
          <cell r="H137">
            <v>13186</v>
          </cell>
          <cell r="I137">
            <v>1019061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19763317</v>
          </cell>
          <cell r="P137">
            <v>0</v>
          </cell>
          <cell r="Q137">
            <v>0</v>
          </cell>
          <cell r="R137">
            <v>164510</v>
          </cell>
          <cell r="S137">
            <v>0</v>
          </cell>
          <cell r="T137">
            <v>656045</v>
          </cell>
          <cell r="U137">
            <v>3359841</v>
          </cell>
          <cell r="V137">
            <v>472</v>
          </cell>
          <cell r="W137">
            <v>0</v>
          </cell>
          <cell r="X137">
            <v>0</v>
          </cell>
          <cell r="Y137">
            <v>1774496</v>
          </cell>
          <cell r="Z137">
            <v>19763317</v>
          </cell>
          <cell r="AA137">
            <v>22358840</v>
          </cell>
          <cell r="AB137" t="str">
            <v>ERSL</v>
          </cell>
          <cell r="AC137">
            <v>1101</v>
          </cell>
          <cell r="AD137">
            <v>2</v>
          </cell>
          <cell r="AE137">
            <v>1012456</v>
          </cell>
        </row>
        <row r="138">
          <cell r="A138" t="str">
            <v>SML</v>
          </cell>
          <cell r="B138">
            <v>0</v>
          </cell>
          <cell r="C138" t="str">
            <v>DRLN</v>
          </cell>
          <cell r="D138">
            <v>6</v>
          </cell>
          <cell r="E138">
            <v>1</v>
          </cell>
          <cell r="F138" t="str">
            <v xml:space="preserve">B </v>
          </cell>
          <cell r="G138">
            <v>4</v>
          </cell>
          <cell r="H138">
            <v>7780</v>
          </cell>
          <cell r="I138">
            <v>944317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18316770</v>
          </cell>
          <cell r="P138">
            <v>0</v>
          </cell>
          <cell r="Q138">
            <v>0</v>
          </cell>
          <cell r="R138">
            <v>187504</v>
          </cell>
          <cell r="S138">
            <v>0</v>
          </cell>
          <cell r="T138">
            <v>538499</v>
          </cell>
          <cell r="U138">
            <v>3113867</v>
          </cell>
          <cell r="V138">
            <v>377</v>
          </cell>
          <cell r="W138">
            <v>0</v>
          </cell>
          <cell r="X138">
            <v>0</v>
          </cell>
          <cell r="Y138">
            <v>1930354</v>
          </cell>
          <cell r="Z138">
            <v>18316770</v>
          </cell>
          <cell r="AA138">
            <v>20973504</v>
          </cell>
          <cell r="AB138" t="str">
            <v>ERSL</v>
          </cell>
          <cell r="AC138">
            <v>1101</v>
          </cell>
          <cell r="AD138">
            <v>2</v>
          </cell>
          <cell r="AE138">
            <v>944317</v>
          </cell>
        </row>
        <row r="139">
          <cell r="A139" t="str">
            <v>SML</v>
          </cell>
          <cell r="B139">
            <v>0</v>
          </cell>
          <cell r="C139" t="str">
            <v>DRLN</v>
          </cell>
          <cell r="D139">
            <v>6</v>
          </cell>
          <cell r="E139">
            <v>1</v>
          </cell>
          <cell r="F139" t="str">
            <v xml:space="preserve">B </v>
          </cell>
          <cell r="G139">
            <v>5</v>
          </cell>
          <cell r="H139">
            <v>2980</v>
          </cell>
          <cell r="I139">
            <v>513981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9968849</v>
          </cell>
          <cell r="P139">
            <v>0</v>
          </cell>
          <cell r="Q139">
            <v>0</v>
          </cell>
          <cell r="R139">
            <v>108155</v>
          </cell>
          <cell r="S139">
            <v>0</v>
          </cell>
          <cell r="T139">
            <v>248578</v>
          </cell>
          <cell r="U139">
            <v>1694739</v>
          </cell>
          <cell r="V139">
            <v>189</v>
          </cell>
          <cell r="W139">
            <v>0</v>
          </cell>
          <cell r="X139">
            <v>0</v>
          </cell>
          <cell r="Y139">
            <v>1277888</v>
          </cell>
          <cell r="Z139">
            <v>9968849</v>
          </cell>
          <cell r="AA139">
            <v>11603659</v>
          </cell>
          <cell r="AB139" t="str">
            <v>ERSL</v>
          </cell>
          <cell r="AC139">
            <v>1101</v>
          </cell>
          <cell r="AD139">
            <v>2</v>
          </cell>
          <cell r="AE139">
            <v>513981</v>
          </cell>
        </row>
        <row r="140">
          <cell r="A140" t="str">
            <v>SML</v>
          </cell>
          <cell r="B140">
            <v>0</v>
          </cell>
          <cell r="C140" t="str">
            <v>DRLN</v>
          </cell>
          <cell r="D140">
            <v>6</v>
          </cell>
          <cell r="E140">
            <v>1</v>
          </cell>
          <cell r="F140" t="str">
            <v xml:space="preserve">B </v>
          </cell>
          <cell r="G140">
            <v>6</v>
          </cell>
          <cell r="H140">
            <v>1986</v>
          </cell>
          <cell r="I140">
            <v>469367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9103973</v>
          </cell>
          <cell r="P140">
            <v>0</v>
          </cell>
          <cell r="Q140">
            <v>0</v>
          </cell>
          <cell r="R140">
            <v>97233</v>
          </cell>
          <cell r="S140">
            <v>0</v>
          </cell>
          <cell r="T140">
            <v>256820</v>
          </cell>
          <cell r="U140">
            <v>1548241</v>
          </cell>
          <cell r="V140">
            <v>189</v>
          </cell>
          <cell r="W140">
            <v>0</v>
          </cell>
          <cell r="X140">
            <v>0</v>
          </cell>
          <cell r="Y140">
            <v>824383</v>
          </cell>
          <cell r="Z140">
            <v>9103973</v>
          </cell>
          <cell r="AA140">
            <v>10282598</v>
          </cell>
          <cell r="AB140" t="str">
            <v>ERSL</v>
          </cell>
          <cell r="AC140">
            <v>1101</v>
          </cell>
          <cell r="AD140">
            <v>2</v>
          </cell>
          <cell r="AE140">
            <v>469367</v>
          </cell>
        </row>
        <row r="141">
          <cell r="A141" t="str">
            <v>SML</v>
          </cell>
          <cell r="B141">
            <v>0</v>
          </cell>
          <cell r="C141" t="str">
            <v>DRLN</v>
          </cell>
          <cell r="D141">
            <v>6</v>
          </cell>
          <cell r="E141">
            <v>1</v>
          </cell>
          <cell r="F141" t="str">
            <v xml:space="preserve">B </v>
          </cell>
          <cell r="G141">
            <v>7</v>
          </cell>
          <cell r="H141">
            <v>569</v>
          </cell>
          <cell r="I141">
            <v>189526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3813096</v>
          </cell>
          <cell r="P141">
            <v>0</v>
          </cell>
          <cell r="Q141">
            <v>0</v>
          </cell>
          <cell r="R141">
            <v>36748</v>
          </cell>
          <cell r="S141">
            <v>0</v>
          </cell>
          <cell r="T141">
            <v>96040</v>
          </cell>
          <cell r="U141">
            <v>762858</v>
          </cell>
          <cell r="V141">
            <v>283</v>
          </cell>
          <cell r="W141">
            <v>0</v>
          </cell>
          <cell r="X141">
            <v>0</v>
          </cell>
          <cell r="Y141">
            <v>395594</v>
          </cell>
          <cell r="Z141">
            <v>3813096</v>
          </cell>
          <cell r="AA141">
            <v>4341761</v>
          </cell>
          <cell r="AB141" t="str">
            <v>ERSL</v>
          </cell>
          <cell r="AC141">
            <v>1101</v>
          </cell>
          <cell r="AD141">
            <v>2</v>
          </cell>
          <cell r="AE141">
            <v>189526</v>
          </cell>
        </row>
        <row r="142">
          <cell r="A142" t="str">
            <v>SML</v>
          </cell>
          <cell r="B142">
            <v>0</v>
          </cell>
          <cell r="C142" t="str">
            <v>DRLN</v>
          </cell>
          <cell r="D142">
            <v>6</v>
          </cell>
          <cell r="E142">
            <v>1</v>
          </cell>
          <cell r="F142" t="str">
            <v xml:space="preserve">B </v>
          </cell>
          <cell r="G142">
            <v>8</v>
          </cell>
          <cell r="H142">
            <v>289</v>
          </cell>
          <cell r="I142">
            <v>124648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2506398</v>
          </cell>
          <cell r="P142">
            <v>0</v>
          </cell>
          <cell r="Q142">
            <v>0</v>
          </cell>
          <cell r="R142">
            <v>31871</v>
          </cell>
          <cell r="S142">
            <v>0</v>
          </cell>
          <cell r="T142">
            <v>125810</v>
          </cell>
          <cell r="U142">
            <v>499853</v>
          </cell>
          <cell r="V142">
            <v>378</v>
          </cell>
          <cell r="W142">
            <v>0</v>
          </cell>
          <cell r="X142">
            <v>0</v>
          </cell>
          <cell r="Y142">
            <v>211430</v>
          </cell>
          <cell r="Z142">
            <v>2506398</v>
          </cell>
          <cell r="AA142">
            <v>2875887</v>
          </cell>
          <cell r="AB142" t="str">
            <v>ERSL</v>
          </cell>
          <cell r="AC142">
            <v>1101</v>
          </cell>
          <cell r="AD142">
            <v>2</v>
          </cell>
          <cell r="AE142">
            <v>124648</v>
          </cell>
        </row>
        <row r="143">
          <cell r="A143" t="str">
            <v>SML</v>
          </cell>
          <cell r="B143">
            <v>0</v>
          </cell>
          <cell r="C143" t="str">
            <v>DRLN</v>
          </cell>
          <cell r="D143">
            <v>6</v>
          </cell>
          <cell r="E143">
            <v>1</v>
          </cell>
          <cell r="F143" t="str">
            <v xml:space="preserve">B </v>
          </cell>
          <cell r="G143">
            <v>9</v>
          </cell>
          <cell r="H143">
            <v>372</v>
          </cell>
          <cell r="I143">
            <v>235561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5054438</v>
          </cell>
          <cell r="P143">
            <v>0</v>
          </cell>
          <cell r="Q143">
            <v>0</v>
          </cell>
          <cell r="R143">
            <v>37567</v>
          </cell>
          <cell r="S143">
            <v>0</v>
          </cell>
          <cell r="T143">
            <v>78402</v>
          </cell>
          <cell r="U143">
            <v>1263786</v>
          </cell>
          <cell r="V143">
            <v>189</v>
          </cell>
          <cell r="W143">
            <v>0</v>
          </cell>
          <cell r="X143">
            <v>0</v>
          </cell>
          <cell r="Y143">
            <v>465104</v>
          </cell>
          <cell r="Z143">
            <v>5054438</v>
          </cell>
          <cell r="AA143">
            <v>5635700</v>
          </cell>
          <cell r="AB143" t="str">
            <v>ERSL</v>
          </cell>
          <cell r="AC143">
            <v>1101</v>
          </cell>
          <cell r="AD143">
            <v>2</v>
          </cell>
          <cell r="AE143">
            <v>235561</v>
          </cell>
        </row>
        <row r="144">
          <cell r="A144" t="str">
            <v>SML</v>
          </cell>
          <cell r="B144">
            <v>0</v>
          </cell>
          <cell r="C144" t="str">
            <v>DRLN</v>
          </cell>
          <cell r="D144">
            <v>6</v>
          </cell>
          <cell r="E144">
            <v>1</v>
          </cell>
          <cell r="F144" t="str">
            <v xml:space="preserve">B </v>
          </cell>
          <cell r="G144">
            <v>10</v>
          </cell>
          <cell r="H144">
            <v>95</v>
          </cell>
          <cell r="I144">
            <v>147493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3156926</v>
          </cell>
          <cell r="P144">
            <v>0</v>
          </cell>
          <cell r="Q144">
            <v>0</v>
          </cell>
          <cell r="R144">
            <v>19257</v>
          </cell>
          <cell r="S144">
            <v>0</v>
          </cell>
          <cell r="T144">
            <v>48940</v>
          </cell>
          <cell r="U144">
            <v>789277</v>
          </cell>
          <cell r="V144">
            <v>566</v>
          </cell>
          <cell r="W144">
            <v>0</v>
          </cell>
          <cell r="X144">
            <v>0</v>
          </cell>
          <cell r="Y144">
            <v>135983</v>
          </cell>
          <cell r="Z144">
            <v>3156926</v>
          </cell>
          <cell r="AA144">
            <v>3361672</v>
          </cell>
          <cell r="AB144" t="str">
            <v>ERSL</v>
          </cell>
          <cell r="AC144">
            <v>1101</v>
          </cell>
          <cell r="AD144">
            <v>2</v>
          </cell>
          <cell r="AE144">
            <v>147493</v>
          </cell>
        </row>
        <row r="145">
          <cell r="A145" t="str">
            <v>SML</v>
          </cell>
          <cell r="B145">
            <v>0</v>
          </cell>
          <cell r="C145" t="str">
            <v>DRLN</v>
          </cell>
          <cell r="D145">
            <v>6</v>
          </cell>
          <cell r="E145">
            <v>1</v>
          </cell>
          <cell r="F145" t="str">
            <v xml:space="preserve">B </v>
          </cell>
          <cell r="G145">
            <v>11</v>
          </cell>
          <cell r="H145">
            <v>3022</v>
          </cell>
          <cell r="I145">
            <v>75453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426254</v>
          </cell>
          <cell r="P145">
            <v>0</v>
          </cell>
          <cell r="Q145">
            <v>0</v>
          </cell>
          <cell r="R145">
            <v>10748</v>
          </cell>
          <cell r="S145">
            <v>0</v>
          </cell>
          <cell r="T145">
            <v>213837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68546</v>
          </cell>
          <cell r="Z145">
            <v>426254</v>
          </cell>
          <cell r="AA145">
            <v>719385</v>
          </cell>
          <cell r="AB145" t="str">
            <v>ERSL</v>
          </cell>
          <cell r="AC145">
            <v>1101</v>
          </cell>
          <cell r="AD145">
            <v>2</v>
          </cell>
          <cell r="AE145">
            <v>47917</v>
          </cell>
        </row>
        <row r="146">
          <cell r="A146" t="str">
            <v>SML</v>
          </cell>
          <cell r="B146">
            <v>0</v>
          </cell>
          <cell r="C146" t="str">
            <v>DRLN</v>
          </cell>
          <cell r="D146">
            <v>6</v>
          </cell>
          <cell r="E146">
            <v>1</v>
          </cell>
          <cell r="F146" t="str">
            <v xml:space="preserve">B </v>
          </cell>
          <cell r="G146">
            <v>12</v>
          </cell>
          <cell r="H146">
            <v>6001</v>
          </cell>
          <cell r="I146">
            <v>394118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3728746</v>
          </cell>
          <cell r="P146">
            <v>0</v>
          </cell>
          <cell r="Q146">
            <v>0</v>
          </cell>
          <cell r="R146">
            <v>54898</v>
          </cell>
          <cell r="S146">
            <v>0</v>
          </cell>
          <cell r="T146">
            <v>154209</v>
          </cell>
          <cell r="U146">
            <v>634039</v>
          </cell>
          <cell r="V146">
            <v>0</v>
          </cell>
          <cell r="W146">
            <v>0</v>
          </cell>
          <cell r="X146">
            <v>0</v>
          </cell>
          <cell r="Y146">
            <v>760188</v>
          </cell>
          <cell r="Z146">
            <v>3728746</v>
          </cell>
          <cell r="AA146">
            <v>4698041</v>
          </cell>
          <cell r="AB146" t="str">
            <v>ERSL</v>
          </cell>
          <cell r="AC146">
            <v>1101</v>
          </cell>
          <cell r="AD146">
            <v>2</v>
          </cell>
          <cell r="AE146">
            <v>394118</v>
          </cell>
        </row>
        <row r="147">
          <cell r="A147" t="str">
            <v>SML</v>
          </cell>
          <cell r="B147">
            <v>0</v>
          </cell>
          <cell r="C147" t="str">
            <v>DRLN</v>
          </cell>
          <cell r="D147">
            <v>6</v>
          </cell>
          <cell r="E147">
            <v>1</v>
          </cell>
          <cell r="F147" t="str">
            <v xml:space="preserve">B </v>
          </cell>
          <cell r="G147">
            <v>13</v>
          </cell>
          <cell r="H147">
            <v>1549</v>
          </cell>
          <cell r="I147">
            <v>181297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2467791</v>
          </cell>
          <cell r="P147">
            <v>0</v>
          </cell>
          <cell r="Q147">
            <v>0</v>
          </cell>
          <cell r="R147">
            <v>28438</v>
          </cell>
          <cell r="S147">
            <v>0</v>
          </cell>
          <cell r="T147">
            <v>56222</v>
          </cell>
          <cell r="U147">
            <v>419597</v>
          </cell>
          <cell r="V147">
            <v>0</v>
          </cell>
          <cell r="W147">
            <v>0</v>
          </cell>
          <cell r="X147">
            <v>0</v>
          </cell>
          <cell r="Y147">
            <v>425859</v>
          </cell>
          <cell r="Z147">
            <v>2467791</v>
          </cell>
          <cell r="AA147">
            <v>2978310</v>
          </cell>
          <cell r="AB147" t="str">
            <v>ERSL</v>
          </cell>
          <cell r="AC147">
            <v>1101</v>
          </cell>
          <cell r="AD147">
            <v>2</v>
          </cell>
          <cell r="AE147">
            <v>181297</v>
          </cell>
        </row>
        <row r="148">
          <cell r="A148" t="str">
            <v>SML</v>
          </cell>
          <cell r="B148">
            <v>0</v>
          </cell>
          <cell r="C148" t="str">
            <v>DRLN</v>
          </cell>
          <cell r="D148">
            <v>6</v>
          </cell>
          <cell r="E148">
            <v>1</v>
          </cell>
          <cell r="F148" t="str">
            <v xml:space="preserve">B </v>
          </cell>
          <cell r="G148">
            <v>14</v>
          </cell>
          <cell r="H148">
            <v>117</v>
          </cell>
          <cell r="I148">
            <v>16869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214246</v>
          </cell>
          <cell r="P148">
            <v>0</v>
          </cell>
          <cell r="Q148">
            <v>0</v>
          </cell>
          <cell r="R148">
            <v>2516</v>
          </cell>
          <cell r="S148">
            <v>0</v>
          </cell>
          <cell r="T148">
            <v>6629</v>
          </cell>
          <cell r="U148">
            <v>36433</v>
          </cell>
          <cell r="V148">
            <v>0</v>
          </cell>
          <cell r="W148">
            <v>0</v>
          </cell>
          <cell r="X148">
            <v>0</v>
          </cell>
          <cell r="Y148">
            <v>42648</v>
          </cell>
          <cell r="Z148">
            <v>214246</v>
          </cell>
          <cell r="AA148">
            <v>266039</v>
          </cell>
          <cell r="AB148" t="str">
            <v>ERSL</v>
          </cell>
          <cell r="AC148">
            <v>1101</v>
          </cell>
          <cell r="AD148">
            <v>2</v>
          </cell>
          <cell r="AE148">
            <v>16869</v>
          </cell>
        </row>
        <row r="149">
          <cell r="A149" t="str">
            <v>SML</v>
          </cell>
          <cell r="B149">
            <v>0</v>
          </cell>
          <cell r="C149" t="str">
            <v>DRLN</v>
          </cell>
          <cell r="D149">
            <v>6</v>
          </cell>
          <cell r="E149">
            <v>1</v>
          </cell>
          <cell r="F149" t="str">
            <v xml:space="preserve">B </v>
          </cell>
          <cell r="G149">
            <v>15</v>
          </cell>
          <cell r="H149">
            <v>154</v>
          </cell>
          <cell r="I149">
            <v>37163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598013</v>
          </cell>
          <cell r="P149">
            <v>0</v>
          </cell>
          <cell r="Q149">
            <v>0</v>
          </cell>
          <cell r="R149">
            <v>4377</v>
          </cell>
          <cell r="S149">
            <v>0</v>
          </cell>
          <cell r="T149">
            <v>17125</v>
          </cell>
          <cell r="U149">
            <v>118489</v>
          </cell>
          <cell r="V149">
            <v>0</v>
          </cell>
          <cell r="W149">
            <v>0</v>
          </cell>
          <cell r="X149">
            <v>0</v>
          </cell>
          <cell r="Y149">
            <v>74064</v>
          </cell>
          <cell r="Z149">
            <v>598013</v>
          </cell>
          <cell r="AA149">
            <v>693579</v>
          </cell>
          <cell r="AB149" t="str">
            <v>ERSL</v>
          </cell>
          <cell r="AC149">
            <v>1101</v>
          </cell>
          <cell r="AD149">
            <v>2</v>
          </cell>
          <cell r="AE149">
            <v>37163</v>
          </cell>
        </row>
        <row r="150">
          <cell r="A150" t="str">
            <v>SML</v>
          </cell>
          <cell r="B150">
            <v>0</v>
          </cell>
          <cell r="C150" t="str">
            <v>DRLN</v>
          </cell>
          <cell r="D150">
            <v>6</v>
          </cell>
          <cell r="E150">
            <v>2</v>
          </cell>
          <cell r="F150" t="str">
            <v>A4</v>
          </cell>
          <cell r="G150">
            <v>22</v>
          </cell>
          <cell r="H150">
            <v>3</v>
          </cell>
          <cell r="I150">
            <v>188036</v>
          </cell>
          <cell r="J150">
            <v>15103</v>
          </cell>
          <cell r="K150">
            <v>172933</v>
          </cell>
          <cell r="L150">
            <v>4021</v>
          </cell>
          <cell r="M150">
            <v>2225</v>
          </cell>
          <cell r="N150">
            <v>1796</v>
          </cell>
          <cell r="O150">
            <v>1321827</v>
          </cell>
          <cell r="P150">
            <v>5255651</v>
          </cell>
          <cell r="Q150">
            <v>45369</v>
          </cell>
          <cell r="R150">
            <v>279397</v>
          </cell>
          <cell r="S150">
            <v>0</v>
          </cell>
          <cell r="T150">
            <v>0</v>
          </cell>
          <cell r="U150">
            <v>1655713</v>
          </cell>
          <cell r="V150">
            <v>0</v>
          </cell>
          <cell r="W150">
            <v>0</v>
          </cell>
          <cell r="X150">
            <v>0</v>
          </cell>
          <cell r="Y150">
            <v>14060</v>
          </cell>
          <cell r="Z150">
            <v>6622847</v>
          </cell>
          <cell r="AA150">
            <v>6916304</v>
          </cell>
          <cell r="AB150" t="str">
            <v>ERSL</v>
          </cell>
          <cell r="AC150">
            <v>1101</v>
          </cell>
          <cell r="AD150">
            <v>2</v>
          </cell>
          <cell r="AE150">
            <v>188036</v>
          </cell>
        </row>
        <row r="151">
          <cell r="A151" t="str">
            <v>SML</v>
          </cell>
          <cell r="B151">
            <v>0</v>
          </cell>
          <cell r="C151" t="str">
            <v>DRLN</v>
          </cell>
          <cell r="D151">
            <v>6</v>
          </cell>
          <cell r="E151">
            <v>2</v>
          </cell>
          <cell r="F151" t="str">
            <v>A4</v>
          </cell>
          <cell r="G151">
            <v>21</v>
          </cell>
          <cell r="H151">
            <v>5</v>
          </cell>
          <cell r="I151">
            <v>476260</v>
          </cell>
          <cell r="J151">
            <v>23313</v>
          </cell>
          <cell r="K151">
            <v>452947</v>
          </cell>
          <cell r="L151">
            <v>1859</v>
          </cell>
          <cell r="M151">
            <v>1817</v>
          </cell>
          <cell r="N151">
            <v>0</v>
          </cell>
          <cell r="O151">
            <v>4357928</v>
          </cell>
          <cell r="P151">
            <v>1341910</v>
          </cell>
          <cell r="Q151">
            <v>61034</v>
          </cell>
          <cell r="R151">
            <v>37460</v>
          </cell>
          <cell r="S151">
            <v>0</v>
          </cell>
          <cell r="T151">
            <v>680000</v>
          </cell>
          <cell r="U151">
            <v>1441773</v>
          </cell>
          <cell r="V151">
            <v>0</v>
          </cell>
          <cell r="W151">
            <v>6216</v>
          </cell>
          <cell r="X151">
            <v>0</v>
          </cell>
          <cell r="Y151">
            <v>9816</v>
          </cell>
          <cell r="Z151">
            <v>5767088</v>
          </cell>
          <cell r="AA151">
            <v>6494364</v>
          </cell>
          <cell r="AB151" t="str">
            <v>ERSL</v>
          </cell>
          <cell r="AC151">
            <v>1101</v>
          </cell>
          <cell r="AD151">
            <v>2</v>
          </cell>
          <cell r="AE151">
            <v>476260</v>
          </cell>
        </row>
        <row r="152">
          <cell r="A152" t="str">
            <v>SML</v>
          </cell>
          <cell r="B152">
            <v>0</v>
          </cell>
          <cell r="C152" t="str">
            <v>DRLN</v>
          </cell>
          <cell r="D152">
            <v>6</v>
          </cell>
          <cell r="E152">
            <v>2</v>
          </cell>
          <cell r="F152" t="str">
            <v>A4</v>
          </cell>
          <cell r="G152">
            <v>20</v>
          </cell>
          <cell r="H152">
            <v>29</v>
          </cell>
          <cell r="I152">
            <v>320128</v>
          </cell>
          <cell r="J152">
            <v>0</v>
          </cell>
          <cell r="K152">
            <v>0</v>
          </cell>
          <cell r="L152">
            <v>1954</v>
          </cell>
          <cell r="M152">
            <v>0</v>
          </cell>
          <cell r="N152">
            <v>0</v>
          </cell>
          <cell r="O152">
            <v>3673363</v>
          </cell>
          <cell r="P152">
            <v>1529330</v>
          </cell>
          <cell r="Q152">
            <v>242493</v>
          </cell>
          <cell r="R152">
            <v>76918</v>
          </cell>
          <cell r="S152">
            <v>0</v>
          </cell>
          <cell r="T152">
            <v>80411</v>
          </cell>
          <cell r="U152">
            <v>1391406</v>
          </cell>
          <cell r="V152">
            <v>0</v>
          </cell>
          <cell r="W152">
            <v>154186</v>
          </cell>
          <cell r="X152">
            <v>0</v>
          </cell>
          <cell r="Y152">
            <v>74338</v>
          </cell>
          <cell r="Z152">
            <v>5599372</v>
          </cell>
          <cell r="AA152">
            <v>5831039</v>
          </cell>
          <cell r="AB152" t="str">
            <v>ERSL</v>
          </cell>
          <cell r="AC152">
            <v>1101</v>
          </cell>
          <cell r="AD152">
            <v>2</v>
          </cell>
          <cell r="AE152">
            <v>320128</v>
          </cell>
        </row>
        <row r="153">
          <cell r="A153" t="str">
            <v>SML</v>
          </cell>
          <cell r="B153">
            <v>0</v>
          </cell>
          <cell r="C153" t="str">
            <v>DRLN</v>
          </cell>
          <cell r="D153">
            <v>6</v>
          </cell>
          <cell r="E153">
            <v>2</v>
          </cell>
          <cell r="F153" t="str">
            <v xml:space="preserve">B </v>
          </cell>
          <cell r="G153">
            <v>0</v>
          </cell>
          <cell r="H153">
            <v>179</v>
          </cell>
          <cell r="I153">
            <v>161607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3364532</v>
          </cell>
          <cell r="P153">
            <v>0</v>
          </cell>
          <cell r="Q153">
            <v>0</v>
          </cell>
          <cell r="R153">
            <v>51605</v>
          </cell>
          <cell r="S153">
            <v>0</v>
          </cell>
          <cell r="T153">
            <v>809789</v>
          </cell>
          <cell r="U153">
            <v>832020</v>
          </cell>
          <cell r="V153">
            <v>0</v>
          </cell>
          <cell r="W153">
            <v>0</v>
          </cell>
          <cell r="X153">
            <v>0</v>
          </cell>
          <cell r="Y153">
            <v>176993</v>
          </cell>
          <cell r="Z153">
            <v>3364532</v>
          </cell>
          <cell r="AA153">
            <v>4402919</v>
          </cell>
          <cell r="AB153" t="str">
            <v>ERSL</v>
          </cell>
          <cell r="AC153">
            <v>1101</v>
          </cell>
          <cell r="AD153">
            <v>2</v>
          </cell>
          <cell r="AE153">
            <v>159823</v>
          </cell>
        </row>
        <row r="154">
          <cell r="A154" t="str">
            <v>SML</v>
          </cell>
          <cell r="B154">
            <v>0</v>
          </cell>
          <cell r="C154" t="str">
            <v>DRLN</v>
          </cell>
          <cell r="D154">
            <v>6</v>
          </cell>
          <cell r="E154">
            <v>3</v>
          </cell>
          <cell r="F154" t="str">
            <v>A4</v>
          </cell>
          <cell r="G154">
            <v>22</v>
          </cell>
          <cell r="H154">
            <v>1</v>
          </cell>
          <cell r="I154">
            <v>28748</v>
          </cell>
          <cell r="J154">
            <v>2393</v>
          </cell>
          <cell r="K154">
            <v>26355</v>
          </cell>
          <cell r="L154">
            <v>185</v>
          </cell>
          <cell r="M154">
            <v>80</v>
          </cell>
          <cell r="N154">
            <v>65</v>
          </cell>
          <cell r="O154">
            <v>202686</v>
          </cell>
          <cell r="P154">
            <v>338977</v>
          </cell>
          <cell r="Q154">
            <v>15504</v>
          </cell>
          <cell r="R154">
            <v>8265</v>
          </cell>
          <cell r="S154">
            <v>0</v>
          </cell>
          <cell r="T154">
            <v>0</v>
          </cell>
          <cell r="U154">
            <v>139982</v>
          </cell>
          <cell r="V154">
            <v>0</v>
          </cell>
          <cell r="W154">
            <v>2762</v>
          </cell>
          <cell r="X154">
            <v>0</v>
          </cell>
          <cell r="Y154">
            <v>4908</v>
          </cell>
          <cell r="Z154">
            <v>559929</v>
          </cell>
          <cell r="AA154">
            <v>573102</v>
          </cell>
          <cell r="AB154" t="str">
            <v>ERSL</v>
          </cell>
          <cell r="AC154">
            <v>1101</v>
          </cell>
          <cell r="AD154">
            <v>2</v>
          </cell>
          <cell r="AE154">
            <v>28748</v>
          </cell>
        </row>
        <row r="155">
          <cell r="A155" t="str">
            <v>SML</v>
          </cell>
          <cell r="B155">
            <v>0</v>
          </cell>
          <cell r="C155" t="str">
            <v>DRLN</v>
          </cell>
          <cell r="D155">
            <v>6</v>
          </cell>
          <cell r="E155">
            <v>3</v>
          </cell>
          <cell r="F155" t="str">
            <v>A4</v>
          </cell>
          <cell r="G155">
            <v>21</v>
          </cell>
          <cell r="H155">
            <v>1</v>
          </cell>
          <cell r="I155">
            <v>9571</v>
          </cell>
          <cell r="J155">
            <v>904</v>
          </cell>
          <cell r="K155">
            <v>8667</v>
          </cell>
          <cell r="L155">
            <v>60</v>
          </cell>
          <cell r="M155">
            <v>60</v>
          </cell>
          <cell r="N155">
            <v>0</v>
          </cell>
          <cell r="O155">
            <v>111536</v>
          </cell>
          <cell r="P155">
            <v>41440</v>
          </cell>
          <cell r="Q155">
            <v>105148</v>
          </cell>
          <cell r="R155">
            <v>0</v>
          </cell>
          <cell r="S155">
            <v>0</v>
          </cell>
          <cell r="T155">
            <v>0</v>
          </cell>
          <cell r="U155">
            <v>64531</v>
          </cell>
          <cell r="V155">
            <v>0</v>
          </cell>
          <cell r="W155">
            <v>0</v>
          </cell>
          <cell r="X155">
            <v>0</v>
          </cell>
          <cell r="Y155">
            <v>4908</v>
          </cell>
          <cell r="Z155">
            <v>258124</v>
          </cell>
          <cell r="AA155">
            <v>263032</v>
          </cell>
          <cell r="AB155" t="str">
            <v>ERSL</v>
          </cell>
          <cell r="AC155">
            <v>1101</v>
          </cell>
          <cell r="AD155">
            <v>2</v>
          </cell>
          <cell r="AE155">
            <v>9571</v>
          </cell>
        </row>
        <row r="156">
          <cell r="A156" t="str">
            <v>SML</v>
          </cell>
          <cell r="B156">
            <v>0</v>
          </cell>
          <cell r="C156" t="str">
            <v>DRLN</v>
          </cell>
          <cell r="D156">
            <v>6</v>
          </cell>
          <cell r="E156">
            <v>3</v>
          </cell>
          <cell r="F156" t="str">
            <v>A4</v>
          </cell>
          <cell r="G156">
            <v>20</v>
          </cell>
          <cell r="H156">
            <v>14</v>
          </cell>
          <cell r="I156">
            <v>230769</v>
          </cell>
          <cell r="J156">
            <v>0</v>
          </cell>
          <cell r="K156">
            <v>0</v>
          </cell>
          <cell r="L156">
            <v>800</v>
          </cell>
          <cell r="M156">
            <v>0</v>
          </cell>
          <cell r="N156">
            <v>0</v>
          </cell>
          <cell r="O156">
            <v>2647997</v>
          </cell>
          <cell r="P156">
            <v>626133</v>
          </cell>
          <cell r="Q156">
            <v>71293</v>
          </cell>
          <cell r="R156">
            <v>39547</v>
          </cell>
          <cell r="S156">
            <v>0</v>
          </cell>
          <cell r="T156">
            <v>0</v>
          </cell>
          <cell r="U156">
            <v>839487</v>
          </cell>
          <cell r="V156">
            <v>0</v>
          </cell>
          <cell r="W156">
            <v>12522</v>
          </cell>
          <cell r="X156">
            <v>0</v>
          </cell>
          <cell r="Y156">
            <v>50393</v>
          </cell>
          <cell r="Z156">
            <v>3357945</v>
          </cell>
          <cell r="AA156">
            <v>3447885</v>
          </cell>
          <cell r="AB156" t="str">
            <v>ERSL</v>
          </cell>
          <cell r="AC156">
            <v>1101</v>
          </cell>
          <cell r="AD156">
            <v>2</v>
          </cell>
          <cell r="AE156">
            <v>230769</v>
          </cell>
        </row>
        <row r="157">
          <cell r="A157" t="str">
            <v>SML</v>
          </cell>
          <cell r="B157">
            <v>0</v>
          </cell>
          <cell r="C157" t="str">
            <v>DRLN</v>
          </cell>
          <cell r="D157">
            <v>6</v>
          </cell>
          <cell r="E157">
            <v>3</v>
          </cell>
          <cell r="F157" t="str">
            <v xml:space="preserve">B </v>
          </cell>
          <cell r="G157">
            <v>0</v>
          </cell>
          <cell r="H157">
            <v>3545</v>
          </cell>
          <cell r="I157">
            <v>910175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18980209</v>
          </cell>
          <cell r="P157">
            <v>0</v>
          </cell>
          <cell r="Q157">
            <v>0</v>
          </cell>
          <cell r="R157">
            <v>241431</v>
          </cell>
          <cell r="S157">
            <v>0</v>
          </cell>
          <cell r="T157">
            <v>1606355</v>
          </cell>
          <cell r="U157">
            <v>4704935</v>
          </cell>
          <cell r="V157">
            <v>660</v>
          </cell>
          <cell r="W157">
            <v>0</v>
          </cell>
          <cell r="X157">
            <v>0</v>
          </cell>
          <cell r="Y157">
            <v>1774435</v>
          </cell>
          <cell r="Z157">
            <v>18980209</v>
          </cell>
          <cell r="AA157">
            <v>22603090</v>
          </cell>
          <cell r="AB157" t="str">
            <v>ERSL</v>
          </cell>
          <cell r="AC157">
            <v>1101</v>
          </cell>
          <cell r="AD157">
            <v>2</v>
          </cell>
          <cell r="AE157">
            <v>889004</v>
          </cell>
        </row>
        <row r="158">
          <cell r="A158" t="str">
            <v>SML</v>
          </cell>
          <cell r="B158">
            <v>0</v>
          </cell>
          <cell r="C158" t="str">
            <v>DRLN</v>
          </cell>
          <cell r="D158">
            <v>6</v>
          </cell>
          <cell r="E158">
            <v>4</v>
          </cell>
          <cell r="F158" t="str">
            <v>A4</v>
          </cell>
          <cell r="G158">
            <v>20</v>
          </cell>
          <cell r="H158">
            <v>8</v>
          </cell>
          <cell r="I158">
            <v>130944</v>
          </cell>
          <cell r="J158">
            <v>0</v>
          </cell>
          <cell r="K158">
            <v>0</v>
          </cell>
          <cell r="L158">
            <v>360</v>
          </cell>
          <cell r="M158">
            <v>0</v>
          </cell>
          <cell r="N158">
            <v>0</v>
          </cell>
          <cell r="O158">
            <v>1014161</v>
          </cell>
          <cell r="P158">
            <v>190080</v>
          </cell>
          <cell r="Q158">
            <v>101800</v>
          </cell>
          <cell r="R158">
            <v>12599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15312</v>
          </cell>
          <cell r="X158">
            <v>0</v>
          </cell>
          <cell r="Y158">
            <v>0</v>
          </cell>
          <cell r="Z158">
            <v>1321353</v>
          </cell>
          <cell r="AA158">
            <v>1333952</v>
          </cell>
          <cell r="AB158" t="str">
            <v>ERSL</v>
          </cell>
          <cell r="AC158">
            <v>1101</v>
          </cell>
          <cell r="AD158">
            <v>2</v>
          </cell>
          <cell r="AE158">
            <v>130944</v>
          </cell>
        </row>
        <row r="159">
          <cell r="A159" t="str">
            <v>SML</v>
          </cell>
          <cell r="B159">
            <v>0</v>
          </cell>
          <cell r="C159" t="str">
            <v>DRLN</v>
          </cell>
          <cell r="D159">
            <v>6</v>
          </cell>
          <cell r="E159">
            <v>4</v>
          </cell>
          <cell r="F159" t="str">
            <v xml:space="preserve">B </v>
          </cell>
          <cell r="G159">
            <v>0</v>
          </cell>
          <cell r="H159">
            <v>683</v>
          </cell>
          <cell r="I159">
            <v>370329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3627776</v>
          </cell>
          <cell r="P159">
            <v>0</v>
          </cell>
          <cell r="Q159">
            <v>0</v>
          </cell>
          <cell r="R159">
            <v>233</v>
          </cell>
          <cell r="S159">
            <v>0</v>
          </cell>
          <cell r="T159">
            <v>299349</v>
          </cell>
          <cell r="U159">
            <v>0</v>
          </cell>
          <cell r="V159">
            <v>18345</v>
          </cell>
          <cell r="W159">
            <v>0</v>
          </cell>
          <cell r="X159">
            <v>0</v>
          </cell>
          <cell r="Y159">
            <v>0</v>
          </cell>
          <cell r="Z159">
            <v>3627776</v>
          </cell>
          <cell r="AA159">
            <v>3945703</v>
          </cell>
          <cell r="AB159" t="str">
            <v>ERSL</v>
          </cell>
          <cell r="AC159">
            <v>1101</v>
          </cell>
          <cell r="AD159">
            <v>2</v>
          </cell>
          <cell r="AE159">
            <v>366691</v>
          </cell>
        </row>
        <row r="160">
          <cell r="A160" t="str">
            <v>SML</v>
          </cell>
          <cell r="B160">
            <v>0</v>
          </cell>
          <cell r="C160" t="str">
            <v>DRLN</v>
          </cell>
          <cell r="D160">
            <v>6</v>
          </cell>
          <cell r="E160">
            <v>5</v>
          </cell>
          <cell r="F160" t="str">
            <v>A4</v>
          </cell>
          <cell r="G160">
            <v>20</v>
          </cell>
          <cell r="H160">
            <v>10</v>
          </cell>
          <cell r="I160">
            <v>95480</v>
          </cell>
          <cell r="J160">
            <v>0</v>
          </cell>
          <cell r="K160">
            <v>0</v>
          </cell>
          <cell r="L160">
            <v>521</v>
          </cell>
          <cell r="M160">
            <v>0</v>
          </cell>
          <cell r="N160">
            <v>0</v>
          </cell>
          <cell r="O160">
            <v>996332</v>
          </cell>
          <cell r="P160">
            <v>368831</v>
          </cell>
          <cell r="Q160">
            <v>51445</v>
          </cell>
          <cell r="R160">
            <v>4747</v>
          </cell>
          <cell r="S160">
            <v>0</v>
          </cell>
          <cell r="T160">
            <v>0</v>
          </cell>
          <cell r="U160">
            <v>252652</v>
          </cell>
          <cell r="V160">
            <v>0</v>
          </cell>
          <cell r="W160">
            <v>14871</v>
          </cell>
          <cell r="X160">
            <v>0</v>
          </cell>
          <cell r="Y160">
            <v>0</v>
          </cell>
          <cell r="Z160">
            <v>1431479</v>
          </cell>
          <cell r="AA160">
            <v>1436226</v>
          </cell>
          <cell r="AB160" t="str">
            <v>ERSL</v>
          </cell>
          <cell r="AC160">
            <v>1101</v>
          </cell>
          <cell r="AD160">
            <v>2</v>
          </cell>
          <cell r="AE160">
            <v>95480</v>
          </cell>
        </row>
        <row r="161">
          <cell r="A161" t="str">
            <v>SML</v>
          </cell>
          <cell r="B161">
            <v>0</v>
          </cell>
          <cell r="C161" t="str">
            <v>DRLN</v>
          </cell>
          <cell r="D161">
            <v>6</v>
          </cell>
          <cell r="E161">
            <v>5</v>
          </cell>
          <cell r="F161" t="str">
            <v xml:space="preserve">B </v>
          </cell>
          <cell r="G161">
            <v>0</v>
          </cell>
          <cell r="H161">
            <v>191</v>
          </cell>
          <cell r="I161">
            <v>149843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2822666</v>
          </cell>
          <cell r="P161">
            <v>0</v>
          </cell>
          <cell r="Q161">
            <v>0</v>
          </cell>
          <cell r="R161">
            <v>8533</v>
          </cell>
          <cell r="S161">
            <v>0</v>
          </cell>
          <cell r="T161">
            <v>162661</v>
          </cell>
          <cell r="U161">
            <v>482583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2822666</v>
          </cell>
          <cell r="AA161">
            <v>2993860</v>
          </cell>
          <cell r="AB161" t="str">
            <v>ERSL</v>
          </cell>
          <cell r="AC161">
            <v>1101</v>
          </cell>
          <cell r="AD161">
            <v>2</v>
          </cell>
          <cell r="AE161">
            <v>148549</v>
          </cell>
        </row>
        <row r="162">
          <cell r="A162" t="str">
            <v>SML</v>
          </cell>
          <cell r="B162">
            <v>0</v>
          </cell>
          <cell r="C162" t="str">
            <v>DRLN</v>
          </cell>
          <cell r="D162">
            <v>6</v>
          </cell>
          <cell r="E162">
            <v>6</v>
          </cell>
          <cell r="F162" t="str">
            <v xml:space="preserve">B </v>
          </cell>
          <cell r="G162">
            <v>0</v>
          </cell>
          <cell r="H162">
            <v>6</v>
          </cell>
          <cell r="I162">
            <v>428437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5044130</v>
          </cell>
          <cell r="P162">
            <v>0</v>
          </cell>
          <cell r="Q162">
            <v>0</v>
          </cell>
          <cell r="R162">
            <v>2582</v>
          </cell>
          <cell r="S162">
            <v>0</v>
          </cell>
          <cell r="T162">
            <v>0</v>
          </cell>
          <cell r="U162">
            <v>1261032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5044130</v>
          </cell>
          <cell r="AA162">
            <v>5046712</v>
          </cell>
          <cell r="AB162" t="str">
            <v>ERSL</v>
          </cell>
          <cell r="AC162">
            <v>1101</v>
          </cell>
          <cell r="AD162">
            <v>2</v>
          </cell>
          <cell r="AE162">
            <v>428437</v>
          </cell>
        </row>
        <row r="163">
          <cell r="A163" t="str">
            <v>SML</v>
          </cell>
          <cell r="B163">
            <v>0</v>
          </cell>
          <cell r="C163" t="str">
            <v>DRLN</v>
          </cell>
          <cell r="D163">
            <v>6</v>
          </cell>
          <cell r="E163">
            <v>7</v>
          </cell>
          <cell r="F163" t="str">
            <v>A4</v>
          </cell>
          <cell r="G163">
            <v>22</v>
          </cell>
          <cell r="H163">
            <v>3</v>
          </cell>
          <cell r="I163">
            <v>898781</v>
          </cell>
          <cell r="J163">
            <v>63710</v>
          </cell>
          <cell r="K163">
            <v>835071</v>
          </cell>
          <cell r="L163">
            <v>3257</v>
          </cell>
          <cell r="M163">
            <v>1759</v>
          </cell>
          <cell r="N163">
            <v>1419</v>
          </cell>
          <cell r="O163">
            <v>5318341</v>
          </cell>
          <cell r="P163">
            <v>3692970</v>
          </cell>
          <cell r="Q163">
            <v>375615</v>
          </cell>
          <cell r="R163">
            <v>0</v>
          </cell>
          <cell r="S163">
            <v>0</v>
          </cell>
          <cell r="T163">
            <v>0</v>
          </cell>
          <cell r="U163">
            <v>2403493</v>
          </cell>
          <cell r="V163">
            <v>0</v>
          </cell>
          <cell r="W163">
            <v>227040</v>
          </cell>
          <cell r="X163">
            <v>0</v>
          </cell>
          <cell r="Y163">
            <v>0</v>
          </cell>
          <cell r="Z163">
            <v>9613966</v>
          </cell>
          <cell r="AA163">
            <v>9613966</v>
          </cell>
          <cell r="AB163" t="str">
            <v>ERSL</v>
          </cell>
          <cell r="AC163">
            <v>1101</v>
          </cell>
          <cell r="AD163">
            <v>2</v>
          </cell>
          <cell r="AE163">
            <v>898781</v>
          </cell>
        </row>
        <row r="164">
          <cell r="A164" t="str">
            <v>SML</v>
          </cell>
          <cell r="B164">
            <v>0</v>
          </cell>
          <cell r="C164" t="str">
            <v>DRLN</v>
          </cell>
          <cell r="D164">
            <v>6</v>
          </cell>
          <cell r="E164">
            <v>7</v>
          </cell>
          <cell r="F164" t="str">
            <v>A4</v>
          </cell>
          <cell r="G164">
            <v>20</v>
          </cell>
          <cell r="H164">
            <v>9</v>
          </cell>
          <cell r="I164">
            <v>135066</v>
          </cell>
          <cell r="J164">
            <v>0</v>
          </cell>
          <cell r="K164">
            <v>0</v>
          </cell>
          <cell r="L164">
            <v>315</v>
          </cell>
          <cell r="M164">
            <v>0</v>
          </cell>
          <cell r="N164">
            <v>0</v>
          </cell>
          <cell r="O164">
            <v>1317344</v>
          </cell>
          <cell r="P164">
            <v>209160</v>
          </cell>
          <cell r="Q164">
            <v>84855</v>
          </cell>
          <cell r="R164">
            <v>83</v>
          </cell>
          <cell r="S164">
            <v>0</v>
          </cell>
          <cell r="T164">
            <v>0</v>
          </cell>
          <cell r="U164">
            <v>406160</v>
          </cell>
          <cell r="V164">
            <v>0</v>
          </cell>
          <cell r="W164">
            <v>13280</v>
          </cell>
          <cell r="X164">
            <v>0</v>
          </cell>
          <cell r="Y164">
            <v>0</v>
          </cell>
          <cell r="Z164">
            <v>1624639</v>
          </cell>
          <cell r="AA164">
            <v>1624722</v>
          </cell>
          <cell r="AB164" t="str">
            <v>ERSL</v>
          </cell>
          <cell r="AC164">
            <v>1101</v>
          </cell>
          <cell r="AD164">
            <v>2</v>
          </cell>
          <cell r="AE164">
            <v>135066</v>
          </cell>
        </row>
        <row r="165">
          <cell r="A165" t="str">
            <v>SML</v>
          </cell>
          <cell r="B165">
            <v>0</v>
          </cell>
          <cell r="C165" t="str">
            <v>DRLN</v>
          </cell>
          <cell r="D165">
            <v>6</v>
          </cell>
          <cell r="E165">
            <v>7</v>
          </cell>
          <cell r="F165" t="str">
            <v xml:space="preserve">B </v>
          </cell>
          <cell r="G165">
            <v>0</v>
          </cell>
          <cell r="H165">
            <v>21</v>
          </cell>
          <cell r="I165">
            <v>78758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1393595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348399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1393595</v>
          </cell>
          <cell r="AA165">
            <v>1393595</v>
          </cell>
          <cell r="AB165" t="str">
            <v>ERSL</v>
          </cell>
          <cell r="AC165">
            <v>1101</v>
          </cell>
          <cell r="AD165">
            <v>2</v>
          </cell>
          <cell r="AE165">
            <v>78514</v>
          </cell>
        </row>
        <row r="166">
          <cell r="A166" t="str">
            <v>SML</v>
          </cell>
          <cell r="B166">
            <v>0</v>
          </cell>
          <cell r="C166" t="str">
            <v>DRLN</v>
          </cell>
          <cell r="D166">
            <v>6</v>
          </cell>
          <cell r="E166">
            <v>8</v>
          </cell>
          <cell r="F166" t="str">
            <v xml:space="preserve">B </v>
          </cell>
          <cell r="G166">
            <v>0</v>
          </cell>
          <cell r="H166">
            <v>7</v>
          </cell>
          <cell r="I166">
            <v>11612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241745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60436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241745</v>
          </cell>
          <cell r="AA166">
            <v>241745</v>
          </cell>
          <cell r="AB166" t="str">
            <v>ERSL</v>
          </cell>
          <cell r="AC166">
            <v>1101</v>
          </cell>
          <cell r="AD166">
            <v>2</v>
          </cell>
          <cell r="AE166">
            <v>11512</v>
          </cell>
        </row>
        <row r="167">
          <cell r="A167" t="str">
            <v>SML</v>
          </cell>
          <cell r="B167">
            <v>0</v>
          </cell>
          <cell r="C167" t="str">
            <v>DRLN</v>
          </cell>
          <cell r="D167">
            <v>7</v>
          </cell>
          <cell r="E167">
            <v>1</v>
          </cell>
          <cell r="F167" t="str">
            <v xml:space="preserve">B </v>
          </cell>
          <cell r="G167">
            <v>1</v>
          </cell>
          <cell r="H167">
            <v>7095</v>
          </cell>
          <cell r="I167">
            <v>174188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2827970</v>
          </cell>
          <cell r="P167">
            <v>0</v>
          </cell>
          <cell r="Q167">
            <v>0</v>
          </cell>
          <cell r="R167">
            <v>71082</v>
          </cell>
          <cell r="S167">
            <v>0</v>
          </cell>
          <cell r="T167">
            <v>1312510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313580</v>
          </cell>
          <cell r="Z167">
            <v>2827970</v>
          </cell>
          <cell r="AA167">
            <v>4525142</v>
          </cell>
          <cell r="AB167" t="str">
            <v>ERPA</v>
          </cell>
          <cell r="AC167">
            <v>1101</v>
          </cell>
          <cell r="AD167">
            <v>2</v>
          </cell>
          <cell r="AE167">
            <v>107624</v>
          </cell>
        </row>
        <row r="168">
          <cell r="A168" t="str">
            <v>SML</v>
          </cell>
          <cell r="B168">
            <v>0</v>
          </cell>
          <cell r="C168" t="str">
            <v>DRLN</v>
          </cell>
          <cell r="D168">
            <v>7</v>
          </cell>
          <cell r="E168">
            <v>1</v>
          </cell>
          <cell r="F168" t="str">
            <v xml:space="preserve">B </v>
          </cell>
          <cell r="G168">
            <v>2</v>
          </cell>
          <cell r="H168">
            <v>4584</v>
          </cell>
          <cell r="I168">
            <v>186869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3625640</v>
          </cell>
          <cell r="P168">
            <v>0</v>
          </cell>
          <cell r="Q168">
            <v>0</v>
          </cell>
          <cell r="R168">
            <v>79045</v>
          </cell>
          <cell r="S168">
            <v>0</v>
          </cell>
          <cell r="T168">
            <v>374083</v>
          </cell>
          <cell r="U168">
            <v>616196</v>
          </cell>
          <cell r="V168">
            <v>378</v>
          </cell>
          <cell r="W168">
            <v>0</v>
          </cell>
          <cell r="X168">
            <v>0</v>
          </cell>
          <cell r="Y168">
            <v>384468</v>
          </cell>
          <cell r="Z168">
            <v>3625640</v>
          </cell>
          <cell r="AA168">
            <v>4463614</v>
          </cell>
          <cell r="AB168" t="str">
            <v>ERPA</v>
          </cell>
          <cell r="AC168">
            <v>1101</v>
          </cell>
          <cell r="AD168">
            <v>2</v>
          </cell>
          <cell r="AE168">
            <v>186719</v>
          </cell>
        </row>
        <row r="169">
          <cell r="A169" t="str">
            <v>SML</v>
          </cell>
          <cell r="B169">
            <v>0</v>
          </cell>
          <cell r="C169" t="str">
            <v>DRLN</v>
          </cell>
          <cell r="D169">
            <v>7</v>
          </cell>
          <cell r="E169">
            <v>1</v>
          </cell>
          <cell r="F169" t="str">
            <v xml:space="preserve">B </v>
          </cell>
          <cell r="G169">
            <v>3</v>
          </cell>
          <cell r="H169">
            <v>19688</v>
          </cell>
          <cell r="I169">
            <v>1529599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29657703</v>
          </cell>
          <cell r="P169">
            <v>0</v>
          </cell>
          <cell r="Q169">
            <v>0</v>
          </cell>
          <cell r="R169">
            <v>328101</v>
          </cell>
          <cell r="S169">
            <v>0</v>
          </cell>
          <cell r="T169">
            <v>1007363</v>
          </cell>
          <cell r="U169">
            <v>5041849</v>
          </cell>
          <cell r="V169">
            <v>0</v>
          </cell>
          <cell r="W169">
            <v>0</v>
          </cell>
          <cell r="X169">
            <v>0</v>
          </cell>
          <cell r="Y169">
            <v>2730137</v>
          </cell>
          <cell r="Z169">
            <v>29657703</v>
          </cell>
          <cell r="AA169">
            <v>33723304</v>
          </cell>
          <cell r="AB169" t="str">
            <v>ERPA</v>
          </cell>
          <cell r="AC169">
            <v>1101</v>
          </cell>
          <cell r="AD169">
            <v>2</v>
          </cell>
          <cell r="AE169">
            <v>1527279</v>
          </cell>
        </row>
        <row r="170">
          <cell r="A170" t="str">
            <v>SML</v>
          </cell>
          <cell r="B170">
            <v>0</v>
          </cell>
          <cell r="C170" t="str">
            <v>DRLN</v>
          </cell>
          <cell r="D170">
            <v>7</v>
          </cell>
          <cell r="E170">
            <v>1</v>
          </cell>
          <cell r="F170" t="str">
            <v xml:space="preserve">B </v>
          </cell>
          <cell r="G170">
            <v>4</v>
          </cell>
          <cell r="H170">
            <v>12826</v>
          </cell>
          <cell r="I170">
            <v>1561539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30278390</v>
          </cell>
          <cell r="P170">
            <v>0</v>
          </cell>
          <cell r="Q170">
            <v>0</v>
          </cell>
          <cell r="R170">
            <v>400143</v>
          </cell>
          <cell r="S170">
            <v>0</v>
          </cell>
          <cell r="T170">
            <v>888855</v>
          </cell>
          <cell r="U170">
            <v>5147367</v>
          </cell>
          <cell r="V170">
            <v>0</v>
          </cell>
          <cell r="W170">
            <v>0</v>
          </cell>
          <cell r="X170">
            <v>0</v>
          </cell>
          <cell r="Y170">
            <v>2515869</v>
          </cell>
          <cell r="Z170">
            <v>30278390</v>
          </cell>
          <cell r="AA170">
            <v>34083257</v>
          </cell>
          <cell r="AB170" t="str">
            <v>ERPA</v>
          </cell>
          <cell r="AC170">
            <v>1101</v>
          </cell>
          <cell r="AD170">
            <v>2</v>
          </cell>
          <cell r="AE170">
            <v>1561539</v>
          </cell>
        </row>
        <row r="171">
          <cell r="A171" t="str">
            <v>SML</v>
          </cell>
          <cell r="B171">
            <v>0</v>
          </cell>
          <cell r="C171" t="str">
            <v>DRLN</v>
          </cell>
          <cell r="D171">
            <v>7</v>
          </cell>
          <cell r="E171">
            <v>1</v>
          </cell>
          <cell r="F171" t="str">
            <v xml:space="preserve">B </v>
          </cell>
          <cell r="G171">
            <v>5</v>
          </cell>
          <cell r="H171">
            <v>5105</v>
          </cell>
          <cell r="I171">
            <v>878112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17020338</v>
          </cell>
          <cell r="P171">
            <v>0</v>
          </cell>
          <cell r="Q171">
            <v>0</v>
          </cell>
          <cell r="R171">
            <v>224284</v>
          </cell>
          <cell r="S171">
            <v>0</v>
          </cell>
          <cell r="T171">
            <v>458412</v>
          </cell>
          <cell r="U171">
            <v>2893538</v>
          </cell>
          <cell r="V171">
            <v>0</v>
          </cell>
          <cell r="W171">
            <v>0</v>
          </cell>
          <cell r="X171">
            <v>0</v>
          </cell>
          <cell r="Y171">
            <v>1762348</v>
          </cell>
          <cell r="Z171">
            <v>17020338</v>
          </cell>
          <cell r="AA171">
            <v>19465382</v>
          </cell>
          <cell r="AB171" t="str">
            <v>ERPA</v>
          </cell>
          <cell r="AC171">
            <v>1101</v>
          </cell>
          <cell r="AD171">
            <v>2</v>
          </cell>
          <cell r="AE171">
            <v>878112</v>
          </cell>
        </row>
        <row r="172">
          <cell r="A172" t="str">
            <v>SML</v>
          </cell>
          <cell r="B172">
            <v>0</v>
          </cell>
          <cell r="C172" t="str">
            <v>DRLN</v>
          </cell>
          <cell r="D172">
            <v>7</v>
          </cell>
          <cell r="E172">
            <v>1</v>
          </cell>
          <cell r="F172" t="str">
            <v xml:space="preserve">B </v>
          </cell>
          <cell r="G172">
            <v>6</v>
          </cell>
          <cell r="H172">
            <v>2919</v>
          </cell>
          <cell r="I172">
            <v>680198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13186969</v>
          </cell>
          <cell r="P172">
            <v>0</v>
          </cell>
          <cell r="Q172">
            <v>0</v>
          </cell>
          <cell r="R172">
            <v>215375</v>
          </cell>
          <cell r="S172">
            <v>0</v>
          </cell>
          <cell r="T172">
            <v>392802</v>
          </cell>
          <cell r="U172">
            <v>2242521</v>
          </cell>
          <cell r="V172">
            <v>0</v>
          </cell>
          <cell r="W172">
            <v>0</v>
          </cell>
          <cell r="X172">
            <v>0</v>
          </cell>
          <cell r="Y172">
            <v>975568</v>
          </cell>
          <cell r="Z172">
            <v>13186969</v>
          </cell>
          <cell r="AA172">
            <v>14770714</v>
          </cell>
          <cell r="AB172" t="str">
            <v>ERPA</v>
          </cell>
          <cell r="AC172">
            <v>1101</v>
          </cell>
          <cell r="AD172">
            <v>2</v>
          </cell>
          <cell r="AE172">
            <v>680198</v>
          </cell>
        </row>
        <row r="173">
          <cell r="A173" t="str">
            <v>SML</v>
          </cell>
          <cell r="B173">
            <v>0</v>
          </cell>
          <cell r="C173" t="str">
            <v>DRLN</v>
          </cell>
          <cell r="D173">
            <v>7</v>
          </cell>
          <cell r="E173">
            <v>1</v>
          </cell>
          <cell r="F173" t="str">
            <v xml:space="preserve">B </v>
          </cell>
          <cell r="G173">
            <v>7</v>
          </cell>
          <cell r="H173">
            <v>558</v>
          </cell>
          <cell r="I173">
            <v>180219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3628257</v>
          </cell>
          <cell r="P173">
            <v>0</v>
          </cell>
          <cell r="Q173">
            <v>0</v>
          </cell>
          <cell r="R173">
            <v>44447</v>
          </cell>
          <cell r="S173">
            <v>0</v>
          </cell>
          <cell r="T173">
            <v>87761</v>
          </cell>
          <cell r="U173">
            <v>725897</v>
          </cell>
          <cell r="V173">
            <v>283</v>
          </cell>
          <cell r="W173">
            <v>0</v>
          </cell>
          <cell r="X173">
            <v>0</v>
          </cell>
          <cell r="Y173">
            <v>244532</v>
          </cell>
          <cell r="Z173">
            <v>3628257</v>
          </cell>
          <cell r="AA173">
            <v>4005280</v>
          </cell>
          <cell r="AB173" t="str">
            <v>ERPA</v>
          </cell>
          <cell r="AC173">
            <v>1101</v>
          </cell>
          <cell r="AD173">
            <v>2</v>
          </cell>
          <cell r="AE173">
            <v>180219</v>
          </cell>
        </row>
        <row r="174">
          <cell r="A174" t="str">
            <v>SML</v>
          </cell>
          <cell r="B174">
            <v>0</v>
          </cell>
          <cell r="C174" t="str">
            <v>DRLN</v>
          </cell>
          <cell r="D174">
            <v>7</v>
          </cell>
          <cell r="E174">
            <v>1</v>
          </cell>
          <cell r="F174" t="str">
            <v xml:space="preserve">B </v>
          </cell>
          <cell r="G174">
            <v>8</v>
          </cell>
          <cell r="H174">
            <v>188</v>
          </cell>
          <cell r="I174">
            <v>77681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1563263</v>
          </cell>
          <cell r="P174">
            <v>0</v>
          </cell>
          <cell r="Q174">
            <v>0</v>
          </cell>
          <cell r="R174">
            <v>21264</v>
          </cell>
          <cell r="S174">
            <v>0</v>
          </cell>
          <cell r="T174">
            <v>63459</v>
          </cell>
          <cell r="U174">
            <v>312720</v>
          </cell>
          <cell r="V174">
            <v>189</v>
          </cell>
          <cell r="W174">
            <v>0</v>
          </cell>
          <cell r="X174">
            <v>0</v>
          </cell>
          <cell r="Y174">
            <v>85285</v>
          </cell>
          <cell r="Z174">
            <v>1563263</v>
          </cell>
          <cell r="AA174">
            <v>1733460</v>
          </cell>
          <cell r="AB174" t="str">
            <v>ERPA</v>
          </cell>
          <cell r="AC174">
            <v>1101</v>
          </cell>
          <cell r="AD174">
            <v>2</v>
          </cell>
          <cell r="AE174">
            <v>77681</v>
          </cell>
        </row>
        <row r="175">
          <cell r="A175" t="str">
            <v>SML</v>
          </cell>
          <cell r="B175">
            <v>0</v>
          </cell>
          <cell r="C175" t="str">
            <v>DRLN</v>
          </cell>
          <cell r="D175">
            <v>7</v>
          </cell>
          <cell r="E175">
            <v>1</v>
          </cell>
          <cell r="F175" t="str">
            <v xml:space="preserve">B </v>
          </cell>
          <cell r="G175">
            <v>9</v>
          </cell>
          <cell r="H175">
            <v>165</v>
          </cell>
          <cell r="I175">
            <v>76582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1649110</v>
          </cell>
          <cell r="P175">
            <v>0</v>
          </cell>
          <cell r="Q175">
            <v>0</v>
          </cell>
          <cell r="R175">
            <v>14626</v>
          </cell>
          <cell r="S175">
            <v>0</v>
          </cell>
          <cell r="T175">
            <v>4422</v>
          </cell>
          <cell r="U175">
            <v>412348</v>
          </cell>
          <cell r="V175">
            <v>0</v>
          </cell>
          <cell r="W175">
            <v>0</v>
          </cell>
          <cell r="X175">
            <v>0</v>
          </cell>
          <cell r="Y175">
            <v>79319</v>
          </cell>
          <cell r="Z175">
            <v>1649110</v>
          </cell>
          <cell r="AA175">
            <v>1747477</v>
          </cell>
          <cell r="AB175" t="str">
            <v>ERPA</v>
          </cell>
          <cell r="AC175">
            <v>1101</v>
          </cell>
          <cell r="AD175">
            <v>2</v>
          </cell>
          <cell r="AE175">
            <v>76582</v>
          </cell>
        </row>
        <row r="176">
          <cell r="A176" t="str">
            <v>SML</v>
          </cell>
          <cell r="B176">
            <v>0</v>
          </cell>
          <cell r="C176" t="str">
            <v>DRLN</v>
          </cell>
          <cell r="D176">
            <v>7</v>
          </cell>
          <cell r="E176">
            <v>1</v>
          </cell>
          <cell r="F176" t="str">
            <v xml:space="preserve">B </v>
          </cell>
          <cell r="G176">
            <v>10</v>
          </cell>
          <cell r="H176">
            <v>47</v>
          </cell>
          <cell r="I176">
            <v>-37280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-774738</v>
          </cell>
          <cell r="P176">
            <v>0</v>
          </cell>
          <cell r="Q176">
            <v>0</v>
          </cell>
          <cell r="R176">
            <v>6281</v>
          </cell>
          <cell r="S176">
            <v>0</v>
          </cell>
          <cell r="T176">
            <v>15394</v>
          </cell>
          <cell r="U176">
            <v>-193670</v>
          </cell>
          <cell r="V176">
            <v>0</v>
          </cell>
          <cell r="W176">
            <v>0</v>
          </cell>
          <cell r="X176">
            <v>0</v>
          </cell>
          <cell r="Y176">
            <v>10444</v>
          </cell>
          <cell r="Z176">
            <v>-774738</v>
          </cell>
          <cell r="AA176">
            <v>-742619</v>
          </cell>
          <cell r="AB176" t="str">
            <v>ERPA</v>
          </cell>
          <cell r="AC176">
            <v>1101</v>
          </cell>
          <cell r="AD176">
            <v>2</v>
          </cell>
          <cell r="AE176">
            <v>-37280</v>
          </cell>
        </row>
        <row r="177">
          <cell r="A177" t="str">
            <v>SML</v>
          </cell>
          <cell r="B177">
            <v>0</v>
          </cell>
          <cell r="C177" t="str">
            <v>DRLN</v>
          </cell>
          <cell r="D177">
            <v>7</v>
          </cell>
          <cell r="E177">
            <v>1</v>
          </cell>
          <cell r="F177" t="str">
            <v xml:space="preserve">B </v>
          </cell>
          <cell r="G177">
            <v>11</v>
          </cell>
          <cell r="H177">
            <v>2252</v>
          </cell>
          <cell r="I177">
            <v>56323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318172</v>
          </cell>
          <cell r="P177">
            <v>0</v>
          </cell>
          <cell r="Q177">
            <v>0</v>
          </cell>
          <cell r="R177">
            <v>24696</v>
          </cell>
          <cell r="S177">
            <v>0</v>
          </cell>
          <cell r="T177">
            <v>147476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104566</v>
          </cell>
          <cell r="Z177">
            <v>318172</v>
          </cell>
          <cell r="AA177">
            <v>594910</v>
          </cell>
          <cell r="AB177" t="str">
            <v>ERPA</v>
          </cell>
          <cell r="AC177">
            <v>1101</v>
          </cell>
          <cell r="AD177">
            <v>2</v>
          </cell>
          <cell r="AE177">
            <v>36130</v>
          </cell>
        </row>
        <row r="178">
          <cell r="A178" t="str">
            <v>SML</v>
          </cell>
          <cell r="B178">
            <v>0</v>
          </cell>
          <cell r="C178" t="str">
            <v>DRLN</v>
          </cell>
          <cell r="D178">
            <v>7</v>
          </cell>
          <cell r="E178">
            <v>1</v>
          </cell>
          <cell r="F178" t="str">
            <v xml:space="preserve">B </v>
          </cell>
          <cell r="G178">
            <v>12</v>
          </cell>
          <cell r="H178">
            <v>5516</v>
          </cell>
          <cell r="I178">
            <v>375589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3569993</v>
          </cell>
          <cell r="P178">
            <v>0</v>
          </cell>
          <cell r="Q178">
            <v>0</v>
          </cell>
          <cell r="R178">
            <v>61558</v>
          </cell>
          <cell r="S178">
            <v>0</v>
          </cell>
          <cell r="T178">
            <v>144657</v>
          </cell>
          <cell r="U178">
            <v>607066</v>
          </cell>
          <cell r="V178">
            <v>472</v>
          </cell>
          <cell r="W178">
            <v>0</v>
          </cell>
          <cell r="X178">
            <v>0</v>
          </cell>
          <cell r="Y178">
            <v>781883</v>
          </cell>
          <cell r="Z178">
            <v>3569993</v>
          </cell>
          <cell r="AA178">
            <v>4558563</v>
          </cell>
          <cell r="AB178" t="str">
            <v>ERPA</v>
          </cell>
          <cell r="AC178">
            <v>1101</v>
          </cell>
          <cell r="AD178">
            <v>2</v>
          </cell>
          <cell r="AE178">
            <v>375589</v>
          </cell>
        </row>
        <row r="179">
          <cell r="A179" t="str">
            <v>SML</v>
          </cell>
          <cell r="B179">
            <v>0</v>
          </cell>
          <cell r="C179" t="str">
            <v>DRLN</v>
          </cell>
          <cell r="D179">
            <v>7</v>
          </cell>
          <cell r="E179">
            <v>1</v>
          </cell>
          <cell r="F179" t="str">
            <v xml:space="preserve">B </v>
          </cell>
          <cell r="G179">
            <v>13</v>
          </cell>
          <cell r="H179">
            <v>1345</v>
          </cell>
          <cell r="I179">
            <v>158408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2025987</v>
          </cell>
          <cell r="P179">
            <v>0</v>
          </cell>
          <cell r="Q179">
            <v>0</v>
          </cell>
          <cell r="R179">
            <v>29021</v>
          </cell>
          <cell r="S179">
            <v>0</v>
          </cell>
          <cell r="T179">
            <v>74460</v>
          </cell>
          <cell r="U179">
            <v>344456</v>
          </cell>
          <cell r="V179">
            <v>0</v>
          </cell>
          <cell r="W179">
            <v>0</v>
          </cell>
          <cell r="X179">
            <v>0</v>
          </cell>
          <cell r="Y179">
            <v>283857</v>
          </cell>
          <cell r="Z179">
            <v>2025987</v>
          </cell>
          <cell r="AA179">
            <v>2413325</v>
          </cell>
          <cell r="AB179" t="str">
            <v>ERPA</v>
          </cell>
          <cell r="AC179">
            <v>1101</v>
          </cell>
          <cell r="AD179">
            <v>2</v>
          </cell>
          <cell r="AE179">
            <v>158408</v>
          </cell>
        </row>
        <row r="180">
          <cell r="A180" t="str">
            <v>SML</v>
          </cell>
          <cell r="B180">
            <v>0</v>
          </cell>
          <cell r="C180" t="str">
            <v>DRLN</v>
          </cell>
          <cell r="D180">
            <v>7</v>
          </cell>
          <cell r="E180">
            <v>1</v>
          </cell>
          <cell r="F180" t="str">
            <v xml:space="preserve">B </v>
          </cell>
          <cell r="G180">
            <v>14</v>
          </cell>
          <cell r="H180">
            <v>120</v>
          </cell>
          <cell r="I180">
            <v>17488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222251</v>
          </cell>
          <cell r="P180">
            <v>0</v>
          </cell>
          <cell r="Q180">
            <v>0</v>
          </cell>
          <cell r="R180">
            <v>2864</v>
          </cell>
          <cell r="S180">
            <v>0</v>
          </cell>
          <cell r="T180">
            <v>2759</v>
          </cell>
          <cell r="U180">
            <v>37790</v>
          </cell>
          <cell r="V180">
            <v>0</v>
          </cell>
          <cell r="W180">
            <v>0</v>
          </cell>
          <cell r="X180">
            <v>0</v>
          </cell>
          <cell r="Y180">
            <v>34349</v>
          </cell>
          <cell r="Z180">
            <v>222251</v>
          </cell>
          <cell r="AA180">
            <v>262223</v>
          </cell>
          <cell r="AB180" t="str">
            <v>ERPA</v>
          </cell>
          <cell r="AC180">
            <v>1101</v>
          </cell>
          <cell r="AD180">
            <v>2</v>
          </cell>
          <cell r="AE180">
            <v>17488</v>
          </cell>
        </row>
        <row r="181">
          <cell r="A181" t="str">
            <v>SML</v>
          </cell>
          <cell r="B181">
            <v>0</v>
          </cell>
          <cell r="C181" t="str">
            <v>DRLN</v>
          </cell>
          <cell r="D181">
            <v>7</v>
          </cell>
          <cell r="E181">
            <v>1</v>
          </cell>
          <cell r="F181" t="str">
            <v xml:space="preserve">B </v>
          </cell>
          <cell r="G181">
            <v>15</v>
          </cell>
          <cell r="H181">
            <v>187</v>
          </cell>
          <cell r="I181">
            <v>28490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373932</v>
          </cell>
          <cell r="P181">
            <v>0</v>
          </cell>
          <cell r="Q181">
            <v>0</v>
          </cell>
          <cell r="R181">
            <v>13784</v>
          </cell>
          <cell r="S181">
            <v>0</v>
          </cell>
          <cell r="T181">
            <v>8595</v>
          </cell>
          <cell r="U181">
            <v>54614</v>
          </cell>
          <cell r="V181">
            <v>0</v>
          </cell>
          <cell r="W181">
            <v>0</v>
          </cell>
          <cell r="X181">
            <v>0</v>
          </cell>
          <cell r="Y181">
            <v>70664</v>
          </cell>
          <cell r="Z181">
            <v>373932</v>
          </cell>
          <cell r="AA181">
            <v>466975</v>
          </cell>
          <cell r="AB181" t="str">
            <v>ERPA</v>
          </cell>
          <cell r="AC181">
            <v>1101</v>
          </cell>
          <cell r="AD181">
            <v>2</v>
          </cell>
          <cell r="AE181">
            <v>28490</v>
          </cell>
        </row>
        <row r="182">
          <cell r="A182" t="str">
            <v>SML</v>
          </cell>
          <cell r="B182">
            <v>0</v>
          </cell>
          <cell r="C182" t="str">
            <v>DRLN</v>
          </cell>
          <cell r="D182">
            <v>7</v>
          </cell>
          <cell r="E182">
            <v>2</v>
          </cell>
          <cell r="F182" t="str">
            <v>A3</v>
          </cell>
          <cell r="G182">
            <v>26</v>
          </cell>
          <cell r="H182">
            <v>4</v>
          </cell>
          <cell r="I182">
            <v>6112138</v>
          </cell>
          <cell r="J182">
            <v>381315</v>
          </cell>
          <cell r="K182">
            <v>5730823</v>
          </cell>
          <cell r="L182">
            <v>15800</v>
          </cell>
          <cell r="M182">
            <v>12900</v>
          </cell>
          <cell r="N182">
            <v>8900</v>
          </cell>
          <cell r="O182">
            <v>35067153</v>
          </cell>
          <cell r="P182">
            <v>21244934</v>
          </cell>
          <cell r="Q182">
            <v>126783</v>
          </cell>
          <cell r="R182">
            <v>0</v>
          </cell>
          <cell r="S182">
            <v>0</v>
          </cell>
          <cell r="T182">
            <v>0</v>
          </cell>
          <cell r="U182">
            <v>14109718</v>
          </cell>
          <cell r="V182">
            <v>0</v>
          </cell>
          <cell r="W182">
            <v>0</v>
          </cell>
          <cell r="X182">
            <v>0</v>
          </cell>
          <cell r="Y182">
            <v>2244</v>
          </cell>
          <cell r="Z182">
            <v>56438870</v>
          </cell>
          <cell r="AA182">
            <v>56441114</v>
          </cell>
          <cell r="AB182" t="str">
            <v>ERPA</v>
          </cell>
          <cell r="AC182">
            <v>1101</v>
          </cell>
          <cell r="AD182">
            <v>2</v>
          </cell>
          <cell r="AE182">
            <v>6112138</v>
          </cell>
        </row>
        <row r="183">
          <cell r="A183" t="str">
            <v>SML</v>
          </cell>
          <cell r="B183">
            <v>0</v>
          </cell>
          <cell r="C183" t="str">
            <v>DRLN</v>
          </cell>
          <cell r="D183">
            <v>7</v>
          </cell>
          <cell r="E183">
            <v>2</v>
          </cell>
          <cell r="F183" t="str">
            <v>A4</v>
          </cell>
          <cell r="G183">
            <v>22</v>
          </cell>
          <cell r="H183">
            <v>9</v>
          </cell>
          <cell r="I183">
            <v>4038842</v>
          </cell>
          <cell r="J183">
            <v>368566</v>
          </cell>
          <cell r="K183">
            <v>3670276</v>
          </cell>
          <cell r="L183">
            <v>15388</v>
          </cell>
          <cell r="M183">
            <v>11666</v>
          </cell>
          <cell r="N183">
            <v>9125</v>
          </cell>
          <cell r="O183">
            <v>28706302</v>
          </cell>
          <cell r="P183">
            <v>27946498</v>
          </cell>
          <cell r="Q183">
            <v>817109</v>
          </cell>
          <cell r="R183">
            <v>89302</v>
          </cell>
          <cell r="S183">
            <v>0</v>
          </cell>
          <cell r="T183">
            <v>0</v>
          </cell>
          <cell r="U183">
            <v>14465514</v>
          </cell>
          <cell r="V183">
            <v>0</v>
          </cell>
          <cell r="W183">
            <v>392139</v>
          </cell>
          <cell r="X183">
            <v>0</v>
          </cell>
          <cell r="Y183">
            <v>19638</v>
          </cell>
          <cell r="Z183">
            <v>57862048</v>
          </cell>
          <cell r="AA183">
            <v>57970988</v>
          </cell>
          <cell r="AB183" t="str">
            <v>ERPA</v>
          </cell>
          <cell r="AC183">
            <v>1101</v>
          </cell>
          <cell r="AD183">
            <v>2</v>
          </cell>
          <cell r="AE183">
            <v>4038842</v>
          </cell>
        </row>
        <row r="184">
          <cell r="A184" t="str">
            <v>SML</v>
          </cell>
          <cell r="B184">
            <v>0</v>
          </cell>
          <cell r="C184" t="str">
            <v>DRLN</v>
          </cell>
          <cell r="D184">
            <v>7</v>
          </cell>
          <cell r="E184">
            <v>2</v>
          </cell>
          <cell r="F184" t="str">
            <v>A4</v>
          </cell>
          <cell r="G184">
            <v>21</v>
          </cell>
          <cell r="H184">
            <v>16</v>
          </cell>
          <cell r="I184">
            <v>1049178</v>
          </cell>
          <cell r="J184">
            <v>49102</v>
          </cell>
          <cell r="K184">
            <v>1000076</v>
          </cell>
          <cell r="L184">
            <v>4258</v>
          </cell>
          <cell r="M184">
            <v>4120</v>
          </cell>
          <cell r="N184">
            <v>0</v>
          </cell>
          <cell r="O184">
            <v>9476222</v>
          </cell>
          <cell r="P184">
            <v>3491596</v>
          </cell>
          <cell r="Q184">
            <v>536593</v>
          </cell>
          <cell r="R184">
            <v>141549</v>
          </cell>
          <cell r="S184">
            <v>0</v>
          </cell>
          <cell r="T184">
            <v>815343</v>
          </cell>
          <cell r="U184">
            <v>3399415</v>
          </cell>
          <cell r="V184">
            <v>0</v>
          </cell>
          <cell r="W184">
            <v>93239</v>
          </cell>
          <cell r="X184">
            <v>0</v>
          </cell>
          <cell r="Y184">
            <v>34788</v>
          </cell>
          <cell r="Z184">
            <v>13597650</v>
          </cell>
          <cell r="AA184">
            <v>14589330</v>
          </cell>
          <cell r="AB184" t="str">
            <v>ERPA</v>
          </cell>
          <cell r="AC184">
            <v>1101</v>
          </cell>
          <cell r="AD184">
            <v>2</v>
          </cell>
          <cell r="AE184">
            <v>1049178</v>
          </cell>
        </row>
        <row r="185">
          <cell r="A185" t="str">
            <v>SML</v>
          </cell>
          <cell r="B185">
            <v>0</v>
          </cell>
          <cell r="C185" t="str">
            <v>DRLN</v>
          </cell>
          <cell r="D185">
            <v>7</v>
          </cell>
          <cell r="E185">
            <v>2</v>
          </cell>
          <cell r="F185" t="str">
            <v>A4</v>
          </cell>
          <cell r="G185">
            <v>20</v>
          </cell>
          <cell r="H185">
            <v>43</v>
          </cell>
          <cell r="I185">
            <v>814111</v>
          </cell>
          <cell r="J185">
            <v>0</v>
          </cell>
          <cell r="K185">
            <v>0</v>
          </cell>
          <cell r="L185">
            <v>3667</v>
          </cell>
          <cell r="M185">
            <v>0</v>
          </cell>
          <cell r="N185">
            <v>0</v>
          </cell>
          <cell r="O185">
            <v>9341652</v>
          </cell>
          <cell r="P185">
            <v>2870037</v>
          </cell>
          <cell r="Q185">
            <v>583824</v>
          </cell>
          <cell r="R185">
            <v>113570</v>
          </cell>
          <cell r="S185">
            <v>0</v>
          </cell>
          <cell r="T185">
            <v>1077902</v>
          </cell>
          <cell r="U185">
            <v>3261686</v>
          </cell>
          <cell r="V185">
            <v>0</v>
          </cell>
          <cell r="W185">
            <v>251236</v>
          </cell>
          <cell r="X185">
            <v>0</v>
          </cell>
          <cell r="Y185">
            <v>87470</v>
          </cell>
          <cell r="Z185">
            <v>13046749</v>
          </cell>
          <cell r="AA185">
            <v>14325691</v>
          </cell>
          <cell r="AB185" t="str">
            <v>ERPA</v>
          </cell>
          <cell r="AC185">
            <v>1101</v>
          </cell>
          <cell r="AD185">
            <v>2</v>
          </cell>
          <cell r="AE185">
            <v>814111</v>
          </cell>
        </row>
        <row r="186">
          <cell r="A186" t="str">
            <v>SML</v>
          </cell>
          <cell r="B186">
            <v>0</v>
          </cell>
          <cell r="C186" t="str">
            <v>DRLN</v>
          </cell>
          <cell r="D186">
            <v>7</v>
          </cell>
          <cell r="E186">
            <v>2</v>
          </cell>
          <cell r="F186" t="str">
            <v xml:space="preserve">B </v>
          </cell>
          <cell r="G186">
            <v>0</v>
          </cell>
          <cell r="H186">
            <v>180</v>
          </cell>
          <cell r="I186">
            <v>211244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4397782</v>
          </cell>
          <cell r="P186">
            <v>0</v>
          </cell>
          <cell r="Q186">
            <v>0</v>
          </cell>
          <cell r="R186">
            <v>90475</v>
          </cell>
          <cell r="S186">
            <v>0</v>
          </cell>
          <cell r="T186">
            <v>1104426</v>
          </cell>
          <cell r="U186">
            <v>1093417</v>
          </cell>
          <cell r="V186">
            <v>0</v>
          </cell>
          <cell r="W186">
            <v>0</v>
          </cell>
          <cell r="X186">
            <v>0</v>
          </cell>
          <cell r="Y186">
            <v>207186</v>
          </cell>
          <cell r="Z186">
            <v>4397782</v>
          </cell>
          <cell r="AA186">
            <v>5799869</v>
          </cell>
          <cell r="AB186" t="str">
            <v>ERPA</v>
          </cell>
          <cell r="AC186">
            <v>1101</v>
          </cell>
          <cell r="AD186">
            <v>2</v>
          </cell>
          <cell r="AE186">
            <v>210254</v>
          </cell>
        </row>
        <row r="187">
          <cell r="A187" t="str">
            <v>SML</v>
          </cell>
          <cell r="B187">
            <v>0</v>
          </cell>
          <cell r="C187" t="str">
            <v>DRLN</v>
          </cell>
          <cell r="D187">
            <v>7</v>
          </cell>
          <cell r="E187">
            <v>3</v>
          </cell>
          <cell r="F187" t="str">
            <v>A4</v>
          </cell>
          <cell r="G187">
            <v>21</v>
          </cell>
          <cell r="H187">
            <v>1</v>
          </cell>
          <cell r="I187">
            <v>14504</v>
          </cell>
          <cell r="J187">
            <v>1086</v>
          </cell>
          <cell r="K187">
            <v>13418</v>
          </cell>
          <cell r="L187">
            <v>80</v>
          </cell>
          <cell r="M187">
            <v>80</v>
          </cell>
          <cell r="N187">
            <v>0</v>
          </cell>
          <cell r="O187">
            <v>153403</v>
          </cell>
          <cell r="P187">
            <v>55253</v>
          </cell>
          <cell r="Q187">
            <v>5692</v>
          </cell>
          <cell r="R187">
            <v>0</v>
          </cell>
          <cell r="S187">
            <v>0</v>
          </cell>
          <cell r="T187">
            <v>0</v>
          </cell>
          <cell r="U187">
            <v>53587</v>
          </cell>
          <cell r="V187">
            <v>0</v>
          </cell>
          <cell r="W187">
            <v>0</v>
          </cell>
          <cell r="X187">
            <v>0</v>
          </cell>
          <cell r="Y187">
            <v>2244</v>
          </cell>
          <cell r="Z187">
            <v>214348</v>
          </cell>
          <cell r="AA187">
            <v>216592</v>
          </cell>
          <cell r="AB187" t="str">
            <v>ERPA</v>
          </cell>
          <cell r="AC187">
            <v>1101</v>
          </cell>
          <cell r="AD187">
            <v>2</v>
          </cell>
          <cell r="AE187">
            <v>14504</v>
          </cell>
        </row>
        <row r="188">
          <cell r="A188" t="str">
            <v>SML</v>
          </cell>
          <cell r="B188">
            <v>0</v>
          </cell>
          <cell r="C188" t="str">
            <v>DRLN</v>
          </cell>
          <cell r="D188">
            <v>7</v>
          </cell>
          <cell r="E188">
            <v>3</v>
          </cell>
          <cell r="F188" t="str">
            <v>A4</v>
          </cell>
          <cell r="G188">
            <v>20</v>
          </cell>
          <cell r="H188">
            <v>34</v>
          </cell>
          <cell r="I188">
            <v>540139</v>
          </cell>
          <cell r="J188">
            <v>0</v>
          </cell>
          <cell r="K188">
            <v>0</v>
          </cell>
          <cell r="L188">
            <v>1918</v>
          </cell>
          <cell r="M188">
            <v>0</v>
          </cell>
          <cell r="N188">
            <v>0</v>
          </cell>
          <cell r="O188">
            <v>6197917</v>
          </cell>
          <cell r="P188">
            <v>1501156</v>
          </cell>
          <cell r="Q188">
            <v>269438</v>
          </cell>
          <cell r="R188">
            <v>43895</v>
          </cell>
          <cell r="S188">
            <v>0</v>
          </cell>
          <cell r="T188">
            <v>0</v>
          </cell>
          <cell r="U188">
            <v>2000932</v>
          </cell>
          <cell r="V188">
            <v>0</v>
          </cell>
          <cell r="W188">
            <v>56352</v>
          </cell>
          <cell r="X188">
            <v>0</v>
          </cell>
          <cell r="Y188">
            <v>75826</v>
          </cell>
          <cell r="Z188">
            <v>8024863</v>
          </cell>
          <cell r="AA188">
            <v>8144584</v>
          </cell>
          <cell r="AB188" t="str">
            <v>ERPA</v>
          </cell>
          <cell r="AC188">
            <v>1101</v>
          </cell>
          <cell r="AD188">
            <v>2</v>
          </cell>
          <cell r="AE188">
            <v>540139</v>
          </cell>
        </row>
        <row r="189">
          <cell r="A189" t="str">
            <v>SML</v>
          </cell>
          <cell r="B189">
            <v>0</v>
          </cell>
          <cell r="C189" t="str">
            <v>DRLN</v>
          </cell>
          <cell r="D189">
            <v>7</v>
          </cell>
          <cell r="E189">
            <v>3</v>
          </cell>
          <cell r="F189" t="str">
            <v xml:space="preserve">B </v>
          </cell>
          <cell r="G189">
            <v>0</v>
          </cell>
          <cell r="H189">
            <v>4845</v>
          </cell>
          <cell r="I189">
            <v>1112516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23209098</v>
          </cell>
          <cell r="P189">
            <v>0</v>
          </cell>
          <cell r="Q189">
            <v>0</v>
          </cell>
          <cell r="R189">
            <v>396980</v>
          </cell>
          <cell r="S189">
            <v>0</v>
          </cell>
          <cell r="T189">
            <v>1413737</v>
          </cell>
          <cell r="U189">
            <v>5751094</v>
          </cell>
          <cell r="V189">
            <v>94</v>
          </cell>
          <cell r="W189">
            <v>0</v>
          </cell>
          <cell r="X189">
            <v>0</v>
          </cell>
          <cell r="Y189">
            <v>2074894</v>
          </cell>
          <cell r="Z189">
            <v>23209098</v>
          </cell>
          <cell r="AA189">
            <v>27094803</v>
          </cell>
          <cell r="AB189" t="str">
            <v>ERPA</v>
          </cell>
          <cell r="AC189">
            <v>1101</v>
          </cell>
          <cell r="AD189">
            <v>2</v>
          </cell>
          <cell r="AE189">
            <v>1086284</v>
          </cell>
        </row>
        <row r="190">
          <cell r="A190" t="str">
            <v>SML</v>
          </cell>
          <cell r="B190">
            <v>0</v>
          </cell>
          <cell r="C190" t="str">
            <v>DRLN</v>
          </cell>
          <cell r="D190">
            <v>7</v>
          </cell>
          <cell r="E190">
            <v>4</v>
          </cell>
          <cell r="F190" t="str">
            <v>A4</v>
          </cell>
          <cell r="G190">
            <v>20</v>
          </cell>
          <cell r="H190">
            <v>3</v>
          </cell>
          <cell r="I190">
            <v>103453</v>
          </cell>
          <cell r="J190">
            <v>0</v>
          </cell>
          <cell r="K190">
            <v>0</v>
          </cell>
          <cell r="L190">
            <v>211</v>
          </cell>
          <cell r="M190">
            <v>0</v>
          </cell>
          <cell r="N190">
            <v>0</v>
          </cell>
          <cell r="O190">
            <v>801243</v>
          </cell>
          <cell r="P190">
            <v>111408</v>
          </cell>
          <cell r="Q190">
            <v>21833</v>
          </cell>
          <cell r="R190">
            <v>3819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3696</v>
          </cell>
          <cell r="X190">
            <v>0</v>
          </cell>
          <cell r="Y190">
            <v>0</v>
          </cell>
          <cell r="Z190">
            <v>938180</v>
          </cell>
          <cell r="AA190">
            <v>941999</v>
          </cell>
          <cell r="AB190" t="str">
            <v>ERPA</v>
          </cell>
          <cell r="AC190">
            <v>1101</v>
          </cell>
          <cell r="AD190">
            <v>2</v>
          </cell>
          <cell r="AE190">
            <v>103453</v>
          </cell>
        </row>
        <row r="191">
          <cell r="A191" t="str">
            <v>SML</v>
          </cell>
          <cell r="B191">
            <v>0</v>
          </cell>
          <cell r="C191" t="str">
            <v>DRLN</v>
          </cell>
          <cell r="D191">
            <v>7</v>
          </cell>
          <cell r="E191">
            <v>4</v>
          </cell>
          <cell r="F191" t="str">
            <v xml:space="preserve">B </v>
          </cell>
          <cell r="G191">
            <v>0</v>
          </cell>
          <cell r="H191">
            <v>161</v>
          </cell>
          <cell r="I191">
            <v>138418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1355029</v>
          </cell>
          <cell r="P191">
            <v>0</v>
          </cell>
          <cell r="Q191">
            <v>0</v>
          </cell>
          <cell r="R191">
            <v>10</v>
          </cell>
          <cell r="S191">
            <v>0</v>
          </cell>
          <cell r="T191">
            <v>199882</v>
          </cell>
          <cell r="U191">
            <v>0</v>
          </cell>
          <cell r="V191">
            <v>189</v>
          </cell>
          <cell r="W191">
            <v>0</v>
          </cell>
          <cell r="X191">
            <v>0</v>
          </cell>
          <cell r="Y191">
            <v>0</v>
          </cell>
          <cell r="Z191">
            <v>1355029</v>
          </cell>
          <cell r="AA191">
            <v>1555110</v>
          </cell>
          <cell r="AB191" t="str">
            <v>ERPA</v>
          </cell>
          <cell r="AC191">
            <v>1101</v>
          </cell>
          <cell r="AD191">
            <v>2</v>
          </cell>
          <cell r="AE191">
            <v>137964</v>
          </cell>
        </row>
        <row r="192">
          <cell r="A192" t="str">
            <v>SML</v>
          </cell>
          <cell r="B192">
            <v>0</v>
          </cell>
          <cell r="C192" t="str">
            <v>DRLN</v>
          </cell>
          <cell r="D192">
            <v>7</v>
          </cell>
          <cell r="E192">
            <v>5</v>
          </cell>
          <cell r="F192" t="str">
            <v>A4</v>
          </cell>
          <cell r="G192">
            <v>21</v>
          </cell>
          <cell r="H192">
            <v>1</v>
          </cell>
          <cell r="I192">
            <v>25046</v>
          </cell>
          <cell r="J192">
            <v>1299</v>
          </cell>
          <cell r="K192">
            <v>23747</v>
          </cell>
          <cell r="L192">
            <v>109</v>
          </cell>
          <cell r="M192">
            <v>109</v>
          </cell>
          <cell r="N192">
            <v>0</v>
          </cell>
          <cell r="O192">
            <v>233195</v>
          </cell>
          <cell r="P192">
            <v>75283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77120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308478</v>
          </cell>
          <cell r="AA192">
            <v>308478</v>
          </cell>
          <cell r="AB192" t="str">
            <v>ERPA</v>
          </cell>
          <cell r="AC192">
            <v>1101</v>
          </cell>
          <cell r="AD192">
            <v>2</v>
          </cell>
          <cell r="AE192">
            <v>25046</v>
          </cell>
        </row>
        <row r="193">
          <cell r="A193" t="str">
            <v>SML</v>
          </cell>
          <cell r="B193">
            <v>0</v>
          </cell>
          <cell r="C193" t="str">
            <v>DRLN</v>
          </cell>
          <cell r="D193">
            <v>7</v>
          </cell>
          <cell r="E193">
            <v>5</v>
          </cell>
          <cell r="F193" t="str">
            <v>A4</v>
          </cell>
          <cell r="G193">
            <v>20</v>
          </cell>
          <cell r="H193">
            <v>12</v>
          </cell>
          <cell r="I193">
            <v>94905</v>
          </cell>
          <cell r="J193">
            <v>0</v>
          </cell>
          <cell r="K193">
            <v>0</v>
          </cell>
          <cell r="L193">
            <v>425</v>
          </cell>
          <cell r="M193">
            <v>0</v>
          </cell>
          <cell r="N193">
            <v>0</v>
          </cell>
          <cell r="O193">
            <v>871826</v>
          </cell>
          <cell r="P193">
            <v>267476</v>
          </cell>
          <cell r="Q193">
            <v>31842</v>
          </cell>
          <cell r="R193">
            <v>8818</v>
          </cell>
          <cell r="S193">
            <v>0</v>
          </cell>
          <cell r="T193">
            <v>378000</v>
          </cell>
          <cell r="U193">
            <v>73942</v>
          </cell>
          <cell r="V193">
            <v>0</v>
          </cell>
          <cell r="W193">
            <v>10762</v>
          </cell>
          <cell r="X193">
            <v>0</v>
          </cell>
          <cell r="Y193">
            <v>0</v>
          </cell>
          <cell r="Z193">
            <v>1181906</v>
          </cell>
          <cell r="AA193">
            <v>1568724</v>
          </cell>
          <cell r="AB193" t="str">
            <v>ERPA</v>
          </cell>
          <cell r="AC193">
            <v>1101</v>
          </cell>
          <cell r="AD193">
            <v>2</v>
          </cell>
          <cell r="AE193">
            <v>94905</v>
          </cell>
        </row>
        <row r="194">
          <cell r="A194" t="str">
            <v>SML</v>
          </cell>
          <cell r="B194">
            <v>0</v>
          </cell>
          <cell r="C194" t="str">
            <v>DRLN</v>
          </cell>
          <cell r="D194">
            <v>7</v>
          </cell>
          <cell r="E194">
            <v>5</v>
          </cell>
          <cell r="F194" t="str">
            <v xml:space="preserve">B </v>
          </cell>
          <cell r="G194">
            <v>0</v>
          </cell>
          <cell r="H194">
            <v>173</v>
          </cell>
          <cell r="I194">
            <v>184657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3550245</v>
          </cell>
          <cell r="P194">
            <v>0</v>
          </cell>
          <cell r="Q194">
            <v>0</v>
          </cell>
          <cell r="R194">
            <v>11474</v>
          </cell>
          <cell r="S194">
            <v>0</v>
          </cell>
          <cell r="T194">
            <v>289619</v>
          </cell>
          <cell r="U194">
            <v>666096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3550245</v>
          </cell>
          <cell r="AA194">
            <v>3851338</v>
          </cell>
          <cell r="AB194" t="str">
            <v>ERPA</v>
          </cell>
          <cell r="AC194">
            <v>1101</v>
          </cell>
          <cell r="AD194">
            <v>2</v>
          </cell>
          <cell r="AE194">
            <v>184135</v>
          </cell>
        </row>
        <row r="195">
          <cell r="A195" t="str">
            <v>SML</v>
          </cell>
          <cell r="B195">
            <v>0</v>
          </cell>
          <cell r="C195" t="str">
            <v>DRLN</v>
          </cell>
          <cell r="D195">
            <v>7</v>
          </cell>
          <cell r="E195">
            <v>6</v>
          </cell>
          <cell r="F195" t="str">
            <v xml:space="preserve">B </v>
          </cell>
          <cell r="G195">
            <v>0</v>
          </cell>
          <cell r="H195">
            <v>2</v>
          </cell>
          <cell r="I195">
            <v>357170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4205080</v>
          </cell>
          <cell r="P195">
            <v>0</v>
          </cell>
          <cell r="Q195">
            <v>0</v>
          </cell>
          <cell r="R195">
            <v>31482</v>
          </cell>
          <cell r="S195">
            <v>0</v>
          </cell>
          <cell r="T195">
            <v>0</v>
          </cell>
          <cell r="U195">
            <v>1051271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4205080</v>
          </cell>
          <cell r="AA195">
            <v>4236562</v>
          </cell>
          <cell r="AB195" t="str">
            <v>ERPA</v>
          </cell>
          <cell r="AC195">
            <v>1101</v>
          </cell>
          <cell r="AD195">
            <v>2</v>
          </cell>
          <cell r="AE195">
            <v>357170</v>
          </cell>
        </row>
        <row r="196">
          <cell r="A196" t="str">
            <v>SML</v>
          </cell>
          <cell r="B196">
            <v>0</v>
          </cell>
          <cell r="C196" t="str">
            <v>DRLN</v>
          </cell>
          <cell r="D196">
            <v>7</v>
          </cell>
          <cell r="E196">
            <v>7</v>
          </cell>
          <cell r="F196" t="str">
            <v>A4</v>
          </cell>
          <cell r="G196">
            <v>22</v>
          </cell>
          <cell r="H196">
            <v>1</v>
          </cell>
          <cell r="I196">
            <v>384671</v>
          </cell>
          <cell r="J196">
            <v>30162</v>
          </cell>
          <cell r="K196">
            <v>354509</v>
          </cell>
          <cell r="L196">
            <v>1340</v>
          </cell>
          <cell r="M196">
            <v>675</v>
          </cell>
          <cell r="N196">
            <v>665</v>
          </cell>
          <cell r="O196">
            <v>2293736</v>
          </cell>
          <cell r="P196">
            <v>1566400</v>
          </cell>
          <cell r="Q196">
            <v>145647</v>
          </cell>
          <cell r="R196">
            <v>0</v>
          </cell>
          <cell r="S196">
            <v>0</v>
          </cell>
          <cell r="T196">
            <v>0</v>
          </cell>
          <cell r="U196">
            <v>1037819</v>
          </cell>
          <cell r="V196">
            <v>0</v>
          </cell>
          <cell r="W196">
            <v>145493</v>
          </cell>
          <cell r="X196">
            <v>0</v>
          </cell>
          <cell r="Y196">
            <v>0</v>
          </cell>
          <cell r="Z196">
            <v>4151276</v>
          </cell>
          <cell r="AA196">
            <v>4151276</v>
          </cell>
          <cell r="AB196" t="str">
            <v>ERPA</v>
          </cell>
          <cell r="AC196">
            <v>1101</v>
          </cell>
          <cell r="AD196">
            <v>2</v>
          </cell>
          <cell r="AE196">
            <v>384671</v>
          </cell>
        </row>
        <row r="197">
          <cell r="A197" t="str">
            <v>SML</v>
          </cell>
          <cell r="B197">
            <v>0</v>
          </cell>
          <cell r="C197" t="str">
            <v>DRLN</v>
          </cell>
          <cell r="D197">
            <v>7</v>
          </cell>
          <cell r="E197">
            <v>7</v>
          </cell>
          <cell r="F197" t="str">
            <v>A4</v>
          </cell>
          <cell r="G197">
            <v>20</v>
          </cell>
          <cell r="H197">
            <v>44</v>
          </cell>
          <cell r="I197">
            <v>709466</v>
          </cell>
          <cell r="J197">
            <v>0</v>
          </cell>
          <cell r="K197">
            <v>0</v>
          </cell>
          <cell r="L197">
            <v>1617</v>
          </cell>
          <cell r="M197">
            <v>0</v>
          </cell>
          <cell r="N197">
            <v>0</v>
          </cell>
          <cell r="O197">
            <v>6919662</v>
          </cell>
          <cell r="P197">
            <v>1081656</v>
          </cell>
          <cell r="Q197">
            <v>280501</v>
          </cell>
          <cell r="R197">
            <v>0</v>
          </cell>
          <cell r="S197">
            <v>0</v>
          </cell>
          <cell r="T197">
            <v>0</v>
          </cell>
          <cell r="U197">
            <v>2081908</v>
          </cell>
          <cell r="V197">
            <v>0</v>
          </cell>
          <cell r="W197">
            <v>45816</v>
          </cell>
          <cell r="X197">
            <v>0</v>
          </cell>
          <cell r="Y197">
            <v>0</v>
          </cell>
          <cell r="Z197">
            <v>8327635</v>
          </cell>
          <cell r="AA197">
            <v>8327635</v>
          </cell>
          <cell r="AB197" t="str">
            <v>ERPA</v>
          </cell>
          <cell r="AC197">
            <v>1101</v>
          </cell>
          <cell r="AD197">
            <v>2</v>
          </cell>
          <cell r="AE197">
            <v>709466</v>
          </cell>
        </row>
        <row r="198">
          <cell r="A198" t="str">
            <v>SML</v>
          </cell>
          <cell r="B198">
            <v>0</v>
          </cell>
          <cell r="C198" t="str">
            <v>DRLN</v>
          </cell>
          <cell r="D198">
            <v>7</v>
          </cell>
          <cell r="E198">
            <v>7</v>
          </cell>
          <cell r="F198" t="str">
            <v xml:space="preserve">B </v>
          </cell>
          <cell r="G198">
            <v>0</v>
          </cell>
          <cell r="H198">
            <v>32</v>
          </cell>
          <cell r="I198">
            <v>73531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1301104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325274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1301104</v>
          </cell>
          <cell r="AA198">
            <v>1301104</v>
          </cell>
          <cell r="AB198" t="str">
            <v>ERPA</v>
          </cell>
          <cell r="AC198">
            <v>1101</v>
          </cell>
          <cell r="AD198">
            <v>2</v>
          </cell>
          <cell r="AE198">
            <v>72861</v>
          </cell>
        </row>
        <row r="199">
          <cell r="A199" t="str">
            <v>SML</v>
          </cell>
          <cell r="B199">
            <v>0</v>
          </cell>
          <cell r="C199" t="str">
            <v>DRLN</v>
          </cell>
          <cell r="D199">
            <v>7</v>
          </cell>
          <cell r="E199">
            <v>8</v>
          </cell>
          <cell r="F199" t="str">
            <v xml:space="preserve">B </v>
          </cell>
          <cell r="G199">
            <v>0</v>
          </cell>
          <cell r="H199">
            <v>6</v>
          </cell>
          <cell r="I199">
            <v>10039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208998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52249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208998</v>
          </cell>
          <cell r="AA199">
            <v>208998</v>
          </cell>
          <cell r="AB199" t="str">
            <v>ERPA</v>
          </cell>
          <cell r="AC199">
            <v>1101</v>
          </cell>
          <cell r="AD199">
            <v>2</v>
          </cell>
          <cell r="AE199">
            <v>9939</v>
          </cell>
        </row>
        <row r="200">
          <cell r="A200" t="str">
            <v>SML</v>
          </cell>
          <cell r="B200">
            <v>0</v>
          </cell>
          <cell r="C200" t="str">
            <v>DRLN</v>
          </cell>
          <cell r="D200">
            <v>8</v>
          </cell>
          <cell r="E200">
            <v>1</v>
          </cell>
          <cell r="F200" t="str">
            <v>A4</v>
          </cell>
          <cell r="G200">
            <v>20</v>
          </cell>
          <cell r="H200">
            <v>7</v>
          </cell>
          <cell r="I200">
            <v>24262</v>
          </cell>
          <cell r="J200">
            <v>0</v>
          </cell>
          <cell r="K200">
            <v>0</v>
          </cell>
          <cell r="L200">
            <v>132</v>
          </cell>
          <cell r="M200">
            <v>0</v>
          </cell>
          <cell r="N200">
            <v>0</v>
          </cell>
          <cell r="O200">
            <v>278400</v>
          </cell>
          <cell r="P200">
            <v>103312</v>
          </cell>
          <cell r="Q200">
            <v>12026</v>
          </cell>
          <cell r="R200">
            <v>8476</v>
          </cell>
          <cell r="S200">
            <v>0</v>
          </cell>
          <cell r="T200">
            <v>0</v>
          </cell>
          <cell r="U200">
            <v>45374</v>
          </cell>
          <cell r="V200">
            <v>0</v>
          </cell>
          <cell r="W200">
            <v>5479</v>
          </cell>
          <cell r="X200">
            <v>0</v>
          </cell>
          <cell r="Y200">
            <v>720</v>
          </cell>
          <cell r="Z200">
            <v>399217</v>
          </cell>
          <cell r="AA200">
            <v>408413</v>
          </cell>
          <cell r="AB200" t="str">
            <v>ERIG</v>
          </cell>
          <cell r="AC200">
            <v>1101</v>
          </cell>
          <cell r="AD200">
            <v>2</v>
          </cell>
          <cell r="AE200">
            <v>24262</v>
          </cell>
        </row>
        <row r="201">
          <cell r="A201" t="str">
            <v>SML</v>
          </cell>
          <cell r="B201">
            <v>0</v>
          </cell>
          <cell r="C201" t="str">
            <v>DRLN</v>
          </cell>
          <cell r="D201">
            <v>8</v>
          </cell>
          <cell r="E201">
            <v>1</v>
          </cell>
          <cell r="F201" t="str">
            <v xml:space="preserve">B </v>
          </cell>
          <cell r="G201">
            <v>1</v>
          </cell>
          <cell r="H201">
            <v>7658</v>
          </cell>
          <cell r="I201">
            <v>188548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3050338</v>
          </cell>
          <cell r="P201">
            <v>0</v>
          </cell>
          <cell r="Q201">
            <v>0</v>
          </cell>
          <cell r="R201">
            <v>69247</v>
          </cell>
          <cell r="S201">
            <v>0</v>
          </cell>
          <cell r="T201">
            <v>2008698</v>
          </cell>
          <cell r="U201">
            <v>0</v>
          </cell>
          <cell r="V201">
            <v>1978</v>
          </cell>
          <cell r="W201">
            <v>0</v>
          </cell>
          <cell r="X201">
            <v>0</v>
          </cell>
          <cell r="Y201">
            <v>356281</v>
          </cell>
          <cell r="Z201">
            <v>3050338</v>
          </cell>
          <cell r="AA201">
            <v>5486542</v>
          </cell>
          <cell r="AB201" t="str">
            <v>ERIG</v>
          </cell>
          <cell r="AC201">
            <v>1101</v>
          </cell>
          <cell r="AD201">
            <v>2</v>
          </cell>
          <cell r="AE201">
            <v>144825</v>
          </cell>
        </row>
        <row r="202">
          <cell r="A202" t="str">
            <v>SML</v>
          </cell>
          <cell r="B202">
            <v>0</v>
          </cell>
          <cell r="C202" t="str">
            <v>DRLN</v>
          </cell>
          <cell r="D202">
            <v>8</v>
          </cell>
          <cell r="E202">
            <v>1</v>
          </cell>
          <cell r="F202" t="str">
            <v xml:space="preserve">B </v>
          </cell>
          <cell r="G202">
            <v>2</v>
          </cell>
          <cell r="H202">
            <v>3713</v>
          </cell>
          <cell r="I202">
            <v>148401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2878164</v>
          </cell>
          <cell r="P202">
            <v>0</v>
          </cell>
          <cell r="Q202">
            <v>0</v>
          </cell>
          <cell r="R202">
            <v>43817</v>
          </cell>
          <cell r="S202">
            <v>0</v>
          </cell>
          <cell r="T202">
            <v>437965</v>
          </cell>
          <cell r="U202">
            <v>489153</v>
          </cell>
          <cell r="V202">
            <v>565</v>
          </cell>
          <cell r="W202">
            <v>0</v>
          </cell>
          <cell r="X202">
            <v>0</v>
          </cell>
          <cell r="Y202">
            <v>172060</v>
          </cell>
          <cell r="Z202">
            <v>2878164</v>
          </cell>
          <cell r="AA202">
            <v>3532571</v>
          </cell>
          <cell r="AB202" t="str">
            <v>ERIG</v>
          </cell>
          <cell r="AC202">
            <v>1101</v>
          </cell>
          <cell r="AD202">
            <v>2</v>
          </cell>
          <cell r="AE202">
            <v>148401</v>
          </cell>
        </row>
        <row r="203">
          <cell r="A203" t="str">
            <v>SML</v>
          </cell>
          <cell r="B203">
            <v>0</v>
          </cell>
          <cell r="C203" t="str">
            <v>DRLN</v>
          </cell>
          <cell r="D203">
            <v>8</v>
          </cell>
          <cell r="E203">
            <v>1</v>
          </cell>
          <cell r="F203" t="str">
            <v xml:space="preserve">B </v>
          </cell>
          <cell r="G203">
            <v>3</v>
          </cell>
          <cell r="H203">
            <v>10161</v>
          </cell>
          <cell r="I203">
            <v>762431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14786887</v>
          </cell>
          <cell r="P203">
            <v>0</v>
          </cell>
          <cell r="Q203">
            <v>0</v>
          </cell>
          <cell r="R203">
            <v>167518</v>
          </cell>
          <cell r="S203">
            <v>0</v>
          </cell>
          <cell r="T203">
            <v>1096694</v>
          </cell>
          <cell r="U203">
            <v>2513793</v>
          </cell>
          <cell r="V203">
            <v>2072</v>
          </cell>
          <cell r="W203">
            <v>0</v>
          </cell>
          <cell r="X203">
            <v>0</v>
          </cell>
          <cell r="Y203">
            <v>634858</v>
          </cell>
          <cell r="Z203">
            <v>14786887</v>
          </cell>
          <cell r="AA203">
            <v>16688029</v>
          </cell>
          <cell r="AB203" t="str">
            <v>ERIG</v>
          </cell>
          <cell r="AC203">
            <v>1101</v>
          </cell>
          <cell r="AD203">
            <v>2</v>
          </cell>
          <cell r="AE203">
            <v>758881</v>
          </cell>
        </row>
        <row r="204">
          <cell r="A204" t="str">
            <v>SML</v>
          </cell>
          <cell r="B204">
            <v>0</v>
          </cell>
          <cell r="C204" t="str">
            <v>DRLN</v>
          </cell>
          <cell r="D204">
            <v>8</v>
          </cell>
          <cell r="E204">
            <v>1</v>
          </cell>
          <cell r="F204" t="str">
            <v xml:space="preserve">B </v>
          </cell>
          <cell r="G204">
            <v>4</v>
          </cell>
          <cell r="H204">
            <v>4229</v>
          </cell>
          <cell r="I204">
            <v>514693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9983963</v>
          </cell>
          <cell r="P204">
            <v>0</v>
          </cell>
          <cell r="Q204">
            <v>0</v>
          </cell>
          <cell r="R204">
            <v>122226</v>
          </cell>
          <cell r="S204">
            <v>0</v>
          </cell>
          <cell r="T204">
            <v>717453</v>
          </cell>
          <cell r="U204">
            <v>1697274</v>
          </cell>
          <cell r="V204">
            <v>941</v>
          </cell>
          <cell r="W204">
            <v>0</v>
          </cell>
          <cell r="X204">
            <v>0</v>
          </cell>
          <cell r="Y204">
            <v>435186</v>
          </cell>
          <cell r="Z204">
            <v>9983963</v>
          </cell>
          <cell r="AA204">
            <v>11259769</v>
          </cell>
          <cell r="AB204" t="str">
            <v>ERIG</v>
          </cell>
          <cell r="AC204">
            <v>1101</v>
          </cell>
          <cell r="AD204">
            <v>2</v>
          </cell>
          <cell r="AE204">
            <v>514693</v>
          </cell>
        </row>
        <row r="205">
          <cell r="A205" t="str">
            <v>SML</v>
          </cell>
          <cell r="B205">
            <v>0</v>
          </cell>
          <cell r="C205" t="str">
            <v>DRLN</v>
          </cell>
          <cell r="D205">
            <v>8</v>
          </cell>
          <cell r="E205">
            <v>1</v>
          </cell>
          <cell r="F205" t="str">
            <v xml:space="preserve">B </v>
          </cell>
          <cell r="G205">
            <v>5</v>
          </cell>
          <cell r="H205">
            <v>1615</v>
          </cell>
          <cell r="I205">
            <v>278361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5397264</v>
          </cell>
          <cell r="P205">
            <v>0</v>
          </cell>
          <cell r="Q205">
            <v>0</v>
          </cell>
          <cell r="R205">
            <v>62445</v>
          </cell>
          <cell r="S205">
            <v>0</v>
          </cell>
          <cell r="T205">
            <v>347337</v>
          </cell>
          <cell r="U205">
            <v>917551</v>
          </cell>
          <cell r="V205">
            <v>471</v>
          </cell>
          <cell r="W205">
            <v>0</v>
          </cell>
          <cell r="X205">
            <v>0</v>
          </cell>
          <cell r="Y205">
            <v>251168</v>
          </cell>
          <cell r="Z205">
            <v>5397264</v>
          </cell>
          <cell r="AA205">
            <v>6058685</v>
          </cell>
          <cell r="AB205" t="str">
            <v>ERIG</v>
          </cell>
          <cell r="AC205">
            <v>1101</v>
          </cell>
          <cell r="AD205">
            <v>2</v>
          </cell>
          <cell r="AE205">
            <v>278361</v>
          </cell>
        </row>
        <row r="206">
          <cell r="A206" t="str">
            <v>SML</v>
          </cell>
          <cell r="B206">
            <v>0</v>
          </cell>
          <cell r="C206" t="str">
            <v>DRLN</v>
          </cell>
          <cell r="D206">
            <v>8</v>
          </cell>
          <cell r="E206">
            <v>1</v>
          </cell>
          <cell r="F206" t="str">
            <v xml:space="preserve">B </v>
          </cell>
          <cell r="G206">
            <v>6</v>
          </cell>
          <cell r="H206">
            <v>1090</v>
          </cell>
          <cell r="I206">
            <v>259611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5035175</v>
          </cell>
          <cell r="P206">
            <v>0</v>
          </cell>
          <cell r="Q206">
            <v>0</v>
          </cell>
          <cell r="R206">
            <v>55791</v>
          </cell>
          <cell r="S206">
            <v>0</v>
          </cell>
          <cell r="T206">
            <v>302080</v>
          </cell>
          <cell r="U206">
            <v>856282</v>
          </cell>
          <cell r="V206">
            <v>753</v>
          </cell>
          <cell r="W206">
            <v>0</v>
          </cell>
          <cell r="X206">
            <v>0</v>
          </cell>
          <cell r="Y206">
            <v>185364</v>
          </cell>
          <cell r="Z206">
            <v>5035175</v>
          </cell>
          <cell r="AA206">
            <v>5579163</v>
          </cell>
          <cell r="AB206" t="str">
            <v>ERIG</v>
          </cell>
          <cell r="AC206">
            <v>1101</v>
          </cell>
          <cell r="AD206">
            <v>2</v>
          </cell>
          <cell r="AE206">
            <v>259611</v>
          </cell>
        </row>
        <row r="207">
          <cell r="A207" t="str">
            <v>SML</v>
          </cell>
          <cell r="B207">
            <v>0</v>
          </cell>
          <cell r="C207" t="str">
            <v>DRLN</v>
          </cell>
          <cell r="D207">
            <v>8</v>
          </cell>
          <cell r="E207">
            <v>1</v>
          </cell>
          <cell r="F207" t="str">
            <v xml:space="preserve">B </v>
          </cell>
          <cell r="G207">
            <v>7</v>
          </cell>
          <cell r="H207">
            <v>305</v>
          </cell>
          <cell r="I207">
            <v>102441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2061365</v>
          </cell>
          <cell r="P207">
            <v>0</v>
          </cell>
          <cell r="Q207">
            <v>0</v>
          </cell>
          <cell r="R207">
            <v>21779</v>
          </cell>
          <cell r="S207">
            <v>0</v>
          </cell>
          <cell r="T207">
            <v>123721</v>
          </cell>
          <cell r="U207">
            <v>412419</v>
          </cell>
          <cell r="V207">
            <v>189</v>
          </cell>
          <cell r="W207">
            <v>0</v>
          </cell>
          <cell r="X207">
            <v>0</v>
          </cell>
          <cell r="Y207">
            <v>75755</v>
          </cell>
          <cell r="Z207">
            <v>2061365</v>
          </cell>
          <cell r="AA207">
            <v>2282809</v>
          </cell>
          <cell r="AB207" t="str">
            <v>ERIG</v>
          </cell>
          <cell r="AC207">
            <v>1101</v>
          </cell>
          <cell r="AD207">
            <v>2</v>
          </cell>
          <cell r="AE207">
            <v>102441</v>
          </cell>
        </row>
        <row r="208">
          <cell r="A208" t="str">
            <v>SML</v>
          </cell>
          <cell r="B208">
            <v>0</v>
          </cell>
          <cell r="C208" t="str">
            <v>DRLN</v>
          </cell>
          <cell r="D208">
            <v>8</v>
          </cell>
          <cell r="E208">
            <v>1</v>
          </cell>
          <cell r="F208" t="str">
            <v xml:space="preserve">B </v>
          </cell>
          <cell r="G208">
            <v>8</v>
          </cell>
          <cell r="H208">
            <v>197</v>
          </cell>
          <cell r="I208">
            <v>83514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1680310</v>
          </cell>
          <cell r="P208">
            <v>0</v>
          </cell>
          <cell r="Q208">
            <v>0</v>
          </cell>
          <cell r="R208">
            <v>11987</v>
          </cell>
          <cell r="S208">
            <v>0</v>
          </cell>
          <cell r="T208">
            <v>67164</v>
          </cell>
          <cell r="U208">
            <v>336138</v>
          </cell>
          <cell r="V208">
            <v>94</v>
          </cell>
          <cell r="W208">
            <v>0</v>
          </cell>
          <cell r="X208">
            <v>0</v>
          </cell>
          <cell r="Y208">
            <v>48558</v>
          </cell>
          <cell r="Z208">
            <v>1680310</v>
          </cell>
          <cell r="AA208">
            <v>1808113</v>
          </cell>
          <cell r="AB208" t="str">
            <v>ERIG</v>
          </cell>
          <cell r="AC208">
            <v>1101</v>
          </cell>
          <cell r="AD208">
            <v>2</v>
          </cell>
          <cell r="AE208">
            <v>83514</v>
          </cell>
        </row>
        <row r="209">
          <cell r="A209" t="str">
            <v>SML</v>
          </cell>
          <cell r="B209">
            <v>0</v>
          </cell>
          <cell r="C209" t="str">
            <v>DRLN</v>
          </cell>
          <cell r="D209">
            <v>8</v>
          </cell>
          <cell r="E209">
            <v>1</v>
          </cell>
          <cell r="F209" t="str">
            <v xml:space="preserve">B </v>
          </cell>
          <cell r="G209">
            <v>9</v>
          </cell>
          <cell r="H209">
            <v>203</v>
          </cell>
          <cell r="I209">
            <v>112455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2415786</v>
          </cell>
          <cell r="P209">
            <v>0</v>
          </cell>
          <cell r="Q209">
            <v>0</v>
          </cell>
          <cell r="R209">
            <v>22432</v>
          </cell>
          <cell r="S209">
            <v>0</v>
          </cell>
          <cell r="T209">
            <v>156881</v>
          </cell>
          <cell r="U209">
            <v>604071</v>
          </cell>
          <cell r="V209">
            <v>566</v>
          </cell>
          <cell r="W209">
            <v>0</v>
          </cell>
          <cell r="X209">
            <v>0</v>
          </cell>
          <cell r="Y209">
            <v>57222</v>
          </cell>
          <cell r="Z209">
            <v>2415786</v>
          </cell>
          <cell r="AA209">
            <v>2652887</v>
          </cell>
          <cell r="AB209" t="str">
            <v>ERIG</v>
          </cell>
          <cell r="AC209">
            <v>1101</v>
          </cell>
          <cell r="AD209">
            <v>2</v>
          </cell>
          <cell r="AE209">
            <v>112455</v>
          </cell>
        </row>
        <row r="210">
          <cell r="A210" t="str">
            <v>SML</v>
          </cell>
          <cell r="B210">
            <v>0</v>
          </cell>
          <cell r="C210" t="str">
            <v>DRLN</v>
          </cell>
          <cell r="D210">
            <v>8</v>
          </cell>
          <cell r="E210">
            <v>1</v>
          </cell>
          <cell r="F210" t="str">
            <v xml:space="preserve">B </v>
          </cell>
          <cell r="G210">
            <v>10</v>
          </cell>
          <cell r="H210">
            <v>113</v>
          </cell>
          <cell r="I210">
            <v>228220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4862796</v>
          </cell>
          <cell r="P210">
            <v>0</v>
          </cell>
          <cell r="Q210">
            <v>0</v>
          </cell>
          <cell r="R210">
            <v>6079</v>
          </cell>
          <cell r="S210">
            <v>0</v>
          </cell>
          <cell r="T210">
            <v>40225</v>
          </cell>
          <cell r="U210">
            <v>1215773</v>
          </cell>
          <cell r="V210">
            <v>189</v>
          </cell>
          <cell r="W210">
            <v>0</v>
          </cell>
          <cell r="X210">
            <v>0</v>
          </cell>
          <cell r="Y210">
            <v>21965</v>
          </cell>
          <cell r="Z210">
            <v>4862796</v>
          </cell>
          <cell r="AA210">
            <v>4931254</v>
          </cell>
          <cell r="AB210" t="str">
            <v>ERIG</v>
          </cell>
          <cell r="AC210">
            <v>1101</v>
          </cell>
          <cell r="AD210">
            <v>2</v>
          </cell>
          <cell r="AE210">
            <v>228220</v>
          </cell>
        </row>
        <row r="211">
          <cell r="A211" t="str">
            <v>SML</v>
          </cell>
          <cell r="B211">
            <v>0</v>
          </cell>
          <cell r="C211" t="str">
            <v>DRLN</v>
          </cell>
          <cell r="D211">
            <v>8</v>
          </cell>
          <cell r="E211">
            <v>1</v>
          </cell>
          <cell r="F211" t="str">
            <v xml:space="preserve">B </v>
          </cell>
          <cell r="G211">
            <v>11</v>
          </cell>
          <cell r="H211">
            <v>504</v>
          </cell>
          <cell r="I211">
            <v>12480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70583</v>
          </cell>
          <cell r="P211">
            <v>0</v>
          </cell>
          <cell r="Q211">
            <v>0</v>
          </cell>
          <cell r="R211">
            <v>2290</v>
          </cell>
          <cell r="S211">
            <v>0</v>
          </cell>
          <cell r="T211">
            <v>43276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5529</v>
          </cell>
          <cell r="Z211">
            <v>70583</v>
          </cell>
          <cell r="AA211">
            <v>121678</v>
          </cell>
          <cell r="AB211" t="str">
            <v>ERIG</v>
          </cell>
          <cell r="AC211">
            <v>1101</v>
          </cell>
          <cell r="AD211">
            <v>2</v>
          </cell>
          <cell r="AE211">
            <v>10298</v>
          </cell>
        </row>
        <row r="212">
          <cell r="A212" t="str">
            <v>SML</v>
          </cell>
          <cell r="B212">
            <v>0</v>
          </cell>
          <cell r="C212" t="str">
            <v>DRLN</v>
          </cell>
          <cell r="D212">
            <v>8</v>
          </cell>
          <cell r="E212">
            <v>1</v>
          </cell>
          <cell r="F212" t="str">
            <v xml:space="preserve">B </v>
          </cell>
          <cell r="G212">
            <v>12</v>
          </cell>
          <cell r="H212">
            <v>592</v>
          </cell>
          <cell r="I212">
            <v>35968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331358</v>
          </cell>
          <cell r="P212">
            <v>0</v>
          </cell>
          <cell r="Q212">
            <v>0</v>
          </cell>
          <cell r="R212">
            <v>6279</v>
          </cell>
          <cell r="S212">
            <v>0</v>
          </cell>
          <cell r="T212">
            <v>53081</v>
          </cell>
          <cell r="U212">
            <v>56361</v>
          </cell>
          <cell r="V212">
            <v>189</v>
          </cell>
          <cell r="W212">
            <v>0</v>
          </cell>
          <cell r="X212">
            <v>0</v>
          </cell>
          <cell r="Y212">
            <v>17036</v>
          </cell>
          <cell r="Z212">
            <v>331358</v>
          </cell>
          <cell r="AA212">
            <v>407943</v>
          </cell>
          <cell r="AB212" t="str">
            <v>ERIG</v>
          </cell>
          <cell r="AC212">
            <v>1101</v>
          </cell>
          <cell r="AD212">
            <v>2</v>
          </cell>
          <cell r="AE212">
            <v>35968</v>
          </cell>
        </row>
        <row r="213">
          <cell r="A213" t="str">
            <v>SML</v>
          </cell>
          <cell r="B213">
            <v>0</v>
          </cell>
          <cell r="C213" t="str">
            <v>DRLN</v>
          </cell>
          <cell r="D213">
            <v>8</v>
          </cell>
          <cell r="E213">
            <v>1</v>
          </cell>
          <cell r="F213" t="str">
            <v xml:space="preserve">B </v>
          </cell>
          <cell r="G213">
            <v>13</v>
          </cell>
          <cell r="H213">
            <v>133</v>
          </cell>
          <cell r="I213">
            <v>16518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246725</v>
          </cell>
          <cell r="P213">
            <v>0</v>
          </cell>
          <cell r="Q213">
            <v>0</v>
          </cell>
          <cell r="R213">
            <v>2607</v>
          </cell>
          <cell r="S213">
            <v>0</v>
          </cell>
          <cell r="T213">
            <v>18745</v>
          </cell>
          <cell r="U213">
            <v>41947</v>
          </cell>
          <cell r="V213">
            <v>0</v>
          </cell>
          <cell r="W213">
            <v>0</v>
          </cell>
          <cell r="X213">
            <v>0</v>
          </cell>
          <cell r="Y213">
            <v>5046</v>
          </cell>
          <cell r="Z213">
            <v>246725</v>
          </cell>
          <cell r="AA213">
            <v>273123</v>
          </cell>
          <cell r="AB213" t="str">
            <v>ERIG</v>
          </cell>
          <cell r="AC213">
            <v>1101</v>
          </cell>
          <cell r="AD213">
            <v>2</v>
          </cell>
          <cell r="AE213">
            <v>16518</v>
          </cell>
        </row>
        <row r="214">
          <cell r="A214" t="str">
            <v>SML</v>
          </cell>
          <cell r="B214">
            <v>0</v>
          </cell>
          <cell r="C214" t="str">
            <v>DRLN</v>
          </cell>
          <cell r="D214">
            <v>8</v>
          </cell>
          <cell r="E214">
            <v>1</v>
          </cell>
          <cell r="F214" t="str">
            <v xml:space="preserve">B </v>
          </cell>
          <cell r="G214">
            <v>14</v>
          </cell>
          <cell r="H214">
            <v>7</v>
          </cell>
          <cell r="I214">
            <v>1049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13351</v>
          </cell>
          <cell r="P214">
            <v>0</v>
          </cell>
          <cell r="Q214">
            <v>0</v>
          </cell>
          <cell r="R214">
            <v>103</v>
          </cell>
          <cell r="S214">
            <v>0</v>
          </cell>
          <cell r="T214">
            <v>532</v>
          </cell>
          <cell r="U214">
            <v>2270</v>
          </cell>
          <cell r="V214">
            <v>0</v>
          </cell>
          <cell r="W214">
            <v>0</v>
          </cell>
          <cell r="X214">
            <v>0</v>
          </cell>
          <cell r="Y214">
            <v>690</v>
          </cell>
          <cell r="Z214">
            <v>13351</v>
          </cell>
          <cell r="AA214">
            <v>14676</v>
          </cell>
          <cell r="AB214" t="str">
            <v>ERIG</v>
          </cell>
          <cell r="AC214">
            <v>1101</v>
          </cell>
          <cell r="AD214">
            <v>2</v>
          </cell>
          <cell r="AE214">
            <v>1049</v>
          </cell>
        </row>
        <row r="215">
          <cell r="A215" t="str">
            <v>SML</v>
          </cell>
          <cell r="B215">
            <v>0</v>
          </cell>
          <cell r="C215" t="str">
            <v>DRLN</v>
          </cell>
          <cell r="D215">
            <v>8</v>
          </cell>
          <cell r="E215">
            <v>1</v>
          </cell>
          <cell r="F215" t="str">
            <v xml:space="preserve">B </v>
          </cell>
          <cell r="G215">
            <v>15</v>
          </cell>
          <cell r="H215">
            <v>13</v>
          </cell>
          <cell r="I215">
            <v>3984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67646</v>
          </cell>
          <cell r="P215">
            <v>0</v>
          </cell>
          <cell r="Q215">
            <v>0</v>
          </cell>
          <cell r="R215">
            <v>447</v>
          </cell>
          <cell r="S215">
            <v>0</v>
          </cell>
          <cell r="T215">
            <v>12698</v>
          </cell>
          <cell r="U215">
            <v>14305</v>
          </cell>
          <cell r="V215">
            <v>0</v>
          </cell>
          <cell r="W215">
            <v>0</v>
          </cell>
          <cell r="X215">
            <v>0</v>
          </cell>
          <cell r="Y215">
            <v>542</v>
          </cell>
          <cell r="Z215">
            <v>67646</v>
          </cell>
          <cell r="AA215">
            <v>81333</v>
          </cell>
          <cell r="AB215" t="str">
            <v>ERIG</v>
          </cell>
          <cell r="AC215">
            <v>1101</v>
          </cell>
          <cell r="AD215">
            <v>2</v>
          </cell>
          <cell r="AE215">
            <v>3984</v>
          </cell>
        </row>
        <row r="216">
          <cell r="A216" t="str">
            <v>SML</v>
          </cell>
          <cell r="B216">
            <v>0</v>
          </cell>
          <cell r="C216" t="str">
            <v>DRLN</v>
          </cell>
          <cell r="D216">
            <v>8</v>
          </cell>
          <cell r="E216">
            <v>2</v>
          </cell>
          <cell r="F216" t="str">
            <v>A3</v>
          </cell>
          <cell r="G216">
            <v>26</v>
          </cell>
          <cell r="H216">
            <v>3</v>
          </cell>
          <cell r="I216">
            <v>14963109</v>
          </cell>
          <cell r="J216">
            <v>1159131</v>
          </cell>
          <cell r="K216">
            <v>13803978</v>
          </cell>
          <cell r="L216">
            <v>45000</v>
          </cell>
          <cell r="M216">
            <v>28900</v>
          </cell>
          <cell r="N216">
            <v>24100</v>
          </cell>
          <cell r="O216">
            <v>86416704</v>
          </cell>
          <cell r="P216">
            <v>60026652</v>
          </cell>
          <cell r="Q216">
            <v>183593</v>
          </cell>
          <cell r="R216">
            <v>0</v>
          </cell>
          <cell r="S216">
            <v>0</v>
          </cell>
          <cell r="T216">
            <v>6168326</v>
          </cell>
          <cell r="U216">
            <v>36656737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146626949</v>
          </cell>
          <cell r="AA216">
            <v>152795275</v>
          </cell>
          <cell r="AB216" t="str">
            <v>ERIG</v>
          </cell>
          <cell r="AC216">
            <v>1101</v>
          </cell>
          <cell r="AD216">
            <v>2</v>
          </cell>
          <cell r="AE216">
            <v>14963109</v>
          </cell>
        </row>
        <row r="217">
          <cell r="A217" t="str">
            <v>SML</v>
          </cell>
          <cell r="B217">
            <v>0</v>
          </cell>
          <cell r="C217" t="str">
            <v>DRLN</v>
          </cell>
          <cell r="D217">
            <v>8</v>
          </cell>
          <cell r="E217">
            <v>2</v>
          </cell>
          <cell r="F217" t="str">
            <v>A4</v>
          </cell>
          <cell r="G217">
            <v>22</v>
          </cell>
          <cell r="H217">
            <v>5</v>
          </cell>
          <cell r="I217">
            <v>1656453</v>
          </cell>
          <cell r="J217">
            <v>133513</v>
          </cell>
          <cell r="K217">
            <v>1522940</v>
          </cell>
          <cell r="L217">
            <v>5697</v>
          </cell>
          <cell r="M217">
            <v>3748</v>
          </cell>
          <cell r="N217">
            <v>3711</v>
          </cell>
          <cell r="O217">
            <v>11647594</v>
          </cell>
          <cell r="P217">
            <v>10272864</v>
          </cell>
          <cell r="Q217">
            <v>221735</v>
          </cell>
          <cell r="R217">
            <v>65256</v>
          </cell>
          <cell r="S217">
            <v>0</v>
          </cell>
          <cell r="T217">
            <v>3703</v>
          </cell>
          <cell r="U217">
            <v>5535550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22142193</v>
          </cell>
          <cell r="AA217">
            <v>22211152</v>
          </cell>
          <cell r="AB217" t="str">
            <v>ERIG</v>
          </cell>
          <cell r="AC217">
            <v>1101</v>
          </cell>
          <cell r="AD217">
            <v>2</v>
          </cell>
          <cell r="AE217">
            <v>1656453</v>
          </cell>
        </row>
        <row r="218">
          <cell r="A218" t="str">
            <v>SML</v>
          </cell>
          <cell r="B218">
            <v>0</v>
          </cell>
          <cell r="C218" t="str">
            <v>DRLN</v>
          </cell>
          <cell r="D218">
            <v>8</v>
          </cell>
          <cell r="E218">
            <v>2</v>
          </cell>
          <cell r="F218" t="str">
            <v>A4</v>
          </cell>
          <cell r="G218">
            <v>21</v>
          </cell>
          <cell r="H218">
            <v>5</v>
          </cell>
          <cell r="I218">
            <v>1777634</v>
          </cell>
          <cell r="J218">
            <v>138122</v>
          </cell>
          <cell r="K218">
            <v>1639512</v>
          </cell>
          <cell r="L218">
            <v>7184</v>
          </cell>
          <cell r="M218">
            <v>7071</v>
          </cell>
          <cell r="N218">
            <v>0</v>
          </cell>
          <cell r="O218">
            <v>19077514</v>
          </cell>
          <cell r="P218">
            <v>5117689</v>
          </cell>
          <cell r="Q218">
            <v>2253147</v>
          </cell>
          <cell r="R218">
            <v>4038</v>
          </cell>
          <cell r="S218">
            <v>0</v>
          </cell>
          <cell r="T218">
            <v>0</v>
          </cell>
          <cell r="U218">
            <v>6674765</v>
          </cell>
          <cell r="V218">
            <v>0</v>
          </cell>
          <cell r="W218">
            <v>250712</v>
          </cell>
          <cell r="X218">
            <v>0</v>
          </cell>
          <cell r="Y218">
            <v>0</v>
          </cell>
          <cell r="Z218">
            <v>26699062</v>
          </cell>
          <cell r="AA218">
            <v>26703100</v>
          </cell>
          <cell r="AB218" t="str">
            <v>ERIG</v>
          </cell>
          <cell r="AC218">
            <v>1101</v>
          </cell>
          <cell r="AD218">
            <v>2</v>
          </cell>
          <cell r="AE218">
            <v>1777634</v>
          </cell>
        </row>
        <row r="219">
          <cell r="A219" t="str">
            <v>SML</v>
          </cell>
          <cell r="B219">
            <v>0</v>
          </cell>
          <cell r="C219" t="str">
            <v>DRLN</v>
          </cell>
          <cell r="D219">
            <v>8</v>
          </cell>
          <cell r="E219">
            <v>2</v>
          </cell>
          <cell r="F219" t="str">
            <v>A4</v>
          </cell>
          <cell r="G219">
            <v>20</v>
          </cell>
          <cell r="H219">
            <v>23</v>
          </cell>
          <cell r="I219">
            <v>475246</v>
          </cell>
          <cell r="J219">
            <v>0</v>
          </cell>
          <cell r="K219">
            <v>0</v>
          </cell>
          <cell r="L219">
            <v>1848</v>
          </cell>
          <cell r="M219">
            <v>0</v>
          </cell>
          <cell r="N219">
            <v>0</v>
          </cell>
          <cell r="O219">
            <v>5453285</v>
          </cell>
          <cell r="P219">
            <v>1446368</v>
          </cell>
          <cell r="Q219">
            <v>724728</v>
          </cell>
          <cell r="R219">
            <v>79740</v>
          </cell>
          <cell r="S219">
            <v>0</v>
          </cell>
          <cell r="T219">
            <v>971773</v>
          </cell>
          <cell r="U219">
            <v>1954079</v>
          </cell>
          <cell r="V219">
            <v>0</v>
          </cell>
          <cell r="W219">
            <v>213667</v>
          </cell>
          <cell r="X219">
            <v>0</v>
          </cell>
          <cell r="Y219">
            <v>1578</v>
          </cell>
          <cell r="Z219">
            <v>7838048</v>
          </cell>
          <cell r="AA219">
            <v>8891139</v>
          </cell>
          <cell r="AB219" t="str">
            <v>ERIG</v>
          </cell>
          <cell r="AC219">
            <v>1101</v>
          </cell>
          <cell r="AD219">
            <v>2</v>
          </cell>
          <cell r="AE219">
            <v>475246</v>
          </cell>
        </row>
        <row r="220">
          <cell r="A220" t="str">
            <v>SML</v>
          </cell>
          <cell r="B220">
            <v>0</v>
          </cell>
          <cell r="C220" t="str">
            <v>DRLN</v>
          </cell>
          <cell r="D220">
            <v>8</v>
          </cell>
          <cell r="E220">
            <v>2</v>
          </cell>
          <cell r="F220" t="str">
            <v xml:space="preserve">B </v>
          </cell>
          <cell r="G220">
            <v>0</v>
          </cell>
          <cell r="H220">
            <v>88</v>
          </cell>
          <cell r="I220">
            <v>114095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2378163</v>
          </cell>
          <cell r="P220">
            <v>0</v>
          </cell>
          <cell r="Q220">
            <v>0</v>
          </cell>
          <cell r="R220">
            <v>40505</v>
          </cell>
          <cell r="S220">
            <v>0</v>
          </cell>
          <cell r="T220">
            <v>561769</v>
          </cell>
          <cell r="U220">
            <v>589235</v>
          </cell>
          <cell r="V220">
            <v>283</v>
          </cell>
          <cell r="W220">
            <v>0</v>
          </cell>
          <cell r="X220">
            <v>0</v>
          </cell>
          <cell r="Y220">
            <v>29502</v>
          </cell>
          <cell r="Z220">
            <v>2378163</v>
          </cell>
          <cell r="AA220">
            <v>3010222</v>
          </cell>
          <cell r="AB220" t="str">
            <v>ERIG</v>
          </cell>
          <cell r="AC220">
            <v>1101</v>
          </cell>
          <cell r="AD220">
            <v>2</v>
          </cell>
          <cell r="AE220">
            <v>113688</v>
          </cell>
        </row>
        <row r="221">
          <cell r="A221" t="str">
            <v>SML</v>
          </cell>
          <cell r="B221">
            <v>0</v>
          </cell>
          <cell r="C221" t="str">
            <v>DRLN</v>
          </cell>
          <cell r="D221">
            <v>8</v>
          </cell>
          <cell r="E221">
            <v>3</v>
          </cell>
          <cell r="F221" t="str">
            <v>A4</v>
          </cell>
          <cell r="G221">
            <v>22</v>
          </cell>
          <cell r="H221">
            <v>1</v>
          </cell>
          <cell r="I221">
            <v>100399</v>
          </cell>
          <cell r="J221">
            <v>1275</v>
          </cell>
          <cell r="K221">
            <v>99124</v>
          </cell>
          <cell r="L221">
            <v>689</v>
          </cell>
          <cell r="M221">
            <v>600</v>
          </cell>
          <cell r="N221">
            <v>60</v>
          </cell>
          <cell r="O221">
            <v>657394</v>
          </cell>
          <cell r="P221">
            <v>718865</v>
          </cell>
          <cell r="Q221">
            <v>47035</v>
          </cell>
          <cell r="R221">
            <v>0</v>
          </cell>
          <cell r="S221">
            <v>0</v>
          </cell>
          <cell r="T221">
            <v>0</v>
          </cell>
          <cell r="U221">
            <v>402414</v>
          </cell>
          <cell r="V221">
            <v>0</v>
          </cell>
          <cell r="W221">
            <v>186360</v>
          </cell>
          <cell r="X221">
            <v>0</v>
          </cell>
          <cell r="Y221">
            <v>0</v>
          </cell>
          <cell r="Z221">
            <v>1609654</v>
          </cell>
          <cell r="AA221">
            <v>1609654</v>
          </cell>
          <cell r="AB221" t="str">
            <v>ERIG</v>
          </cell>
          <cell r="AC221">
            <v>1101</v>
          </cell>
          <cell r="AD221">
            <v>2</v>
          </cell>
          <cell r="AE221">
            <v>100399</v>
          </cell>
        </row>
        <row r="222">
          <cell r="A222" t="str">
            <v>SML</v>
          </cell>
          <cell r="B222">
            <v>0</v>
          </cell>
          <cell r="C222" t="str">
            <v>DRLN</v>
          </cell>
          <cell r="D222">
            <v>8</v>
          </cell>
          <cell r="E222">
            <v>3</v>
          </cell>
          <cell r="F222" t="str">
            <v>A4</v>
          </cell>
          <cell r="G222">
            <v>20</v>
          </cell>
          <cell r="H222">
            <v>23</v>
          </cell>
          <cell r="I222">
            <v>299470</v>
          </cell>
          <cell r="J222">
            <v>0</v>
          </cell>
          <cell r="K222">
            <v>0</v>
          </cell>
          <cell r="L222">
            <v>1163</v>
          </cell>
          <cell r="M222">
            <v>0</v>
          </cell>
          <cell r="N222">
            <v>0</v>
          </cell>
          <cell r="O222">
            <v>3436315</v>
          </cell>
          <cell r="P222">
            <v>910240</v>
          </cell>
          <cell r="Q222">
            <v>217284</v>
          </cell>
          <cell r="R222">
            <v>55631</v>
          </cell>
          <cell r="S222">
            <v>0</v>
          </cell>
          <cell r="T222">
            <v>0</v>
          </cell>
          <cell r="U222">
            <v>1144818</v>
          </cell>
          <cell r="V222">
            <v>0</v>
          </cell>
          <cell r="W222">
            <v>48527</v>
          </cell>
          <cell r="X222">
            <v>0</v>
          </cell>
          <cell r="Y222">
            <v>10226</v>
          </cell>
          <cell r="Z222">
            <v>4612366</v>
          </cell>
          <cell r="AA222">
            <v>4678223</v>
          </cell>
          <cell r="AB222" t="str">
            <v>ERIG</v>
          </cell>
          <cell r="AC222">
            <v>1101</v>
          </cell>
          <cell r="AD222">
            <v>2</v>
          </cell>
          <cell r="AE222">
            <v>299470</v>
          </cell>
        </row>
        <row r="223">
          <cell r="A223" t="str">
            <v>SML</v>
          </cell>
          <cell r="B223">
            <v>0</v>
          </cell>
          <cell r="C223" t="str">
            <v>DRLN</v>
          </cell>
          <cell r="D223">
            <v>8</v>
          </cell>
          <cell r="E223">
            <v>3</v>
          </cell>
          <cell r="F223" t="str">
            <v xml:space="preserve">B </v>
          </cell>
          <cell r="G223">
            <v>0</v>
          </cell>
          <cell r="H223">
            <v>2333</v>
          </cell>
          <cell r="I223">
            <v>544891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11344270</v>
          </cell>
          <cell r="P223">
            <v>0</v>
          </cell>
          <cell r="Q223">
            <v>0</v>
          </cell>
          <cell r="R223">
            <v>168910</v>
          </cell>
          <cell r="S223">
            <v>0</v>
          </cell>
          <cell r="T223">
            <v>1464387</v>
          </cell>
          <cell r="U223">
            <v>2808323</v>
          </cell>
          <cell r="V223">
            <v>1604</v>
          </cell>
          <cell r="W223">
            <v>0</v>
          </cell>
          <cell r="X223">
            <v>0</v>
          </cell>
          <cell r="Y223">
            <v>405872</v>
          </cell>
          <cell r="Z223">
            <v>11344270</v>
          </cell>
          <cell r="AA223">
            <v>13385043</v>
          </cell>
          <cell r="AB223" t="str">
            <v>ERIG</v>
          </cell>
          <cell r="AC223">
            <v>1101</v>
          </cell>
          <cell r="AD223">
            <v>2</v>
          </cell>
          <cell r="AE223">
            <v>532637</v>
          </cell>
        </row>
        <row r="224">
          <cell r="A224" t="str">
            <v>SML</v>
          </cell>
          <cell r="B224">
            <v>0</v>
          </cell>
          <cell r="C224" t="str">
            <v>DRLN</v>
          </cell>
          <cell r="D224">
            <v>8</v>
          </cell>
          <cell r="E224">
            <v>4</v>
          </cell>
          <cell r="F224" t="str">
            <v>A4</v>
          </cell>
          <cell r="G224">
            <v>21</v>
          </cell>
          <cell r="H224">
            <v>1</v>
          </cell>
          <cell r="I224">
            <v>303028</v>
          </cell>
          <cell r="J224">
            <v>8122</v>
          </cell>
          <cell r="K224">
            <v>294906</v>
          </cell>
          <cell r="L224">
            <v>624</v>
          </cell>
          <cell r="M224">
            <v>624</v>
          </cell>
          <cell r="N224">
            <v>0</v>
          </cell>
          <cell r="O224">
            <v>1622206</v>
          </cell>
          <cell r="P224">
            <v>290784</v>
          </cell>
          <cell r="Q224">
            <v>77748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22368</v>
          </cell>
          <cell r="X224">
            <v>0</v>
          </cell>
          <cell r="Y224">
            <v>0</v>
          </cell>
          <cell r="Z224">
            <v>2013106</v>
          </cell>
          <cell r="AA224">
            <v>2013106</v>
          </cell>
          <cell r="AB224" t="str">
            <v>ERIG</v>
          </cell>
          <cell r="AC224">
            <v>1101</v>
          </cell>
          <cell r="AD224">
            <v>2</v>
          </cell>
          <cell r="AE224">
            <v>303028</v>
          </cell>
        </row>
        <row r="225">
          <cell r="A225" t="str">
            <v>SML</v>
          </cell>
          <cell r="B225">
            <v>0</v>
          </cell>
          <cell r="C225" t="str">
            <v>DRLN</v>
          </cell>
          <cell r="D225">
            <v>8</v>
          </cell>
          <cell r="E225">
            <v>4</v>
          </cell>
          <cell r="F225" t="str">
            <v>A4</v>
          </cell>
          <cell r="G225">
            <v>20</v>
          </cell>
          <cell r="H225">
            <v>2</v>
          </cell>
          <cell r="I225">
            <v>338</v>
          </cell>
          <cell r="J225">
            <v>0</v>
          </cell>
          <cell r="K225">
            <v>0</v>
          </cell>
          <cell r="L225">
            <v>7</v>
          </cell>
          <cell r="M225">
            <v>0</v>
          </cell>
          <cell r="N225">
            <v>0</v>
          </cell>
          <cell r="O225">
            <v>2618</v>
          </cell>
          <cell r="P225">
            <v>3696</v>
          </cell>
          <cell r="Q225">
            <v>0</v>
          </cell>
          <cell r="R225">
            <v>337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6314</v>
          </cell>
          <cell r="AA225">
            <v>6651</v>
          </cell>
          <cell r="AB225" t="str">
            <v>ERIG</v>
          </cell>
          <cell r="AC225">
            <v>1101</v>
          </cell>
          <cell r="AD225">
            <v>2</v>
          </cell>
          <cell r="AE225">
            <v>338</v>
          </cell>
        </row>
        <row r="226">
          <cell r="A226" t="str">
            <v>SML</v>
          </cell>
          <cell r="B226">
            <v>0</v>
          </cell>
          <cell r="C226" t="str">
            <v>DRLN</v>
          </cell>
          <cell r="D226">
            <v>8</v>
          </cell>
          <cell r="E226">
            <v>4</v>
          </cell>
          <cell r="F226" t="str">
            <v xml:space="preserve">B </v>
          </cell>
          <cell r="G226">
            <v>0</v>
          </cell>
          <cell r="H226">
            <v>504</v>
          </cell>
          <cell r="I226">
            <v>269142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2634473</v>
          </cell>
          <cell r="P226">
            <v>0</v>
          </cell>
          <cell r="Q226">
            <v>0</v>
          </cell>
          <cell r="R226">
            <v>438</v>
          </cell>
          <cell r="S226">
            <v>0</v>
          </cell>
          <cell r="T226">
            <v>310988</v>
          </cell>
          <cell r="U226">
            <v>0</v>
          </cell>
          <cell r="V226">
            <v>40742</v>
          </cell>
          <cell r="W226">
            <v>0</v>
          </cell>
          <cell r="X226">
            <v>0</v>
          </cell>
          <cell r="Y226">
            <v>0</v>
          </cell>
          <cell r="Z226">
            <v>2634473</v>
          </cell>
          <cell r="AA226">
            <v>2986641</v>
          </cell>
          <cell r="AB226" t="str">
            <v>ERIG</v>
          </cell>
          <cell r="AC226">
            <v>1101</v>
          </cell>
          <cell r="AD226">
            <v>2</v>
          </cell>
          <cell r="AE226">
            <v>266697</v>
          </cell>
        </row>
        <row r="227">
          <cell r="A227" t="str">
            <v>SML</v>
          </cell>
          <cell r="B227">
            <v>0</v>
          </cell>
          <cell r="C227" t="str">
            <v>DRLN</v>
          </cell>
          <cell r="D227">
            <v>8</v>
          </cell>
          <cell r="E227">
            <v>5</v>
          </cell>
          <cell r="F227" t="str">
            <v>A4</v>
          </cell>
          <cell r="G227">
            <v>20</v>
          </cell>
          <cell r="H227">
            <v>9</v>
          </cell>
          <cell r="I227">
            <v>173689</v>
          </cell>
          <cell r="J227">
            <v>0</v>
          </cell>
          <cell r="K227">
            <v>0</v>
          </cell>
          <cell r="L227">
            <v>574</v>
          </cell>
          <cell r="M227">
            <v>0</v>
          </cell>
          <cell r="N227">
            <v>0</v>
          </cell>
          <cell r="O227">
            <v>1542754</v>
          </cell>
          <cell r="P227">
            <v>358657</v>
          </cell>
          <cell r="Q227">
            <v>83142</v>
          </cell>
          <cell r="R227">
            <v>39266</v>
          </cell>
          <cell r="S227">
            <v>0</v>
          </cell>
          <cell r="T227">
            <v>0</v>
          </cell>
          <cell r="U227">
            <v>72595</v>
          </cell>
          <cell r="V227">
            <v>0</v>
          </cell>
          <cell r="W227">
            <v>19763</v>
          </cell>
          <cell r="X227">
            <v>0</v>
          </cell>
          <cell r="Y227">
            <v>0</v>
          </cell>
          <cell r="Z227">
            <v>2004316</v>
          </cell>
          <cell r="AA227">
            <v>2043582</v>
          </cell>
          <cell r="AB227" t="str">
            <v>ERIG</v>
          </cell>
          <cell r="AC227">
            <v>1101</v>
          </cell>
          <cell r="AD227">
            <v>2</v>
          </cell>
          <cell r="AE227">
            <v>173689</v>
          </cell>
        </row>
        <row r="228">
          <cell r="A228" t="str">
            <v>SML</v>
          </cell>
          <cell r="B228">
            <v>0</v>
          </cell>
          <cell r="C228" t="str">
            <v>DRLN</v>
          </cell>
          <cell r="D228">
            <v>8</v>
          </cell>
          <cell r="E228">
            <v>5</v>
          </cell>
          <cell r="F228" t="str">
            <v xml:space="preserve">B </v>
          </cell>
          <cell r="G228">
            <v>0</v>
          </cell>
          <cell r="H228">
            <v>219</v>
          </cell>
          <cell r="I228">
            <v>132817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2618808</v>
          </cell>
          <cell r="P228">
            <v>0</v>
          </cell>
          <cell r="Q228">
            <v>0</v>
          </cell>
          <cell r="R228">
            <v>4436</v>
          </cell>
          <cell r="S228">
            <v>0</v>
          </cell>
          <cell r="T228">
            <v>0</v>
          </cell>
          <cell r="U228">
            <v>545023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2618808</v>
          </cell>
          <cell r="AA228">
            <v>2623244</v>
          </cell>
          <cell r="AB228" t="str">
            <v>ERIG</v>
          </cell>
          <cell r="AC228">
            <v>1101</v>
          </cell>
          <cell r="AD228">
            <v>2</v>
          </cell>
          <cell r="AE228">
            <v>132057</v>
          </cell>
        </row>
        <row r="229">
          <cell r="A229" t="str">
            <v>SML</v>
          </cell>
          <cell r="B229">
            <v>0</v>
          </cell>
          <cell r="C229" t="str">
            <v>DRLN</v>
          </cell>
          <cell r="D229">
            <v>8</v>
          </cell>
          <cell r="E229">
            <v>6</v>
          </cell>
          <cell r="F229" t="str">
            <v xml:space="preserve">B </v>
          </cell>
          <cell r="G229">
            <v>0</v>
          </cell>
          <cell r="H229">
            <v>3</v>
          </cell>
          <cell r="I229">
            <v>380088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4474901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1118726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4474901</v>
          </cell>
          <cell r="AA229">
            <v>4474901</v>
          </cell>
          <cell r="AB229" t="str">
            <v>ERIG</v>
          </cell>
          <cell r="AC229">
            <v>1101</v>
          </cell>
          <cell r="AD229">
            <v>2</v>
          </cell>
          <cell r="AE229">
            <v>380088</v>
          </cell>
        </row>
        <row r="230">
          <cell r="A230" t="str">
            <v>SML</v>
          </cell>
          <cell r="B230">
            <v>0</v>
          </cell>
          <cell r="C230" t="str">
            <v>DRLN</v>
          </cell>
          <cell r="D230">
            <v>8</v>
          </cell>
          <cell r="E230">
            <v>7</v>
          </cell>
          <cell r="F230" t="str">
            <v>A4</v>
          </cell>
          <cell r="G230">
            <v>22</v>
          </cell>
          <cell r="H230">
            <v>6</v>
          </cell>
          <cell r="I230">
            <v>1946230</v>
          </cell>
          <cell r="J230">
            <v>151998</v>
          </cell>
          <cell r="K230">
            <v>1794232</v>
          </cell>
          <cell r="L230">
            <v>6434</v>
          </cell>
          <cell r="M230">
            <v>3608</v>
          </cell>
          <cell r="N230">
            <v>2826</v>
          </cell>
          <cell r="O230">
            <v>11601408</v>
          </cell>
          <cell r="P230">
            <v>7090453</v>
          </cell>
          <cell r="Q230">
            <v>289883</v>
          </cell>
          <cell r="R230">
            <v>0</v>
          </cell>
          <cell r="S230">
            <v>0</v>
          </cell>
          <cell r="T230">
            <v>0</v>
          </cell>
          <cell r="U230">
            <v>4776969</v>
          </cell>
          <cell r="V230">
            <v>0</v>
          </cell>
          <cell r="W230">
            <v>126134</v>
          </cell>
          <cell r="X230">
            <v>0</v>
          </cell>
          <cell r="Y230">
            <v>0</v>
          </cell>
          <cell r="Z230">
            <v>19107878</v>
          </cell>
          <cell r="AA230">
            <v>19107878</v>
          </cell>
          <cell r="AB230" t="str">
            <v>ERIG</v>
          </cell>
          <cell r="AC230">
            <v>1101</v>
          </cell>
          <cell r="AD230">
            <v>2</v>
          </cell>
          <cell r="AE230">
            <v>1946230</v>
          </cell>
        </row>
        <row r="231">
          <cell r="A231" t="str">
            <v>SML</v>
          </cell>
          <cell r="B231">
            <v>0</v>
          </cell>
          <cell r="C231" t="str">
            <v>DRLN</v>
          </cell>
          <cell r="D231">
            <v>8</v>
          </cell>
          <cell r="E231">
            <v>7</v>
          </cell>
          <cell r="F231" t="str">
            <v>A4</v>
          </cell>
          <cell r="G231">
            <v>20</v>
          </cell>
          <cell r="H231">
            <v>27</v>
          </cell>
          <cell r="I231">
            <v>292410</v>
          </cell>
          <cell r="J231">
            <v>0</v>
          </cell>
          <cell r="K231">
            <v>0</v>
          </cell>
          <cell r="L231">
            <v>1009</v>
          </cell>
          <cell r="M231">
            <v>0</v>
          </cell>
          <cell r="N231">
            <v>0</v>
          </cell>
          <cell r="O231">
            <v>2851976</v>
          </cell>
          <cell r="P231">
            <v>697864</v>
          </cell>
          <cell r="Q231">
            <v>396453</v>
          </cell>
          <cell r="R231">
            <v>0</v>
          </cell>
          <cell r="S231">
            <v>0</v>
          </cell>
          <cell r="T231">
            <v>0</v>
          </cell>
          <cell r="U231">
            <v>1014133</v>
          </cell>
          <cell r="V231">
            <v>0</v>
          </cell>
          <cell r="W231">
            <v>110224</v>
          </cell>
          <cell r="X231">
            <v>0</v>
          </cell>
          <cell r="Y231">
            <v>0</v>
          </cell>
          <cell r="Z231">
            <v>4056517</v>
          </cell>
          <cell r="AA231">
            <v>4056517</v>
          </cell>
          <cell r="AB231" t="str">
            <v>ERIG</v>
          </cell>
          <cell r="AC231">
            <v>1101</v>
          </cell>
          <cell r="AD231">
            <v>2</v>
          </cell>
          <cell r="AE231">
            <v>292410</v>
          </cell>
        </row>
        <row r="232">
          <cell r="A232" t="str">
            <v>SML</v>
          </cell>
          <cell r="B232">
            <v>0</v>
          </cell>
          <cell r="C232" t="str">
            <v>DRLN</v>
          </cell>
          <cell r="D232">
            <v>8</v>
          </cell>
          <cell r="E232">
            <v>7</v>
          </cell>
          <cell r="F232" t="str">
            <v xml:space="preserve">B </v>
          </cell>
          <cell r="G232">
            <v>0</v>
          </cell>
          <cell r="H232">
            <v>14</v>
          </cell>
          <cell r="I232">
            <v>45898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812148</v>
          </cell>
          <cell r="P232">
            <v>0</v>
          </cell>
          <cell r="Q232">
            <v>0</v>
          </cell>
          <cell r="R232">
            <v>426</v>
          </cell>
          <cell r="S232">
            <v>0</v>
          </cell>
          <cell r="T232">
            <v>0</v>
          </cell>
          <cell r="U232">
            <v>203036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812148</v>
          </cell>
          <cell r="AA232">
            <v>812574</v>
          </cell>
          <cell r="AB232" t="str">
            <v>ERIG</v>
          </cell>
          <cell r="AC232">
            <v>1101</v>
          </cell>
          <cell r="AD232">
            <v>2</v>
          </cell>
          <cell r="AE232">
            <v>45898</v>
          </cell>
        </row>
        <row r="233">
          <cell r="A233" t="str">
            <v>SML</v>
          </cell>
          <cell r="B233">
            <v>0</v>
          </cell>
          <cell r="C233" t="str">
            <v>DRLN</v>
          </cell>
          <cell r="D233">
            <v>8</v>
          </cell>
          <cell r="E233">
            <v>8</v>
          </cell>
          <cell r="F233" t="str">
            <v xml:space="preserve">B </v>
          </cell>
          <cell r="G233">
            <v>0</v>
          </cell>
          <cell r="H233">
            <v>10</v>
          </cell>
          <cell r="I233">
            <v>12029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250425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62606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250425</v>
          </cell>
          <cell r="AA233">
            <v>250425</v>
          </cell>
          <cell r="AB233" t="str">
            <v>ERIG</v>
          </cell>
          <cell r="AC233">
            <v>1101</v>
          </cell>
          <cell r="AD233">
            <v>2</v>
          </cell>
          <cell r="AE233">
            <v>12029</v>
          </cell>
        </row>
        <row r="234">
          <cell r="A234" t="str">
            <v>SSE</v>
          </cell>
          <cell r="B234">
            <v>1</v>
          </cell>
          <cell r="C234" t="str">
            <v>DRME</v>
          </cell>
          <cell r="D234">
            <v>11</v>
          </cell>
          <cell r="E234">
            <v>1</v>
          </cell>
          <cell r="F234" t="str">
            <v xml:space="preserve">B </v>
          </cell>
          <cell r="G234">
            <v>1</v>
          </cell>
          <cell r="H234">
            <v>9813</v>
          </cell>
          <cell r="I234">
            <v>208289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3359223</v>
          </cell>
          <cell r="P234">
            <v>0</v>
          </cell>
          <cell r="Q234">
            <v>0</v>
          </cell>
          <cell r="R234">
            <v>34631</v>
          </cell>
          <cell r="S234">
            <v>0</v>
          </cell>
          <cell r="T234">
            <v>196301</v>
          </cell>
          <cell r="U234">
            <v>-165</v>
          </cell>
          <cell r="V234">
            <v>1128</v>
          </cell>
          <cell r="W234">
            <v>0</v>
          </cell>
          <cell r="X234">
            <v>0</v>
          </cell>
          <cell r="Y234">
            <v>242452</v>
          </cell>
          <cell r="Z234">
            <v>3359223</v>
          </cell>
          <cell r="AA234">
            <v>3833735</v>
          </cell>
          <cell r="AB234" t="str">
            <v>ERST</v>
          </cell>
          <cell r="AC234">
            <v>1101</v>
          </cell>
          <cell r="AD234">
            <v>2</v>
          </cell>
          <cell r="AE234">
            <v>151673</v>
          </cell>
        </row>
        <row r="235">
          <cell r="A235" t="str">
            <v>SSE</v>
          </cell>
          <cell r="B235">
            <v>1</v>
          </cell>
          <cell r="C235" t="str">
            <v>DRME</v>
          </cell>
          <cell r="D235">
            <v>11</v>
          </cell>
          <cell r="E235">
            <v>1</v>
          </cell>
          <cell r="F235" t="str">
            <v xml:space="preserve">B </v>
          </cell>
          <cell r="G235">
            <v>2</v>
          </cell>
          <cell r="H235">
            <v>4677</v>
          </cell>
          <cell r="I235">
            <v>191255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3709139</v>
          </cell>
          <cell r="P235">
            <v>0</v>
          </cell>
          <cell r="Q235">
            <v>0</v>
          </cell>
          <cell r="R235">
            <v>30801</v>
          </cell>
          <cell r="S235">
            <v>0</v>
          </cell>
          <cell r="T235">
            <v>51217</v>
          </cell>
          <cell r="U235">
            <v>630390</v>
          </cell>
          <cell r="V235">
            <v>564</v>
          </cell>
          <cell r="W235">
            <v>0</v>
          </cell>
          <cell r="X235">
            <v>0</v>
          </cell>
          <cell r="Y235">
            <v>193255</v>
          </cell>
          <cell r="Z235">
            <v>3709139</v>
          </cell>
          <cell r="AA235">
            <v>3984976</v>
          </cell>
          <cell r="AB235" t="str">
            <v>ERST</v>
          </cell>
          <cell r="AC235">
            <v>1101</v>
          </cell>
          <cell r="AD235">
            <v>2</v>
          </cell>
          <cell r="AE235">
            <v>191148</v>
          </cell>
        </row>
        <row r="236">
          <cell r="A236" t="str">
            <v>SSE</v>
          </cell>
          <cell r="B236">
            <v>1</v>
          </cell>
          <cell r="C236" t="str">
            <v>DRME</v>
          </cell>
          <cell r="D236">
            <v>11</v>
          </cell>
          <cell r="E236">
            <v>1</v>
          </cell>
          <cell r="F236" t="str">
            <v xml:space="preserve">B </v>
          </cell>
          <cell r="G236">
            <v>3</v>
          </cell>
          <cell r="H236">
            <v>11087</v>
          </cell>
          <cell r="I236">
            <v>809599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15701426</v>
          </cell>
          <cell r="P236">
            <v>0</v>
          </cell>
          <cell r="Q236">
            <v>0</v>
          </cell>
          <cell r="R236">
            <v>115041</v>
          </cell>
          <cell r="S236">
            <v>0</v>
          </cell>
          <cell r="T236">
            <v>210537</v>
          </cell>
          <cell r="U236">
            <v>2669243</v>
          </cell>
          <cell r="V236">
            <v>470</v>
          </cell>
          <cell r="W236">
            <v>0</v>
          </cell>
          <cell r="X236">
            <v>0</v>
          </cell>
          <cell r="Y236">
            <v>921264</v>
          </cell>
          <cell r="Z236">
            <v>15701426</v>
          </cell>
          <cell r="AA236">
            <v>16948738</v>
          </cell>
          <cell r="AB236" t="str">
            <v>ERST</v>
          </cell>
          <cell r="AC236">
            <v>1101</v>
          </cell>
          <cell r="AD236">
            <v>2</v>
          </cell>
          <cell r="AE236">
            <v>806946</v>
          </cell>
        </row>
        <row r="237">
          <cell r="A237" t="str">
            <v>SSE</v>
          </cell>
          <cell r="B237">
            <v>1</v>
          </cell>
          <cell r="C237" t="str">
            <v>DRME</v>
          </cell>
          <cell r="D237">
            <v>11</v>
          </cell>
          <cell r="E237">
            <v>1</v>
          </cell>
          <cell r="F237" t="str">
            <v xml:space="preserve">B </v>
          </cell>
          <cell r="G237">
            <v>4</v>
          </cell>
          <cell r="H237">
            <v>3212</v>
          </cell>
          <cell r="I237">
            <v>384493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7459498</v>
          </cell>
          <cell r="P237">
            <v>0</v>
          </cell>
          <cell r="Q237">
            <v>0</v>
          </cell>
          <cell r="R237">
            <v>64932</v>
          </cell>
          <cell r="S237">
            <v>0</v>
          </cell>
          <cell r="T237">
            <v>114073</v>
          </cell>
          <cell r="U237">
            <v>1268120</v>
          </cell>
          <cell r="V237">
            <v>0</v>
          </cell>
          <cell r="W237">
            <v>0</v>
          </cell>
          <cell r="X237">
            <v>0</v>
          </cell>
          <cell r="Y237">
            <v>607433</v>
          </cell>
          <cell r="Z237">
            <v>7459498</v>
          </cell>
          <cell r="AA237">
            <v>8245936</v>
          </cell>
          <cell r="AB237" t="str">
            <v>ERST</v>
          </cell>
          <cell r="AC237">
            <v>1101</v>
          </cell>
          <cell r="AD237">
            <v>2</v>
          </cell>
          <cell r="AE237">
            <v>384493</v>
          </cell>
        </row>
        <row r="238">
          <cell r="A238" t="str">
            <v>SSE</v>
          </cell>
          <cell r="B238">
            <v>1</v>
          </cell>
          <cell r="C238" t="str">
            <v>DRME</v>
          </cell>
          <cell r="D238">
            <v>11</v>
          </cell>
          <cell r="E238">
            <v>1</v>
          </cell>
          <cell r="F238" t="str">
            <v xml:space="preserve">B </v>
          </cell>
          <cell r="G238">
            <v>5</v>
          </cell>
          <cell r="H238">
            <v>918</v>
          </cell>
          <cell r="I238">
            <v>158583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3075750</v>
          </cell>
          <cell r="P238">
            <v>0</v>
          </cell>
          <cell r="Q238">
            <v>0</v>
          </cell>
          <cell r="R238">
            <v>28632</v>
          </cell>
          <cell r="S238">
            <v>0</v>
          </cell>
          <cell r="T238">
            <v>64051</v>
          </cell>
          <cell r="U238">
            <v>522899</v>
          </cell>
          <cell r="V238">
            <v>0</v>
          </cell>
          <cell r="W238">
            <v>0</v>
          </cell>
          <cell r="X238">
            <v>0</v>
          </cell>
          <cell r="Y238">
            <v>235981</v>
          </cell>
          <cell r="Z238">
            <v>3075750</v>
          </cell>
          <cell r="AA238">
            <v>3404414</v>
          </cell>
          <cell r="AB238" t="str">
            <v>ERST</v>
          </cell>
          <cell r="AC238">
            <v>1101</v>
          </cell>
          <cell r="AD238">
            <v>2</v>
          </cell>
          <cell r="AE238">
            <v>158583</v>
          </cell>
        </row>
        <row r="239">
          <cell r="A239" t="str">
            <v>SSE</v>
          </cell>
          <cell r="B239">
            <v>1</v>
          </cell>
          <cell r="C239" t="str">
            <v>DRME</v>
          </cell>
          <cell r="D239">
            <v>11</v>
          </cell>
          <cell r="E239">
            <v>1</v>
          </cell>
          <cell r="F239" t="str">
            <v xml:space="preserve">B </v>
          </cell>
          <cell r="G239">
            <v>6</v>
          </cell>
          <cell r="H239">
            <v>626</v>
          </cell>
          <cell r="I239">
            <v>147903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2868786</v>
          </cell>
          <cell r="P239">
            <v>0</v>
          </cell>
          <cell r="Q239">
            <v>0</v>
          </cell>
          <cell r="R239">
            <v>25088</v>
          </cell>
          <cell r="S239">
            <v>0</v>
          </cell>
          <cell r="T239">
            <v>31590</v>
          </cell>
          <cell r="U239">
            <v>487855</v>
          </cell>
          <cell r="V239">
            <v>0</v>
          </cell>
          <cell r="W239">
            <v>0</v>
          </cell>
          <cell r="X239">
            <v>0</v>
          </cell>
          <cell r="Y239">
            <v>161557</v>
          </cell>
          <cell r="Z239">
            <v>2868786</v>
          </cell>
          <cell r="AA239">
            <v>3087021</v>
          </cell>
          <cell r="AB239" t="str">
            <v>ERST</v>
          </cell>
          <cell r="AC239">
            <v>1101</v>
          </cell>
          <cell r="AD239">
            <v>2</v>
          </cell>
          <cell r="AE239">
            <v>147903</v>
          </cell>
        </row>
        <row r="240">
          <cell r="A240" t="str">
            <v>SSE</v>
          </cell>
          <cell r="B240">
            <v>1</v>
          </cell>
          <cell r="C240" t="str">
            <v>DRME</v>
          </cell>
          <cell r="D240">
            <v>11</v>
          </cell>
          <cell r="E240">
            <v>1</v>
          </cell>
          <cell r="F240" t="str">
            <v xml:space="preserve">B </v>
          </cell>
          <cell r="G240">
            <v>7</v>
          </cell>
          <cell r="H240">
            <v>244</v>
          </cell>
          <cell r="I240">
            <v>83408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1678546</v>
          </cell>
          <cell r="P240">
            <v>0</v>
          </cell>
          <cell r="Q240">
            <v>0</v>
          </cell>
          <cell r="R240">
            <v>18987</v>
          </cell>
          <cell r="S240">
            <v>0</v>
          </cell>
          <cell r="T240">
            <v>26161</v>
          </cell>
          <cell r="U240">
            <v>335823</v>
          </cell>
          <cell r="V240">
            <v>0</v>
          </cell>
          <cell r="W240">
            <v>0</v>
          </cell>
          <cell r="X240">
            <v>0</v>
          </cell>
          <cell r="Y240">
            <v>103677</v>
          </cell>
          <cell r="Z240">
            <v>1678546</v>
          </cell>
          <cell r="AA240">
            <v>1827371</v>
          </cell>
          <cell r="AB240" t="str">
            <v>ERST</v>
          </cell>
          <cell r="AC240">
            <v>1101</v>
          </cell>
          <cell r="AD240">
            <v>2</v>
          </cell>
          <cell r="AE240">
            <v>83408</v>
          </cell>
        </row>
        <row r="241">
          <cell r="A241" t="str">
            <v>SSE</v>
          </cell>
          <cell r="B241">
            <v>1</v>
          </cell>
          <cell r="C241" t="str">
            <v>DRME</v>
          </cell>
          <cell r="D241">
            <v>11</v>
          </cell>
          <cell r="E241">
            <v>1</v>
          </cell>
          <cell r="F241" t="str">
            <v xml:space="preserve">B </v>
          </cell>
          <cell r="G241">
            <v>8</v>
          </cell>
          <cell r="H241">
            <v>119</v>
          </cell>
          <cell r="I241">
            <v>52906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1064632</v>
          </cell>
          <cell r="P241">
            <v>0</v>
          </cell>
          <cell r="Q241">
            <v>0</v>
          </cell>
          <cell r="R241">
            <v>11258</v>
          </cell>
          <cell r="S241">
            <v>0</v>
          </cell>
          <cell r="T241">
            <v>34040</v>
          </cell>
          <cell r="U241">
            <v>212978</v>
          </cell>
          <cell r="V241">
            <v>0</v>
          </cell>
          <cell r="W241">
            <v>0</v>
          </cell>
          <cell r="X241">
            <v>0</v>
          </cell>
          <cell r="Y241">
            <v>49558</v>
          </cell>
          <cell r="Z241">
            <v>1064632</v>
          </cell>
          <cell r="AA241">
            <v>1159488</v>
          </cell>
          <cell r="AB241" t="str">
            <v>ERST</v>
          </cell>
          <cell r="AC241">
            <v>1101</v>
          </cell>
          <cell r="AD241">
            <v>2</v>
          </cell>
          <cell r="AE241">
            <v>52906</v>
          </cell>
        </row>
        <row r="242">
          <cell r="A242" t="str">
            <v>SSE</v>
          </cell>
          <cell r="B242">
            <v>1</v>
          </cell>
          <cell r="C242" t="str">
            <v>DRME</v>
          </cell>
          <cell r="D242">
            <v>11</v>
          </cell>
          <cell r="E242">
            <v>1</v>
          </cell>
          <cell r="F242" t="str">
            <v xml:space="preserve">B </v>
          </cell>
          <cell r="G242">
            <v>9</v>
          </cell>
          <cell r="H242">
            <v>138</v>
          </cell>
          <cell r="I242">
            <v>87644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1881106</v>
          </cell>
          <cell r="P242">
            <v>0</v>
          </cell>
          <cell r="Q242">
            <v>0</v>
          </cell>
          <cell r="R242">
            <v>17425</v>
          </cell>
          <cell r="S242">
            <v>0</v>
          </cell>
          <cell r="T242">
            <v>21374</v>
          </cell>
          <cell r="U242">
            <v>470397</v>
          </cell>
          <cell r="V242">
            <v>0</v>
          </cell>
          <cell r="W242">
            <v>0</v>
          </cell>
          <cell r="X242">
            <v>0</v>
          </cell>
          <cell r="Y242">
            <v>92823</v>
          </cell>
          <cell r="Z242">
            <v>1881106</v>
          </cell>
          <cell r="AA242">
            <v>2012728</v>
          </cell>
          <cell r="AB242" t="str">
            <v>ERST</v>
          </cell>
          <cell r="AC242">
            <v>1101</v>
          </cell>
          <cell r="AD242">
            <v>2</v>
          </cell>
          <cell r="AE242">
            <v>87644</v>
          </cell>
        </row>
        <row r="243">
          <cell r="A243" t="str">
            <v>SSE</v>
          </cell>
          <cell r="B243">
            <v>1</v>
          </cell>
          <cell r="C243" t="str">
            <v>DRME</v>
          </cell>
          <cell r="D243">
            <v>11</v>
          </cell>
          <cell r="E243">
            <v>1</v>
          </cell>
          <cell r="F243" t="str">
            <v xml:space="preserve">B </v>
          </cell>
          <cell r="G243">
            <v>10</v>
          </cell>
          <cell r="H243">
            <v>19</v>
          </cell>
          <cell r="I243">
            <v>29028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622972</v>
          </cell>
          <cell r="P243">
            <v>0</v>
          </cell>
          <cell r="Q243">
            <v>0</v>
          </cell>
          <cell r="R243">
            <v>12992</v>
          </cell>
          <cell r="S243">
            <v>0</v>
          </cell>
          <cell r="T243">
            <v>0</v>
          </cell>
          <cell r="U243">
            <v>155758</v>
          </cell>
          <cell r="V243">
            <v>0</v>
          </cell>
          <cell r="W243">
            <v>0</v>
          </cell>
          <cell r="X243">
            <v>0</v>
          </cell>
          <cell r="Y243">
            <v>11890</v>
          </cell>
          <cell r="Z243">
            <v>622972</v>
          </cell>
          <cell r="AA243">
            <v>647854</v>
          </cell>
          <cell r="AB243" t="str">
            <v>ERST</v>
          </cell>
          <cell r="AC243">
            <v>1101</v>
          </cell>
          <cell r="AD243">
            <v>2</v>
          </cell>
          <cell r="AE243">
            <v>29028</v>
          </cell>
        </row>
        <row r="244">
          <cell r="A244" t="str">
            <v>SSE</v>
          </cell>
          <cell r="B244">
            <v>1</v>
          </cell>
          <cell r="C244" t="str">
            <v>DRME</v>
          </cell>
          <cell r="D244">
            <v>11</v>
          </cell>
          <cell r="E244">
            <v>1</v>
          </cell>
          <cell r="F244" t="str">
            <v xml:space="preserve">B </v>
          </cell>
          <cell r="G244">
            <v>11</v>
          </cell>
          <cell r="H244">
            <v>2306</v>
          </cell>
          <cell r="I244">
            <v>53358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300632</v>
          </cell>
          <cell r="P244">
            <v>0</v>
          </cell>
          <cell r="Q244">
            <v>0</v>
          </cell>
          <cell r="R244">
            <v>2623</v>
          </cell>
          <cell r="S244">
            <v>0</v>
          </cell>
          <cell r="T244">
            <v>26300</v>
          </cell>
          <cell r="U244">
            <v>0</v>
          </cell>
          <cell r="V244">
            <v>566</v>
          </cell>
          <cell r="W244">
            <v>0</v>
          </cell>
          <cell r="X244">
            <v>0</v>
          </cell>
          <cell r="Y244">
            <v>59866</v>
          </cell>
          <cell r="Z244">
            <v>300632</v>
          </cell>
          <cell r="AA244">
            <v>389987</v>
          </cell>
          <cell r="AB244" t="str">
            <v>ERST</v>
          </cell>
          <cell r="AC244">
            <v>1101</v>
          </cell>
          <cell r="AD244">
            <v>2</v>
          </cell>
          <cell r="AE244">
            <v>36241</v>
          </cell>
        </row>
        <row r="245">
          <cell r="A245" t="str">
            <v>SSE</v>
          </cell>
          <cell r="B245">
            <v>1</v>
          </cell>
          <cell r="C245" t="str">
            <v>DRME</v>
          </cell>
          <cell r="D245">
            <v>11</v>
          </cell>
          <cell r="E245">
            <v>1</v>
          </cell>
          <cell r="F245" t="str">
            <v xml:space="preserve">B </v>
          </cell>
          <cell r="G245">
            <v>12</v>
          </cell>
          <cell r="H245">
            <v>1656</v>
          </cell>
          <cell r="I245">
            <v>93167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844514</v>
          </cell>
          <cell r="P245">
            <v>0</v>
          </cell>
          <cell r="Q245">
            <v>0</v>
          </cell>
          <cell r="R245">
            <v>6976</v>
          </cell>
          <cell r="S245">
            <v>0</v>
          </cell>
          <cell r="T245">
            <v>10459</v>
          </cell>
          <cell r="U245">
            <v>143628</v>
          </cell>
          <cell r="V245">
            <v>94</v>
          </cell>
          <cell r="W245">
            <v>0</v>
          </cell>
          <cell r="X245">
            <v>0</v>
          </cell>
          <cell r="Y245">
            <v>111473</v>
          </cell>
          <cell r="Z245">
            <v>844514</v>
          </cell>
          <cell r="AA245">
            <v>973516</v>
          </cell>
          <cell r="AB245" t="str">
            <v>ERST</v>
          </cell>
          <cell r="AC245">
            <v>1101</v>
          </cell>
          <cell r="AD245">
            <v>2</v>
          </cell>
          <cell r="AE245">
            <v>93167</v>
          </cell>
        </row>
        <row r="246">
          <cell r="A246" t="str">
            <v>SSE</v>
          </cell>
          <cell r="B246">
            <v>1</v>
          </cell>
          <cell r="C246" t="str">
            <v>DRME</v>
          </cell>
          <cell r="D246">
            <v>11</v>
          </cell>
          <cell r="E246">
            <v>1</v>
          </cell>
          <cell r="F246" t="str">
            <v xml:space="preserve">B </v>
          </cell>
          <cell r="G246">
            <v>13</v>
          </cell>
          <cell r="H246">
            <v>156</v>
          </cell>
          <cell r="I246">
            <v>17908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219071</v>
          </cell>
          <cell r="P246">
            <v>0</v>
          </cell>
          <cell r="Q246">
            <v>0</v>
          </cell>
          <cell r="R246">
            <v>1666</v>
          </cell>
          <cell r="S246">
            <v>0</v>
          </cell>
          <cell r="T246">
            <v>3787</v>
          </cell>
          <cell r="U246">
            <v>37248</v>
          </cell>
          <cell r="V246">
            <v>0</v>
          </cell>
          <cell r="W246">
            <v>0</v>
          </cell>
          <cell r="X246">
            <v>0</v>
          </cell>
          <cell r="Y246">
            <v>33966</v>
          </cell>
          <cell r="Z246">
            <v>219071</v>
          </cell>
          <cell r="AA246">
            <v>258490</v>
          </cell>
          <cell r="AB246" t="str">
            <v>ERST</v>
          </cell>
          <cell r="AC246">
            <v>1101</v>
          </cell>
          <cell r="AD246">
            <v>2</v>
          </cell>
          <cell r="AE246">
            <v>17908</v>
          </cell>
        </row>
        <row r="247">
          <cell r="A247" t="str">
            <v>SSE</v>
          </cell>
          <cell r="B247">
            <v>1</v>
          </cell>
          <cell r="C247" t="str">
            <v>DRME</v>
          </cell>
          <cell r="D247">
            <v>11</v>
          </cell>
          <cell r="E247">
            <v>1</v>
          </cell>
          <cell r="F247" t="str">
            <v xml:space="preserve">B </v>
          </cell>
          <cell r="G247">
            <v>14</v>
          </cell>
          <cell r="H247">
            <v>9</v>
          </cell>
          <cell r="I247">
            <v>1301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16238</v>
          </cell>
          <cell r="P247">
            <v>0</v>
          </cell>
          <cell r="Q247">
            <v>0</v>
          </cell>
          <cell r="R247">
            <v>69</v>
          </cell>
          <cell r="S247">
            <v>0</v>
          </cell>
          <cell r="T247">
            <v>0</v>
          </cell>
          <cell r="U247">
            <v>2761</v>
          </cell>
          <cell r="V247">
            <v>0</v>
          </cell>
          <cell r="W247">
            <v>0</v>
          </cell>
          <cell r="X247">
            <v>0</v>
          </cell>
          <cell r="Y247">
            <v>2321</v>
          </cell>
          <cell r="Z247">
            <v>16238</v>
          </cell>
          <cell r="AA247">
            <v>18628</v>
          </cell>
          <cell r="AB247" t="str">
            <v>ERST</v>
          </cell>
          <cell r="AC247">
            <v>1101</v>
          </cell>
          <cell r="AD247">
            <v>2</v>
          </cell>
          <cell r="AE247">
            <v>1301</v>
          </cell>
        </row>
        <row r="248">
          <cell r="A248" t="str">
            <v>SSE</v>
          </cell>
          <cell r="B248">
            <v>1</v>
          </cell>
          <cell r="C248" t="str">
            <v>DRME</v>
          </cell>
          <cell r="D248">
            <v>11</v>
          </cell>
          <cell r="E248">
            <v>1</v>
          </cell>
          <cell r="F248" t="str">
            <v xml:space="preserve">B </v>
          </cell>
          <cell r="G248">
            <v>15</v>
          </cell>
          <cell r="H248">
            <v>11</v>
          </cell>
          <cell r="I248">
            <v>2376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36532</v>
          </cell>
          <cell r="P248">
            <v>0</v>
          </cell>
          <cell r="Q248">
            <v>0</v>
          </cell>
          <cell r="R248">
            <v>326</v>
          </cell>
          <cell r="S248">
            <v>0</v>
          </cell>
          <cell r="T248">
            <v>500</v>
          </cell>
          <cell r="U248">
            <v>6580</v>
          </cell>
          <cell r="V248">
            <v>0</v>
          </cell>
          <cell r="W248">
            <v>0</v>
          </cell>
          <cell r="X248">
            <v>0</v>
          </cell>
          <cell r="Y248">
            <v>2499</v>
          </cell>
          <cell r="Z248">
            <v>36532</v>
          </cell>
          <cell r="AA248">
            <v>39857</v>
          </cell>
          <cell r="AB248" t="str">
            <v>ERST</v>
          </cell>
          <cell r="AC248">
            <v>1101</v>
          </cell>
          <cell r="AD248">
            <v>2</v>
          </cell>
          <cell r="AE248">
            <v>2376</v>
          </cell>
        </row>
        <row r="249">
          <cell r="A249" t="str">
            <v>SSE</v>
          </cell>
          <cell r="B249">
            <v>1</v>
          </cell>
          <cell r="C249" t="str">
            <v>DRME</v>
          </cell>
          <cell r="D249">
            <v>11</v>
          </cell>
          <cell r="E249">
            <v>2</v>
          </cell>
          <cell r="F249" t="str">
            <v>A4</v>
          </cell>
          <cell r="G249">
            <v>20</v>
          </cell>
          <cell r="H249">
            <v>7</v>
          </cell>
          <cell r="I249">
            <v>133008</v>
          </cell>
          <cell r="J249">
            <v>0</v>
          </cell>
          <cell r="K249">
            <v>0</v>
          </cell>
          <cell r="L249">
            <v>630</v>
          </cell>
          <cell r="M249">
            <v>0</v>
          </cell>
          <cell r="N249">
            <v>0</v>
          </cell>
          <cell r="O249">
            <v>1526222</v>
          </cell>
          <cell r="P249">
            <v>493080</v>
          </cell>
          <cell r="Q249">
            <v>74712</v>
          </cell>
          <cell r="R249">
            <v>11045</v>
          </cell>
          <cell r="S249">
            <v>0</v>
          </cell>
          <cell r="T249">
            <v>0</v>
          </cell>
          <cell r="U249">
            <v>541702</v>
          </cell>
          <cell r="V249">
            <v>0</v>
          </cell>
          <cell r="W249">
            <v>72789</v>
          </cell>
          <cell r="X249">
            <v>0</v>
          </cell>
          <cell r="Y249">
            <v>2415</v>
          </cell>
          <cell r="Z249">
            <v>2166803</v>
          </cell>
          <cell r="AA249">
            <v>2180263</v>
          </cell>
          <cell r="AB249" t="str">
            <v>ERST</v>
          </cell>
          <cell r="AC249">
            <v>1101</v>
          </cell>
          <cell r="AD249">
            <v>2</v>
          </cell>
          <cell r="AE249">
            <v>133008</v>
          </cell>
        </row>
        <row r="250">
          <cell r="A250" t="str">
            <v>SSE</v>
          </cell>
          <cell r="B250">
            <v>1</v>
          </cell>
          <cell r="C250" t="str">
            <v>DRME</v>
          </cell>
          <cell r="D250">
            <v>11</v>
          </cell>
          <cell r="E250">
            <v>2</v>
          </cell>
          <cell r="F250" t="str">
            <v xml:space="preserve">B </v>
          </cell>
          <cell r="G250">
            <v>0</v>
          </cell>
          <cell r="H250">
            <v>218</v>
          </cell>
          <cell r="I250">
            <v>98109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2042432</v>
          </cell>
          <cell r="P250">
            <v>0</v>
          </cell>
          <cell r="Q250">
            <v>0</v>
          </cell>
          <cell r="R250">
            <v>29644</v>
          </cell>
          <cell r="S250">
            <v>0</v>
          </cell>
          <cell r="T250">
            <v>205744</v>
          </cell>
          <cell r="U250">
            <v>504619</v>
          </cell>
          <cell r="V250">
            <v>1887</v>
          </cell>
          <cell r="W250">
            <v>0</v>
          </cell>
          <cell r="X250">
            <v>0</v>
          </cell>
          <cell r="Y250">
            <v>91335</v>
          </cell>
          <cell r="Z250">
            <v>2042432</v>
          </cell>
          <cell r="AA250">
            <v>2371042</v>
          </cell>
          <cell r="AB250" t="str">
            <v>ERST</v>
          </cell>
          <cell r="AC250">
            <v>1101</v>
          </cell>
          <cell r="AD250">
            <v>2</v>
          </cell>
          <cell r="AE250">
            <v>94268</v>
          </cell>
        </row>
        <row r="251">
          <cell r="A251" t="str">
            <v>SSE</v>
          </cell>
          <cell r="B251">
            <v>1</v>
          </cell>
          <cell r="C251" t="str">
            <v>DRME</v>
          </cell>
          <cell r="D251">
            <v>11</v>
          </cell>
          <cell r="E251">
            <v>3</v>
          </cell>
          <cell r="F251" t="str">
            <v>A4</v>
          </cell>
          <cell r="G251">
            <v>21</v>
          </cell>
          <cell r="H251">
            <v>4</v>
          </cell>
          <cell r="I251">
            <v>23480</v>
          </cell>
          <cell r="J251">
            <v>819</v>
          </cell>
          <cell r="K251">
            <v>22661</v>
          </cell>
          <cell r="L251">
            <v>232</v>
          </cell>
          <cell r="M251">
            <v>232</v>
          </cell>
          <cell r="N251">
            <v>0</v>
          </cell>
          <cell r="O251">
            <v>196674</v>
          </cell>
          <cell r="P251">
            <v>160234</v>
          </cell>
          <cell r="Q251">
            <v>3568</v>
          </cell>
          <cell r="R251">
            <v>0</v>
          </cell>
          <cell r="S251">
            <v>0</v>
          </cell>
          <cell r="T251">
            <v>0</v>
          </cell>
          <cell r="U251">
            <v>90120</v>
          </cell>
          <cell r="V251">
            <v>0</v>
          </cell>
          <cell r="W251">
            <v>0</v>
          </cell>
          <cell r="X251">
            <v>0</v>
          </cell>
          <cell r="Y251">
            <v>7215</v>
          </cell>
          <cell r="Z251">
            <v>360476</v>
          </cell>
          <cell r="AA251">
            <v>367691</v>
          </cell>
          <cell r="AB251" t="str">
            <v>ERST</v>
          </cell>
          <cell r="AC251">
            <v>1101</v>
          </cell>
          <cell r="AD251">
            <v>2</v>
          </cell>
          <cell r="AE251">
            <v>23480</v>
          </cell>
        </row>
        <row r="252">
          <cell r="A252" t="str">
            <v>SSE</v>
          </cell>
          <cell r="B252">
            <v>1</v>
          </cell>
          <cell r="C252" t="str">
            <v>DRME</v>
          </cell>
          <cell r="D252">
            <v>11</v>
          </cell>
          <cell r="E252">
            <v>3</v>
          </cell>
          <cell r="F252" t="str">
            <v>A4</v>
          </cell>
          <cell r="G252">
            <v>20</v>
          </cell>
          <cell r="H252">
            <v>13</v>
          </cell>
          <cell r="I252">
            <v>94690</v>
          </cell>
          <cell r="J252">
            <v>0</v>
          </cell>
          <cell r="K252">
            <v>0</v>
          </cell>
          <cell r="L252">
            <v>407</v>
          </cell>
          <cell r="M252">
            <v>0</v>
          </cell>
          <cell r="N252">
            <v>0</v>
          </cell>
          <cell r="O252">
            <v>1086539</v>
          </cell>
          <cell r="P252">
            <v>318545</v>
          </cell>
          <cell r="Q252">
            <v>46999</v>
          </cell>
          <cell r="R252">
            <v>4016</v>
          </cell>
          <cell r="S252">
            <v>0</v>
          </cell>
          <cell r="T252">
            <v>0</v>
          </cell>
          <cell r="U252">
            <v>366935</v>
          </cell>
          <cell r="V252">
            <v>0</v>
          </cell>
          <cell r="W252">
            <v>15654</v>
          </cell>
          <cell r="X252">
            <v>0</v>
          </cell>
          <cell r="Y252">
            <v>26292</v>
          </cell>
          <cell r="Z252">
            <v>1467737</v>
          </cell>
          <cell r="AA252">
            <v>1498045</v>
          </cell>
          <cell r="AB252" t="str">
            <v>ERST</v>
          </cell>
          <cell r="AC252">
            <v>1101</v>
          </cell>
          <cell r="AD252">
            <v>2</v>
          </cell>
          <cell r="AE252">
            <v>94690</v>
          </cell>
        </row>
        <row r="253">
          <cell r="A253" t="str">
            <v>SSE</v>
          </cell>
          <cell r="B253">
            <v>1</v>
          </cell>
          <cell r="C253" t="str">
            <v>DRME</v>
          </cell>
          <cell r="D253">
            <v>11</v>
          </cell>
          <cell r="E253">
            <v>3</v>
          </cell>
          <cell r="F253" t="str">
            <v xml:space="preserve">B </v>
          </cell>
          <cell r="G253">
            <v>0</v>
          </cell>
          <cell r="H253">
            <v>3184</v>
          </cell>
          <cell r="I253">
            <v>610095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12695329</v>
          </cell>
          <cell r="P253">
            <v>0</v>
          </cell>
          <cell r="Q253">
            <v>0</v>
          </cell>
          <cell r="R253">
            <v>123368</v>
          </cell>
          <cell r="S253">
            <v>0</v>
          </cell>
          <cell r="T253">
            <v>748331</v>
          </cell>
          <cell r="U253">
            <v>3119968</v>
          </cell>
          <cell r="V253">
            <v>1318</v>
          </cell>
          <cell r="W253">
            <v>0</v>
          </cell>
          <cell r="X253">
            <v>0</v>
          </cell>
          <cell r="Y253">
            <v>874360</v>
          </cell>
          <cell r="Z253">
            <v>12695329</v>
          </cell>
          <cell r="AA253">
            <v>14442706</v>
          </cell>
          <cell r="AB253" t="str">
            <v>ERST</v>
          </cell>
          <cell r="AC253">
            <v>1101</v>
          </cell>
          <cell r="AD253">
            <v>2</v>
          </cell>
          <cell r="AE253">
            <v>584740</v>
          </cell>
        </row>
        <row r="254">
          <cell r="A254" t="str">
            <v>SSE</v>
          </cell>
          <cell r="B254">
            <v>1</v>
          </cell>
          <cell r="C254" t="str">
            <v>DRME</v>
          </cell>
          <cell r="D254">
            <v>11</v>
          </cell>
          <cell r="E254">
            <v>4</v>
          </cell>
          <cell r="F254" t="str">
            <v>A4</v>
          </cell>
          <cell r="G254">
            <v>20</v>
          </cell>
          <cell r="H254">
            <v>5</v>
          </cell>
          <cell r="I254">
            <v>10415</v>
          </cell>
          <cell r="J254">
            <v>0</v>
          </cell>
          <cell r="K254">
            <v>0</v>
          </cell>
          <cell r="L254">
            <v>126</v>
          </cell>
          <cell r="M254">
            <v>0</v>
          </cell>
          <cell r="N254">
            <v>0</v>
          </cell>
          <cell r="O254">
            <v>80664</v>
          </cell>
          <cell r="P254">
            <v>66528</v>
          </cell>
          <cell r="Q254">
            <v>5786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8448</v>
          </cell>
          <cell r="X254">
            <v>0</v>
          </cell>
          <cell r="Y254">
            <v>0</v>
          </cell>
          <cell r="Z254">
            <v>161426</v>
          </cell>
          <cell r="AA254">
            <v>161426</v>
          </cell>
          <cell r="AB254" t="str">
            <v>ERST</v>
          </cell>
          <cell r="AC254">
            <v>1101</v>
          </cell>
          <cell r="AD254">
            <v>2</v>
          </cell>
          <cell r="AE254">
            <v>10415</v>
          </cell>
        </row>
        <row r="255">
          <cell r="A255" t="str">
            <v>SSE</v>
          </cell>
          <cell r="B255">
            <v>1</v>
          </cell>
          <cell r="C255" t="str">
            <v>DRME</v>
          </cell>
          <cell r="D255">
            <v>11</v>
          </cell>
          <cell r="E255">
            <v>4</v>
          </cell>
          <cell r="F255" t="str">
            <v xml:space="preserve">B </v>
          </cell>
          <cell r="G255">
            <v>0</v>
          </cell>
          <cell r="H255">
            <v>14470</v>
          </cell>
          <cell r="I255">
            <v>1139400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10949645</v>
          </cell>
          <cell r="P255">
            <v>0</v>
          </cell>
          <cell r="Q255">
            <v>0</v>
          </cell>
          <cell r="R255">
            <v>20969</v>
          </cell>
          <cell r="S255">
            <v>0</v>
          </cell>
          <cell r="T255">
            <v>613667</v>
          </cell>
          <cell r="U255">
            <v>0</v>
          </cell>
          <cell r="V255">
            <v>435611</v>
          </cell>
          <cell r="W255">
            <v>0</v>
          </cell>
          <cell r="X255">
            <v>0</v>
          </cell>
          <cell r="Y255">
            <v>0</v>
          </cell>
          <cell r="Z255">
            <v>10949645</v>
          </cell>
          <cell r="AA255">
            <v>12019892</v>
          </cell>
          <cell r="AB255" t="str">
            <v>ERST</v>
          </cell>
          <cell r="AC255">
            <v>1101</v>
          </cell>
          <cell r="AD255">
            <v>2</v>
          </cell>
          <cell r="AE255">
            <v>1022692</v>
          </cell>
        </row>
        <row r="256">
          <cell r="A256" t="str">
            <v>SSE</v>
          </cell>
          <cell r="B256">
            <v>1</v>
          </cell>
          <cell r="C256" t="str">
            <v>DRME</v>
          </cell>
          <cell r="D256">
            <v>11</v>
          </cell>
          <cell r="E256">
            <v>5</v>
          </cell>
          <cell r="F256" t="str">
            <v>A4</v>
          </cell>
          <cell r="G256">
            <v>20</v>
          </cell>
          <cell r="H256">
            <v>4</v>
          </cell>
          <cell r="I256">
            <v>25605</v>
          </cell>
          <cell r="J256">
            <v>0</v>
          </cell>
          <cell r="K256">
            <v>0</v>
          </cell>
          <cell r="L256">
            <v>144</v>
          </cell>
          <cell r="M256">
            <v>0</v>
          </cell>
          <cell r="N256">
            <v>0</v>
          </cell>
          <cell r="O256">
            <v>243732</v>
          </cell>
          <cell r="P256">
            <v>98812</v>
          </cell>
          <cell r="Q256">
            <v>7815</v>
          </cell>
          <cell r="R256">
            <v>2726</v>
          </cell>
          <cell r="S256">
            <v>0</v>
          </cell>
          <cell r="T256">
            <v>0</v>
          </cell>
          <cell r="U256">
            <v>40788</v>
          </cell>
          <cell r="V256">
            <v>0</v>
          </cell>
          <cell r="W256">
            <v>4696</v>
          </cell>
          <cell r="X256">
            <v>0</v>
          </cell>
          <cell r="Y256">
            <v>0</v>
          </cell>
          <cell r="Z256">
            <v>355055</v>
          </cell>
          <cell r="AA256">
            <v>357781</v>
          </cell>
          <cell r="AB256" t="str">
            <v>ERST</v>
          </cell>
          <cell r="AC256">
            <v>1101</v>
          </cell>
          <cell r="AD256">
            <v>2</v>
          </cell>
          <cell r="AE256">
            <v>25605</v>
          </cell>
        </row>
        <row r="257">
          <cell r="A257" t="str">
            <v>SSE</v>
          </cell>
          <cell r="B257">
            <v>1</v>
          </cell>
          <cell r="C257" t="str">
            <v>DRME</v>
          </cell>
          <cell r="D257">
            <v>11</v>
          </cell>
          <cell r="E257">
            <v>5</v>
          </cell>
          <cell r="F257" t="str">
            <v xml:space="preserve">B </v>
          </cell>
          <cell r="G257">
            <v>0</v>
          </cell>
          <cell r="H257">
            <v>628</v>
          </cell>
          <cell r="I257">
            <v>163238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3188520</v>
          </cell>
          <cell r="P257">
            <v>0</v>
          </cell>
          <cell r="Q257">
            <v>0</v>
          </cell>
          <cell r="R257">
            <v>26791</v>
          </cell>
          <cell r="S257">
            <v>0</v>
          </cell>
          <cell r="T257">
            <v>98720</v>
          </cell>
          <cell r="U257">
            <v>637355</v>
          </cell>
          <cell r="V257">
            <v>471</v>
          </cell>
          <cell r="W257">
            <v>0</v>
          </cell>
          <cell r="X257">
            <v>0</v>
          </cell>
          <cell r="Y257">
            <v>0</v>
          </cell>
          <cell r="Z257">
            <v>3188520</v>
          </cell>
          <cell r="AA257">
            <v>3314502</v>
          </cell>
          <cell r="AB257" t="str">
            <v>ERST</v>
          </cell>
          <cell r="AC257">
            <v>1101</v>
          </cell>
          <cell r="AD257">
            <v>2</v>
          </cell>
          <cell r="AE257">
            <v>157626</v>
          </cell>
        </row>
        <row r="258">
          <cell r="A258" t="str">
            <v>SSE</v>
          </cell>
          <cell r="B258">
            <v>1</v>
          </cell>
          <cell r="C258" t="str">
            <v>DRME</v>
          </cell>
          <cell r="D258">
            <v>11</v>
          </cell>
          <cell r="E258">
            <v>6</v>
          </cell>
          <cell r="F258" t="str">
            <v xml:space="preserve">B </v>
          </cell>
          <cell r="G258">
            <v>0</v>
          </cell>
          <cell r="H258">
            <v>48</v>
          </cell>
          <cell r="I258">
            <v>348581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4177488</v>
          </cell>
          <cell r="P258">
            <v>0</v>
          </cell>
          <cell r="Q258">
            <v>0</v>
          </cell>
          <cell r="R258">
            <v>41125</v>
          </cell>
          <cell r="S258">
            <v>0</v>
          </cell>
          <cell r="T258">
            <v>29826</v>
          </cell>
          <cell r="U258">
            <v>1044371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4177488</v>
          </cell>
          <cell r="AA258">
            <v>4248439</v>
          </cell>
          <cell r="AB258" t="str">
            <v>ERST</v>
          </cell>
          <cell r="AC258">
            <v>1101</v>
          </cell>
          <cell r="AD258">
            <v>2</v>
          </cell>
          <cell r="AE258">
            <v>348581</v>
          </cell>
        </row>
        <row r="259">
          <cell r="A259" t="str">
            <v>SSE</v>
          </cell>
          <cell r="B259">
            <v>1</v>
          </cell>
          <cell r="C259" t="str">
            <v>DRME</v>
          </cell>
          <cell r="D259">
            <v>11</v>
          </cell>
          <cell r="E259">
            <v>7</v>
          </cell>
          <cell r="F259" t="str">
            <v>A4</v>
          </cell>
          <cell r="G259">
            <v>20</v>
          </cell>
          <cell r="H259">
            <v>12</v>
          </cell>
          <cell r="I259">
            <v>311038</v>
          </cell>
          <cell r="J259">
            <v>0</v>
          </cell>
          <cell r="K259">
            <v>0</v>
          </cell>
          <cell r="L259">
            <v>626</v>
          </cell>
          <cell r="M259">
            <v>0</v>
          </cell>
          <cell r="N259">
            <v>0</v>
          </cell>
          <cell r="O259">
            <v>3033659</v>
          </cell>
          <cell r="P259">
            <v>415664</v>
          </cell>
          <cell r="Q259">
            <v>262316</v>
          </cell>
          <cell r="R259">
            <v>0</v>
          </cell>
          <cell r="S259">
            <v>0</v>
          </cell>
          <cell r="T259">
            <v>0</v>
          </cell>
          <cell r="U259">
            <v>936544</v>
          </cell>
          <cell r="V259">
            <v>0</v>
          </cell>
          <cell r="W259">
            <v>34528</v>
          </cell>
          <cell r="X259">
            <v>0</v>
          </cell>
          <cell r="Y259">
            <v>0</v>
          </cell>
          <cell r="Z259">
            <v>3746167</v>
          </cell>
          <cell r="AA259">
            <v>3746167</v>
          </cell>
          <cell r="AB259" t="str">
            <v>ERST</v>
          </cell>
          <cell r="AC259">
            <v>1101</v>
          </cell>
          <cell r="AD259">
            <v>2</v>
          </cell>
          <cell r="AE259">
            <v>311038</v>
          </cell>
        </row>
        <row r="260">
          <cell r="A260" t="str">
            <v>SSE</v>
          </cell>
          <cell r="B260">
            <v>1</v>
          </cell>
          <cell r="C260" t="str">
            <v>DRME</v>
          </cell>
          <cell r="D260">
            <v>11</v>
          </cell>
          <cell r="E260">
            <v>7</v>
          </cell>
          <cell r="F260" t="str">
            <v xml:space="preserve">B </v>
          </cell>
          <cell r="G260">
            <v>0</v>
          </cell>
          <cell r="H260">
            <v>36</v>
          </cell>
          <cell r="I260">
            <v>86498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1530552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382638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1530552</v>
          </cell>
          <cell r="AA260">
            <v>1530552</v>
          </cell>
          <cell r="AB260" t="str">
            <v>ERST</v>
          </cell>
          <cell r="AC260">
            <v>1101</v>
          </cell>
          <cell r="AD260">
            <v>2</v>
          </cell>
          <cell r="AE260">
            <v>86279</v>
          </cell>
        </row>
        <row r="261">
          <cell r="A261" t="str">
            <v>SSE</v>
          </cell>
          <cell r="B261">
            <v>1</v>
          </cell>
          <cell r="C261" t="str">
            <v>DRME</v>
          </cell>
          <cell r="D261">
            <v>11</v>
          </cell>
          <cell r="E261">
            <v>8</v>
          </cell>
          <cell r="F261" t="str">
            <v>A4</v>
          </cell>
          <cell r="G261">
            <v>20</v>
          </cell>
          <cell r="H261">
            <v>1</v>
          </cell>
          <cell r="I261">
            <v>17548</v>
          </cell>
          <cell r="J261">
            <v>0</v>
          </cell>
          <cell r="K261">
            <v>0</v>
          </cell>
          <cell r="L261">
            <v>71</v>
          </cell>
          <cell r="M261">
            <v>0</v>
          </cell>
          <cell r="N261">
            <v>0</v>
          </cell>
          <cell r="O261">
            <v>201357</v>
          </cell>
          <cell r="P261">
            <v>55569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64232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256926</v>
          </cell>
          <cell r="AA261">
            <v>256926</v>
          </cell>
          <cell r="AB261" t="str">
            <v>ERST</v>
          </cell>
          <cell r="AC261">
            <v>1101</v>
          </cell>
          <cell r="AD261">
            <v>2</v>
          </cell>
          <cell r="AE261">
            <v>17548</v>
          </cell>
        </row>
        <row r="262">
          <cell r="A262" t="str">
            <v>SSE</v>
          </cell>
          <cell r="B262">
            <v>1</v>
          </cell>
          <cell r="C262" t="str">
            <v>DRME</v>
          </cell>
          <cell r="D262">
            <v>11</v>
          </cell>
          <cell r="E262">
            <v>8</v>
          </cell>
          <cell r="F262" t="str">
            <v xml:space="preserve">B </v>
          </cell>
          <cell r="G262">
            <v>0</v>
          </cell>
          <cell r="H262">
            <v>10</v>
          </cell>
          <cell r="I262">
            <v>5443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113313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28328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113313</v>
          </cell>
          <cell r="AA262">
            <v>113313</v>
          </cell>
          <cell r="AB262" t="str">
            <v>ERST</v>
          </cell>
          <cell r="AC262">
            <v>1101</v>
          </cell>
          <cell r="AD262">
            <v>2</v>
          </cell>
          <cell r="AE262">
            <v>5353</v>
          </cell>
        </row>
        <row r="263">
          <cell r="A263" t="str">
            <v>SSE</v>
          </cell>
          <cell r="B263">
            <v>1</v>
          </cell>
          <cell r="C263" t="str">
            <v>DRME</v>
          </cell>
          <cell r="D263">
            <v>11</v>
          </cell>
          <cell r="E263">
            <v>90</v>
          </cell>
          <cell r="F263" t="str">
            <v>A3</v>
          </cell>
          <cell r="G263">
            <v>26</v>
          </cell>
          <cell r="H263">
            <v>1</v>
          </cell>
          <cell r="I263">
            <v>2506419</v>
          </cell>
          <cell r="J263">
            <v>0</v>
          </cell>
          <cell r="K263">
            <v>0</v>
          </cell>
          <cell r="L263">
            <v>4409</v>
          </cell>
          <cell r="M263">
            <v>0</v>
          </cell>
          <cell r="N263">
            <v>0</v>
          </cell>
          <cell r="O263">
            <v>6657049</v>
          </cell>
          <cell r="P263">
            <v>3439020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10096069</v>
          </cell>
          <cell r="AA263">
            <v>10096069</v>
          </cell>
          <cell r="AB263" t="str">
            <v>ERST</v>
          </cell>
          <cell r="AC263">
            <v>1101</v>
          </cell>
          <cell r="AD263">
            <v>2</v>
          </cell>
          <cell r="AE263">
            <v>2506419</v>
          </cell>
        </row>
        <row r="264">
          <cell r="A264" t="str">
            <v>SSE</v>
          </cell>
          <cell r="B264">
            <v>1</v>
          </cell>
          <cell r="C264" t="str">
            <v>DRME</v>
          </cell>
          <cell r="D264">
            <v>11</v>
          </cell>
          <cell r="E264">
            <v>90</v>
          </cell>
          <cell r="F264" t="str">
            <v>A4</v>
          </cell>
          <cell r="G264">
            <v>20</v>
          </cell>
          <cell r="H264">
            <v>3</v>
          </cell>
          <cell r="I264">
            <v>2216</v>
          </cell>
          <cell r="J264">
            <v>0</v>
          </cell>
          <cell r="K264">
            <v>0</v>
          </cell>
          <cell r="L264">
            <v>4</v>
          </cell>
          <cell r="M264">
            <v>0</v>
          </cell>
          <cell r="N264">
            <v>0</v>
          </cell>
          <cell r="O264">
            <v>5886</v>
          </cell>
          <cell r="P264">
            <v>3436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9322</v>
          </cell>
          <cell r="AA264">
            <v>9322</v>
          </cell>
          <cell r="AB264" t="str">
            <v>ERST</v>
          </cell>
          <cell r="AC264">
            <v>1101</v>
          </cell>
          <cell r="AD264">
            <v>2</v>
          </cell>
          <cell r="AE264">
            <v>2216</v>
          </cell>
        </row>
        <row r="265">
          <cell r="A265" t="str">
            <v>SSE</v>
          </cell>
          <cell r="B265">
            <v>1</v>
          </cell>
          <cell r="C265" t="str">
            <v>DRME</v>
          </cell>
          <cell r="D265">
            <v>12</v>
          </cell>
          <cell r="E265">
            <v>1</v>
          </cell>
          <cell r="F265" t="str">
            <v xml:space="preserve">B </v>
          </cell>
          <cell r="G265">
            <v>1</v>
          </cell>
          <cell r="H265">
            <v>12546</v>
          </cell>
          <cell r="I265">
            <v>253679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4088409</v>
          </cell>
          <cell r="P265">
            <v>0</v>
          </cell>
          <cell r="Q265">
            <v>0</v>
          </cell>
          <cell r="R265">
            <v>19485</v>
          </cell>
          <cell r="S265">
            <v>0</v>
          </cell>
          <cell r="T265">
            <v>156285</v>
          </cell>
          <cell r="U265">
            <v>0</v>
          </cell>
          <cell r="V265">
            <v>103980</v>
          </cell>
          <cell r="W265">
            <v>0</v>
          </cell>
          <cell r="X265">
            <v>0</v>
          </cell>
          <cell r="Y265">
            <v>9000</v>
          </cell>
          <cell r="Z265">
            <v>4088409</v>
          </cell>
          <cell r="AA265">
            <v>4377159</v>
          </cell>
          <cell r="AB265" t="str">
            <v>ERAI</v>
          </cell>
          <cell r="AC265">
            <v>1101</v>
          </cell>
          <cell r="AD265">
            <v>2</v>
          </cell>
          <cell r="AE265">
            <v>185391</v>
          </cell>
        </row>
        <row r="266">
          <cell r="A266" t="str">
            <v>SSE</v>
          </cell>
          <cell r="B266">
            <v>1</v>
          </cell>
          <cell r="C266" t="str">
            <v>DRME</v>
          </cell>
          <cell r="D266">
            <v>12</v>
          </cell>
          <cell r="E266">
            <v>1</v>
          </cell>
          <cell r="F266" t="str">
            <v xml:space="preserve">B </v>
          </cell>
          <cell r="G266">
            <v>2</v>
          </cell>
          <cell r="H266">
            <v>4882</v>
          </cell>
          <cell r="I266">
            <v>199656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3872464</v>
          </cell>
          <cell r="P266">
            <v>0</v>
          </cell>
          <cell r="Q266">
            <v>0</v>
          </cell>
          <cell r="R266">
            <v>20828</v>
          </cell>
          <cell r="S266">
            <v>0</v>
          </cell>
          <cell r="T266">
            <v>18918</v>
          </cell>
          <cell r="U266">
            <v>658137</v>
          </cell>
          <cell r="V266">
            <v>42120</v>
          </cell>
          <cell r="W266">
            <v>0</v>
          </cell>
          <cell r="X266">
            <v>0</v>
          </cell>
          <cell r="Y266">
            <v>7152</v>
          </cell>
          <cell r="Z266">
            <v>3872464</v>
          </cell>
          <cell r="AA266">
            <v>3961482</v>
          </cell>
          <cell r="AB266" t="str">
            <v>ERAI</v>
          </cell>
          <cell r="AC266">
            <v>1101</v>
          </cell>
          <cell r="AD266">
            <v>2</v>
          </cell>
          <cell r="AE266">
            <v>199656</v>
          </cell>
        </row>
        <row r="267">
          <cell r="A267" t="str">
            <v>SSE</v>
          </cell>
          <cell r="B267">
            <v>1</v>
          </cell>
          <cell r="C267" t="str">
            <v>DRME</v>
          </cell>
          <cell r="D267">
            <v>12</v>
          </cell>
          <cell r="E267">
            <v>1</v>
          </cell>
          <cell r="F267" t="str">
            <v xml:space="preserve">B </v>
          </cell>
          <cell r="G267">
            <v>3</v>
          </cell>
          <cell r="H267">
            <v>8289</v>
          </cell>
          <cell r="I267">
            <v>572254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11098698</v>
          </cell>
          <cell r="P267">
            <v>0</v>
          </cell>
          <cell r="Q267">
            <v>0</v>
          </cell>
          <cell r="R267">
            <v>68299</v>
          </cell>
          <cell r="S267">
            <v>0</v>
          </cell>
          <cell r="T267">
            <v>68241</v>
          </cell>
          <cell r="U267">
            <v>1886791</v>
          </cell>
          <cell r="V267">
            <v>56053</v>
          </cell>
          <cell r="W267">
            <v>0</v>
          </cell>
          <cell r="X267">
            <v>0</v>
          </cell>
          <cell r="Y267">
            <v>20646</v>
          </cell>
          <cell r="Z267">
            <v>11098698</v>
          </cell>
          <cell r="AA267">
            <v>11311937</v>
          </cell>
          <cell r="AB267" t="str">
            <v>ERAI</v>
          </cell>
          <cell r="AC267">
            <v>1101</v>
          </cell>
          <cell r="AD267">
            <v>2</v>
          </cell>
          <cell r="AE267">
            <v>571435</v>
          </cell>
        </row>
        <row r="268">
          <cell r="A268" t="str">
            <v>SSE</v>
          </cell>
          <cell r="B268">
            <v>1</v>
          </cell>
          <cell r="C268" t="str">
            <v>DRME</v>
          </cell>
          <cell r="D268">
            <v>12</v>
          </cell>
          <cell r="E268">
            <v>1</v>
          </cell>
          <cell r="F268" t="str">
            <v xml:space="preserve">B </v>
          </cell>
          <cell r="G268">
            <v>4</v>
          </cell>
          <cell r="H268">
            <v>1132</v>
          </cell>
          <cell r="I268">
            <v>133144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2583075</v>
          </cell>
          <cell r="P268">
            <v>0</v>
          </cell>
          <cell r="Q268">
            <v>0</v>
          </cell>
          <cell r="R268">
            <v>22633</v>
          </cell>
          <cell r="S268">
            <v>0</v>
          </cell>
          <cell r="T268">
            <v>30280</v>
          </cell>
          <cell r="U268">
            <v>439135</v>
          </cell>
          <cell r="V268">
            <v>5933</v>
          </cell>
          <cell r="W268">
            <v>0</v>
          </cell>
          <cell r="X268">
            <v>0</v>
          </cell>
          <cell r="Y268">
            <v>3294</v>
          </cell>
          <cell r="Z268">
            <v>2583075</v>
          </cell>
          <cell r="AA268">
            <v>2645215</v>
          </cell>
          <cell r="AB268" t="str">
            <v>ERAI</v>
          </cell>
          <cell r="AC268">
            <v>1101</v>
          </cell>
          <cell r="AD268">
            <v>2</v>
          </cell>
          <cell r="AE268">
            <v>133144</v>
          </cell>
        </row>
        <row r="269">
          <cell r="A269" t="str">
            <v>SSE</v>
          </cell>
          <cell r="B269">
            <v>1</v>
          </cell>
          <cell r="C269" t="str">
            <v>DRME</v>
          </cell>
          <cell r="D269">
            <v>12</v>
          </cell>
          <cell r="E269">
            <v>1</v>
          </cell>
          <cell r="F269" t="str">
            <v xml:space="preserve">B </v>
          </cell>
          <cell r="G269">
            <v>5</v>
          </cell>
          <cell r="H269">
            <v>330</v>
          </cell>
          <cell r="I269">
            <v>56662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1098977</v>
          </cell>
          <cell r="P269">
            <v>0</v>
          </cell>
          <cell r="Q269">
            <v>0</v>
          </cell>
          <cell r="R269">
            <v>15107</v>
          </cell>
          <cell r="S269">
            <v>0</v>
          </cell>
          <cell r="T269">
            <v>12466</v>
          </cell>
          <cell r="U269">
            <v>186838</v>
          </cell>
          <cell r="V269">
            <v>1320</v>
          </cell>
          <cell r="W269">
            <v>0</v>
          </cell>
          <cell r="X269">
            <v>0</v>
          </cell>
          <cell r="Y269">
            <v>1764</v>
          </cell>
          <cell r="Z269">
            <v>1098977</v>
          </cell>
          <cell r="AA269">
            <v>1129634</v>
          </cell>
          <cell r="AB269" t="str">
            <v>ERAI</v>
          </cell>
          <cell r="AC269">
            <v>1101</v>
          </cell>
          <cell r="AD269">
            <v>2</v>
          </cell>
          <cell r="AE269">
            <v>56662</v>
          </cell>
        </row>
        <row r="270">
          <cell r="A270" t="str">
            <v>SSE</v>
          </cell>
          <cell r="B270">
            <v>1</v>
          </cell>
          <cell r="C270" t="str">
            <v>DRME</v>
          </cell>
          <cell r="D270">
            <v>12</v>
          </cell>
          <cell r="E270">
            <v>1</v>
          </cell>
          <cell r="F270" t="str">
            <v xml:space="preserve">B </v>
          </cell>
          <cell r="G270">
            <v>6</v>
          </cell>
          <cell r="H270">
            <v>192</v>
          </cell>
          <cell r="I270">
            <v>45787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888115</v>
          </cell>
          <cell r="P270">
            <v>0</v>
          </cell>
          <cell r="Q270">
            <v>0</v>
          </cell>
          <cell r="R270">
            <v>8106</v>
          </cell>
          <cell r="S270">
            <v>0</v>
          </cell>
          <cell r="T270">
            <v>7438</v>
          </cell>
          <cell r="U270">
            <v>151006</v>
          </cell>
          <cell r="V270">
            <v>1319</v>
          </cell>
          <cell r="W270">
            <v>0</v>
          </cell>
          <cell r="X270">
            <v>0</v>
          </cell>
          <cell r="Y270">
            <v>980</v>
          </cell>
          <cell r="Z270">
            <v>888115</v>
          </cell>
          <cell r="AA270">
            <v>905958</v>
          </cell>
          <cell r="AB270" t="str">
            <v>ERAI</v>
          </cell>
          <cell r="AC270">
            <v>1101</v>
          </cell>
          <cell r="AD270">
            <v>2</v>
          </cell>
          <cell r="AE270">
            <v>45787</v>
          </cell>
        </row>
        <row r="271">
          <cell r="A271" t="str">
            <v>SSE</v>
          </cell>
          <cell r="B271">
            <v>1</v>
          </cell>
          <cell r="C271" t="str">
            <v>DRME</v>
          </cell>
          <cell r="D271">
            <v>12</v>
          </cell>
          <cell r="E271">
            <v>1</v>
          </cell>
          <cell r="F271" t="str">
            <v xml:space="preserve">B </v>
          </cell>
          <cell r="G271">
            <v>7</v>
          </cell>
          <cell r="H271">
            <v>51</v>
          </cell>
          <cell r="I271">
            <v>17384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349846</v>
          </cell>
          <cell r="P271">
            <v>0</v>
          </cell>
          <cell r="Q271">
            <v>0</v>
          </cell>
          <cell r="R271">
            <v>2540</v>
          </cell>
          <cell r="S271">
            <v>0</v>
          </cell>
          <cell r="T271">
            <v>1332</v>
          </cell>
          <cell r="U271">
            <v>69987</v>
          </cell>
          <cell r="V271">
            <v>0</v>
          </cell>
          <cell r="W271">
            <v>0</v>
          </cell>
          <cell r="X271">
            <v>0</v>
          </cell>
          <cell r="Y271">
            <v>296</v>
          </cell>
          <cell r="Z271">
            <v>349846</v>
          </cell>
          <cell r="AA271">
            <v>354014</v>
          </cell>
          <cell r="AB271" t="str">
            <v>ERAI</v>
          </cell>
          <cell r="AC271">
            <v>1101</v>
          </cell>
          <cell r="AD271">
            <v>2</v>
          </cell>
          <cell r="AE271">
            <v>17384</v>
          </cell>
        </row>
        <row r="272">
          <cell r="A272" t="str">
            <v>SSE</v>
          </cell>
          <cell r="B272">
            <v>1</v>
          </cell>
          <cell r="C272" t="str">
            <v>DRME</v>
          </cell>
          <cell r="D272">
            <v>12</v>
          </cell>
          <cell r="E272">
            <v>1</v>
          </cell>
          <cell r="F272" t="str">
            <v xml:space="preserve">B </v>
          </cell>
          <cell r="G272">
            <v>8</v>
          </cell>
          <cell r="H272">
            <v>29</v>
          </cell>
          <cell r="I272">
            <v>12473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250992</v>
          </cell>
          <cell r="P272">
            <v>0</v>
          </cell>
          <cell r="Q272">
            <v>0</v>
          </cell>
          <cell r="R272">
            <v>2448</v>
          </cell>
          <cell r="S272">
            <v>0</v>
          </cell>
          <cell r="T272">
            <v>1784</v>
          </cell>
          <cell r="U272">
            <v>50208</v>
          </cell>
          <cell r="V272">
            <v>944</v>
          </cell>
          <cell r="W272">
            <v>0</v>
          </cell>
          <cell r="X272">
            <v>0</v>
          </cell>
          <cell r="Y272">
            <v>0</v>
          </cell>
          <cell r="Z272">
            <v>250992</v>
          </cell>
          <cell r="AA272">
            <v>256168</v>
          </cell>
          <cell r="AB272" t="str">
            <v>ERAI</v>
          </cell>
          <cell r="AC272">
            <v>1101</v>
          </cell>
          <cell r="AD272">
            <v>2</v>
          </cell>
          <cell r="AE272">
            <v>12473</v>
          </cell>
        </row>
        <row r="273">
          <cell r="A273" t="str">
            <v>SSE</v>
          </cell>
          <cell r="B273">
            <v>1</v>
          </cell>
          <cell r="C273" t="str">
            <v>DRME</v>
          </cell>
          <cell r="D273">
            <v>12</v>
          </cell>
          <cell r="E273">
            <v>1</v>
          </cell>
          <cell r="F273" t="str">
            <v xml:space="preserve">B </v>
          </cell>
          <cell r="G273">
            <v>9</v>
          </cell>
          <cell r="H273">
            <v>21</v>
          </cell>
          <cell r="I273">
            <v>12551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269383</v>
          </cell>
          <cell r="P273">
            <v>0</v>
          </cell>
          <cell r="Q273">
            <v>0</v>
          </cell>
          <cell r="R273">
            <v>1154</v>
          </cell>
          <cell r="S273">
            <v>0</v>
          </cell>
          <cell r="T273">
            <v>1064</v>
          </cell>
          <cell r="U273">
            <v>67359</v>
          </cell>
          <cell r="V273">
            <v>471</v>
          </cell>
          <cell r="W273">
            <v>0</v>
          </cell>
          <cell r="X273">
            <v>0</v>
          </cell>
          <cell r="Y273">
            <v>0</v>
          </cell>
          <cell r="Z273">
            <v>269383</v>
          </cell>
          <cell r="AA273">
            <v>272072</v>
          </cell>
          <cell r="AB273" t="str">
            <v>ERAI</v>
          </cell>
          <cell r="AC273">
            <v>1101</v>
          </cell>
          <cell r="AD273">
            <v>2</v>
          </cell>
          <cell r="AE273">
            <v>12551</v>
          </cell>
        </row>
        <row r="274">
          <cell r="A274" t="str">
            <v>SSE</v>
          </cell>
          <cell r="B274">
            <v>1</v>
          </cell>
          <cell r="C274" t="str">
            <v>DRME</v>
          </cell>
          <cell r="D274">
            <v>12</v>
          </cell>
          <cell r="E274">
            <v>1</v>
          </cell>
          <cell r="F274" t="str">
            <v xml:space="preserve">B </v>
          </cell>
          <cell r="G274">
            <v>10</v>
          </cell>
          <cell r="H274">
            <v>3</v>
          </cell>
          <cell r="I274">
            <v>-6176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-132538</v>
          </cell>
          <cell r="P274">
            <v>0</v>
          </cell>
          <cell r="Q274">
            <v>0</v>
          </cell>
          <cell r="R274">
            <v>-43</v>
          </cell>
          <cell r="S274">
            <v>0</v>
          </cell>
          <cell r="T274">
            <v>-880</v>
          </cell>
          <cell r="U274">
            <v>-33137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-132538</v>
          </cell>
          <cell r="AA274">
            <v>-133461</v>
          </cell>
          <cell r="AB274" t="str">
            <v>ERAI</v>
          </cell>
          <cell r="AC274">
            <v>1101</v>
          </cell>
          <cell r="AD274">
            <v>2</v>
          </cell>
          <cell r="AE274">
            <v>-6176</v>
          </cell>
        </row>
        <row r="275">
          <cell r="A275" t="str">
            <v>SSE</v>
          </cell>
          <cell r="B275">
            <v>1</v>
          </cell>
          <cell r="C275" t="str">
            <v>DRME</v>
          </cell>
          <cell r="D275">
            <v>12</v>
          </cell>
          <cell r="E275">
            <v>1</v>
          </cell>
          <cell r="F275" t="str">
            <v xml:space="preserve">B </v>
          </cell>
          <cell r="G275">
            <v>11</v>
          </cell>
          <cell r="H275">
            <v>363</v>
          </cell>
          <cell r="I275">
            <v>8242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46440</v>
          </cell>
          <cell r="P275">
            <v>0</v>
          </cell>
          <cell r="Q275">
            <v>0</v>
          </cell>
          <cell r="R275">
            <v>258</v>
          </cell>
          <cell r="S275">
            <v>0</v>
          </cell>
          <cell r="T275">
            <v>1843</v>
          </cell>
          <cell r="U275">
            <v>0</v>
          </cell>
          <cell r="V275">
            <v>1316</v>
          </cell>
          <cell r="W275">
            <v>0</v>
          </cell>
          <cell r="X275">
            <v>0</v>
          </cell>
          <cell r="Y275">
            <v>204</v>
          </cell>
          <cell r="Z275">
            <v>46440</v>
          </cell>
          <cell r="AA275">
            <v>50061</v>
          </cell>
          <cell r="AB275" t="str">
            <v>ERAI</v>
          </cell>
          <cell r="AC275">
            <v>1101</v>
          </cell>
          <cell r="AD275">
            <v>2</v>
          </cell>
          <cell r="AE275">
            <v>4516</v>
          </cell>
        </row>
        <row r="276">
          <cell r="A276" t="str">
            <v>SSE</v>
          </cell>
          <cell r="B276">
            <v>1</v>
          </cell>
          <cell r="C276" t="str">
            <v>DRME</v>
          </cell>
          <cell r="D276">
            <v>12</v>
          </cell>
          <cell r="E276">
            <v>1</v>
          </cell>
          <cell r="F276" t="str">
            <v xml:space="preserve">B </v>
          </cell>
          <cell r="G276">
            <v>12</v>
          </cell>
          <cell r="H276">
            <v>116</v>
          </cell>
          <cell r="I276">
            <v>6699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61090</v>
          </cell>
          <cell r="P276">
            <v>0</v>
          </cell>
          <cell r="Q276">
            <v>0</v>
          </cell>
          <cell r="R276">
            <v>651</v>
          </cell>
          <cell r="S276">
            <v>0</v>
          </cell>
          <cell r="T276">
            <v>0</v>
          </cell>
          <cell r="U276">
            <v>10384</v>
          </cell>
          <cell r="V276">
            <v>188</v>
          </cell>
          <cell r="W276">
            <v>0</v>
          </cell>
          <cell r="X276">
            <v>0</v>
          </cell>
          <cell r="Y276">
            <v>244</v>
          </cell>
          <cell r="Z276">
            <v>61090</v>
          </cell>
          <cell r="AA276">
            <v>62173</v>
          </cell>
          <cell r="AB276" t="str">
            <v>ERAI</v>
          </cell>
          <cell r="AC276">
            <v>1101</v>
          </cell>
          <cell r="AD276">
            <v>2</v>
          </cell>
          <cell r="AE276">
            <v>6699</v>
          </cell>
        </row>
        <row r="277">
          <cell r="A277" t="str">
            <v>SSE</v>
          </cell>
          <cell r="B277">
            <v>1</v>
          </cell>
          <cell r="C277" t="str">
            <v>DRME</v>
          </cell>
          <cell r="D277">
            <v>12</v>
          </cell>
          <cell r="E277">
            <v>1</v>
          </cell>
          <cell r="F277" t="str">
            <v xml:space="preserve">B </v>
          </cell>
          <cell r="G277">
            <v>13</v>
          </cell>
          <cell r="H277">
            <v>7</v>
          </cell>
          <cell r="I277">
            <v>805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12818</v>
          </cell>
          <cell r="P277">
            <v>0</v>
          </cell>
          <cell r="Q277">
            <v>0</v>
          </cell>
          <cell r="R277">
            <v>280</v>
          </cell>
          <cell r="S277">
            <v>0</v>
          </cell>
          <cell r="T277">
            <v>0</v>
          </cell>
          <cell r="U277">
            <v>2179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12818</v>
          </cell>
          <cell r="AA277">
            <v>13098</v>
          </cell>
          <cell r="AB277" t="str">
            <v>ERAI</v>
          </cell>
          <cell r="AC277">
            <v>1101</v>
          </cell>
          <cell r="AD277">
            <v>2</v>
          </cell>
          <cell r="AE277">
            <v>805</v>
          </cell>
        </row>
        <row r="278">
          <cell r="A278" t="str">
            <v>SSE</v>
          </cell>
          <cell r="B278">
            <v>1</v>
          </cell>
          <cell r="C278" t="str">
            <v>DRME</v>
          </cell>
          <cell r="D278">
            <v>12</v>
          </cell>
          <cell r="E278">
            <v>2</v>
          </cell>
          <cell r="F278" t="str">
            <v>A4</v>
          </cell>
          <cell r="G278">
            <v>21</v>
          </cell>
          <cell r="H278">
            <v>1</v>
          </cell>
          <cell r="I278">
            <v>309443</v>
          </cell>
          <cell r="J278">
            <v>8170</v>
          </cell>
          <cell r="K278">
            <v>301273</v>
          </cell>
          <cell r="L278">
            <v>799</v>
          </cell>
          <cell r="M278">
            <v>710</v>
          </cell>
          <cell r="N278">
            <v>0</v>
          </cell>
          <cell r="O278">
            <v>2447647</v>
          </cell>
          <cell r="P278">
            <v>674662</v>
          </cell>
          <cell r="Q278">
            <v>171054</v>
          </cell>
          <cell r="R278">
            <v>0</v>
          </cell>
          <cell r="S278">
            <v>0</v>
          </cell>
          <cell r="T278">
            <v>0</v>
          </cell>
          <cell r="U278">
            <v>840780</v>
          </cell>
          <cell r="V278">
            <v>0</v>
          </cell>
          <cell r="W278">
            <v>69757</v>
          </cell>
          <cell r="X278">
            <v>0</v>
          </cell>
          <cell r="Y278">
            <v>0</v>
          </cell>
          <cell r="Z278">
            <v>3363120</v>
          </cell>
          <cell r="AA278">
            <v>3363120</v>
          </cell>
          <cell r="AB278" t="str">
            <v>ERAI</v>
          </cell>
          <cell r="AC278">
            <v>1101</v>
          </cell>
          <cell r="AD278">
            <v>2</v>
          </cell>
          <cell r="AE278">
            <v>309443</v>
          </cell>
        </row>
        <row r="279">
          <cell r="A279" t="str">
            <v>SSE</v>
          </cell>
          <cell r="B279">
            <v>1</v>
          </cell>
          <cell r="C279" t="str">
            <v>DRME</v>
          </cell>
          <cell r="D279">
            <v>12</v>
          </cell>
          <cell r="E279">
            <v>2</v>
          </cell>
          <cell r="F279" t="str">
            <v>A4</v>
          </cell>
          <cell r="G279">
            <v>20</v>
          </cell>
          <cell r="H279">
            <v>4</v>
          </cell>
          <cell r="I279">
            <v>50141</v>
          </cell>
          <cell r="J279">
            <v>0</v>
          </cell>
          <cell r="K279">
            <v>0</v>
          </cell>
          <cell r="L279">
            <v>228</v>
          </cell>
          <cell r="M279">
            <v>0</v>
          </cell>
          <cell r="N279">
            <v>0</v>
          </cell>
          <cell r="O279">
            <v>575351</v>
          </cell>
          <cell r="P279">
            <v>178449</v>
          </cell>
          <cell r="Q279">
            <v>101058</v>
          </cell>
          <cell r="R279">
            <v>1644</v>
          </cell>
          <cell r="S279">
            <v>0</v>
          </cell>
          <cell r="T279">
            <v>0</v>
          </cell>
          <cell r="U279">
            <v>220759</v>
          </cell>
          <cell r="V279">
            <v>0</v>
          </cell>
          <cell r="W279">
            <v>28176</v>
          </cell>
          <cell r="X279">
            <v>0</v>
          </cell>
          <cell r="Y279">
            <v>0</v>
          </cell>
          <cell r="Z279">
            <v>883034</v>
          </cell>
          <cell r="AA279">
            <v>884678</v>
          </cell>
          <cell r="AB279" t="str">
            <v>ERAI</v>
          </cell>
          <cell r="AC279">
            <v>1101</v>
          </cell>
          <cell r="AD279">
            <v>2</v>
          </cell>
          <cell r="AE279">
            <v>50141</v>
          </cell>
        </row>
        <row r="280">
          <cell r="A280" t="str">
            <v>SSE</v>
          </cell>
          <cell r="B280">
            <v>1</v>
          </cell>
          <cell r="C280" t="str">
            <v>DRME</v>
          </cell>
          <cell r="D280">
            <v>12</v>
          </cell>
          <cell r="E280">
            <v>2</v>
          </cell>
          <cell r="F280" t="str">
            <v xml:space="preserve">B </v>
          </cell>
          <cell r="G280">
            <v>0</v>
          </cell>
          <cell r="H280">
            <v>181</v>
          </cell>
          <cell r="I280">
            <v>90645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1887043</v>
          </cell>
          <cell r="P280">
            <v>0</v>
          </cell>
          <cell r="Q280">
            <v>0</v>
          </cell>
          <cell r="R280">
            <v>26240</v>
          </cell>
          <cell r="S280">
            <v>0</v>
          </cell>
          <cell r="T280">
            <v>213352</v>
          </cell>
          <cell r="U280">
            <v>457039</v>
          </cell>
          <cell r="V280">
            <v>1226</v>
          </cell>
          <cell r="W280">
            <v>0</v>
          </cell>
          <cell r="X280">
            <v>0</v>
          </cell>
          <cell r="Y280">
            <v>1076</v>
          </cell>
          <cell r="Z280">
            <v>1887043</v>
          </cell>
          <cell r="AA280">
            <v>2128937</v>
          </cell>
          <cell r="AB280" t="str">
            <v>ERAI</v>
          </cell>
          <cell r="AC280">
            <v>1101</v>
          </cell>
          <cell r="AD280">
            <v>2</v>
          </cell>
          <cell r="AE280">
            <v>87071</v>
          </cell>
        </row>
        <row r="281">
          <cell r="A281" t="str">
            <v>SSE</v>
          </cell>
          <cell r="B281">
            <v>1</v>
          </cell>
          <cell r="C281" t="str">
            <v>DRME</v>
          </cell>
          <cell r="D281">
            <v>12</v>
          </cell>
          <cell r="E281">
            <v>3</v>
          </cell>
          <cell r="F281" t="str">
            <v>A4</v>
          </cell>
          <cell r="G281">
            <v>20</v>
          </cell>
          <cell r="H281">
            <v>2</v>
          </cell>
          <cell r="I281">
            <v>19977</v>
          </cell>
          <cell r="J281">
            <v>0</v>
          </cell>
          <cell r="K281">
            <v>0</v>
          </cell>
          <cell r="L281">
            <v>102</v>
          </cell>
          <cell r="M281">
            <v>0</v>
          </cell>
          <cell r="N281">
            <v>0</v>
          </cell>
          <cell r="O281">
            <v>229229</v>
          </cell>
          <cell r="P281">
            <v>79832</v>
          </cell>
          <cell r="Q281">
            <v>5909</v>
          </cell>
          <cell r="R281">
            <v>0</v>
          </cell>
          <cell r="S281">
            <v>0</v>
          </cell>
          <cell r="T281">
            <v>0</v>
          </cell>
          <cell r="U281">
            <v>79329</v>
          </cell>
          <cell r="V281">
            <v>0</v>
          </cell>
          <cell r="W281">
            <v>2348</v>
          </cell>
          <cell r="X281">
            <v>0</v>
          </cell>
          <cell r="Y281">
            <v>0</v>
          </cell>
          <cell r="Z281">
            <v>317318</v>
          </cell>
          <cell r="AA281">
            <v>317318</v>
          </cell>
          <cell r="AB281" t="str">
            <v>ERAI</v>
          </cell>
          <cell r="AC281">
            <v>1101</v>
          </cell>
          <cell r="AD281">
            <v>2</v>
          </cell>
          <cell r="AE281">
            <v>19977</v>
          </cell>
        </row>
        <row r="282">
          <cell r="A282" t="str">
            <v>SSE</v>
          </cell>
          <cell r="B282">
            <v>1</v>
          </cell>
          <cell r="C282" t="str">
            <v>DRME</v>
          </cell>
          <cell r="D282">
            <v>12</v>
          </cell>
          <cell r="E282">
            <v>3</v>
          </cell>
          <cell r="F282" t="str">
            <v xml:space="preserve">B </v>
          </cell>
          <cell r="G282">
            <v>0</v>
          </cell>
          <cell r="H282">
            <v>2123</v>
          </cell>
          <cell r="I282">
            <v>285281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5940080</v>
          </cell>
          <cell r="P282">
            <v>0</v>
          </cell>
          <cell r="Q282">
            <v>0</v>
          </cell>
          <cell r="R282">
            <v>61389</v>
          </cell>
          <cell r="S282">
            <v>0</v>
          </cell>
          <cell r="T282">
            <v>186426</v>
          </cell>
          <cell r="U282">
            <v>1460347</v>
          </cell>
          <cell r="V282">
            <v>3954</v>
          </cell>
          <cell r="W282">
            <v>0</v>
          </cell>
          <cell r="X282">
            <v>0</v>
          </cell>
          <cell r="Y282">
            <v>11832</v>
          </cell>
          <cell r="Z282">
            <v>5940080</v>
          </cell>
          <cell r="AA282">
            <v>6203681</v>
          </cell>
          <cell r="AB282" t="str">
            <v>ERAI</v>
          </cell>
          <cell r="AC282">
            <v>1101</v>
          </cell>
          <cell r="AD282">
            <v>2</v>
          </cell>
          <cell r="AE282">
            <v>267157</v>
          </cell>
        </row>
        <row r="283">
          <cell r="A283" t="str">
            <v>SSE</v>
          </cell>
          <cell r="B283">
            <v>1</v>
          </cell>
          <cell r="C283" t="str">
            <v>DRME</v>
          </cell>
          <cell r="D283">
            <v>12</v>
          </cell>
          <cell r="E283">
            <v>4</v>
          </cell>
          <cell r="F283" t="str">
            <v xml:space="preserve">B </v>
          </cell>
          <cell r="G283">
            <v>0</v>
          </cell>
          <cell r="H283">
            <v>712</v>
          </cell>
          <cell r="I283">
            <v>99252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1073752</v>
          </cell>
          <cell r="P283">
            <v>0</v>
          </cell>
          <cell r="Q283">
            <v>0</v>
          </cell>
          <cell r="R283">
            <v>718</v>
          </cell>
          <cell r="S283">
            <v>0</v>
          </cell>
          <cell r="T283">
            <v>61489</v>
          </cell>
          <cell r="U283">
            <v>0</v>
          </cell>
          <cell r="V283">
            <v>59636</v>
          </cell>
          <cell r="W283">
            <v>0</v>
          </cell>
          <cell r="X283">
            <v>0</v>
          </cell>
          <cell r="Y283">
            <v>0</v>
          </cell>
          <cell r="Z283">
            <v>1073752</v>
          </cell>
          <cell r="AA283">
            <v>1195595</v>
          </cell>
          <cell r="AB283" t="str">
            <v>ERAI</v>
          </cell>
          <cell r="AC283">
            <v>1101</v>
          </cell>
          <cell r="AD283">
            <v>2</v>
          </cell>
          <cell r="AE283">
            <v>89485</v>
          </cell>
        </row>
        <row r="284">
          <cell r="A284" t="str">
            <v>SSE</v>
          </cell>
          <cell r="B284">
            <v>1</v>
          </cell>
          <cell r="C284" t="str">
            <v>DRME</v>
          </cell>
          <cell r="D284">
            <v>12</v>
          </cell>
          <cell r="E284">
            <v>5</v>
          </cell>
          <cell r="F284" t="str">
            <v xml:space="preserve">B </v>
          </cell>
          <cell r="G284">
            <v>0</v>
          </cell>
          <cell r="H284">
            <v>466</v>
          </cell>
          <cell r="I284">
            <v>98478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1886556</v>
          </cell>
          <cell r="P284">
            <v>0</v>
          </cell>
          <cell r="Q284">
            <v>0</v>
          </cell>
          <cell r="R284">
            <v>9615</v>
          </cell>
          <cell r="S284">
            <v>0</v>
          </cell>
          <cell r="T284">
            <v>15000</v>
          </cell>
          <cell r="U284">
            <v>348699</v>
          </cell>
          <cell r="V284">
            <v>1223</v>
          </cell>
          <cell r="W284">
            <v>0</v>
          </cell>
          <cell r="X284">
            <v>0</v>
          </cell>
          <cell r="Y284">
            <v>0</v>
          </cell>
          <cell r="Z284">
            <v>1886556</v>
          </cell>
          <cell r="AA284">
            <v>1912394</v>
          </cell>
          <cell r="AB284" t="str">
            <v>ERAI</v>
          </cell>
          <cell r="AC284">
            <v>1101</v>
          </cell>
          <cell r="AD284">
            <v>2</v>
          </cell>
          <cell r="AE284">
            <v>94012</v>
          </cell>
        </row>
        <row r="285">
          <cell r="A285" t="str">
            <v>SSE</v>
          </cell>
          <cell r="B285">
            <v>1</v>
          </cell>
          <cell r="C285" t="str">
            <v>DRME</v>
          </cell>
          <cell r="D285">
            <v>12</v>
          </cell>
          <cell r="E285">
            <v>6</v>
          </cell>
          <cell r="F285" t="str">
            <v xml:space="preserve">B </v>
          </cell>
          <cell r="G285">
            <v>0</v>
          </cell>
          <cell r="H285">
            <v>107</v>
          </cell>
          <cell r="I285">
            <v>188672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2243863</v>
          </cell>
          <cell r="P285">
            <v>0</v>
          </cell>
          <cell r="Q285">
            <v>0</v>
          </cell>
          <cell r="R285">
            <v>24761</v>
          </cell>
          <cell r="S285">
            <v>0</v>
          </cell>
          <cell r="T285">
            <v>0</v>
          </cell>
          <cell r="U285">
            <v>560963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2243863</v>
          </cell>
          <cell r="AA285">
            <v>2268624</v>
          </cell>
          <cell r="AB285" t="str">
            <v>ERAI</v>
          </cell>
          <cell r="AC285">
            <v>1101</v>
          </cell>
          <cell r="AD285">
            <v>2</v>
          </cell>
          <cell r="AE285">
            <v>188672</v>
          </cell>
        </row>
        <row r="286">
          <cell r="A286" t="str">
            <v>SSE</v>
          </cell>
          <cell r="B286">
            <v>1</v>
          </cell>
          <cell r="C286" t="str">
            <v>DRME</v>
          </cell>
          <cell r="D286">
            <v>12</v>
          </cell>
          <cell r="E286">
            <v>7</v>
          </cell>
          <cell r="F286" t="str">
            <v>A4</v>
          </cell>
          <cell r="G286">
            <v>20</v>
          </cell>
          <cell r="H286">
            <v>2</v>
          </cell>
          <cell r="I286">
            <v>160742</v>
          </cell>
          <cell r="J286">
            <v>0</v>
          </cell>
          <cell r="K286">
            <v>0</v>
          </cell>
          <cell r="L286">
            <v>337</v>
          </cell>
          <cell r="M286">
            <v>0</v>
          </cell>
          <cell r="N286">
            <v>0</v>
          </cell>
          <cell r="O286">
            <v>1567770</v>
          </cell>
          <cell r="P286">
            <v>223768</v>
          </cell>
          <cell r="Q286">
            <v>76603</v>
          </cell>
          <cell r="R286">
            <v>0</v>
          </cell>
          <cell r="S286">
            <v>0</v>
          </cell>
          <cell r="T286">
            <v>0</v>
          </cell>
          <cell r="U286">
            <v>470023</v>
          </cell>
          <cell r="V286">
            <v>0</v>
          </cell>
          <cell r="W286">
            <v>11952</v>
          </cell>
          <cell r="X286">
            <v>0</v>
          </cell>
          <cell r="Y286">
            <v>0</v>
          </cell>
          <cell r="Z286">
            <v>1880093</v>
          </cell>
          <cell r="AA286">
            <v>1880093</v>
          </cell>
          <cell r="AB286" t="str">
            <v>ERAI</v>
          </cell>
          <cell r="AC286">
            <v>1101</v>
          </cell>
          <cell r="AD286">
            <v>2</v>
          </cell>
          <cell r="AE286">
            <v>160742</v>
          </cell>
        </row>
        <row r="287">
          <cell r="A287" t="str">
            <v>SSE</v>
          </cell>
          <cell r="B287">
            <v>1</v>
          </cell>
          <cell r="C287" t="str">
            <v>DRME</v>
          </cell>
          <cell r="D287">
            <v>12</v>
          </cell>
          <cell r="E287">
            <v>7</v>
          </cell>
          <cell r="F287" t="str">
            <v xml:space="preserve">B </v>
          </cell>
          <cell r="G287">
            <v>0</v>
          </cell>
          <cell r="H287">
            <v>16</v>
          </cell>
          <cell r="I287">
            <v>27060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478817</v>
          </cell>
          <cell r="P287">
            <v>0</v>
          </cell>
          <cell r="Q287">
            <v>0</v>
          </cell>
          <cell r="R287">
            <v>76</v>
          </cell>
          <cell r="S287">
            <v>0</v>
          </cell>
          <cell r="T287">
            <v>5000</v>
          </cell>
          <cell r="U287">
            <v>119704</v>
          </cell>
          <cell r="V287">
            <v>189</v>
          </cell>
          <cell r="W287">
            <v>0</v>
          </cell>
          <cell r="X287">
            <v>0</v>
          </cell>
          <cell r="Y287">
            <v>0</v>
          </cell>
          <cell r="Z287">
            <v>478817</v>
          </cell>
          <cell r="AA287">
            <v>484082</v>
          </cell>
          <cell r="AB287" t="str">
            <v>ERAI</v>
          </cell>
          <cell r="AC287">
            <v>1101</v>
          </cell>
          <cell r="AD287">
            <v>2</v>
          </cell>
          <cell r="AE287">
            <v>26918</v>
          </cell>
        </row>
        <row r="288">
          <cell r="A288" t="str">
            <v>SSE</v>
          </cell>
          <cell r="B288">
            <v>1</v>
          </cell>
          <cell r="C288" t="str">
            <v>DRME</v>
          </cell>
          <cell r="D288">
            <v>12</v>
          </cell>
          <cell r="E288">
            <v>8</v>
          </cell>
          <cell r="F288" t="str">
            <v xml:space="preserve">B </v>
          </cell>
          <cell r="G288">
            <v>0</v>
          </cell>
          <cell r="H288">
            <v>4</v>
          </cell>
          <cell r="I288">
            <v>4264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88771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22193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88771</v>
          </cell>
          <cell r="AA288">
            <v>88771</v>
          </cell>
          <cell r="AB288" t="str">
            <v>ERAI</v>
          </cell>
          <cell r="AC288">
            <v>1101</v>
          </cell>
          <cell r="AD288">
            <v>2</v>
          </cell>
          <cell r="AE288">
            <v>4264</v>
          </cell>
        </row>
        <row r="289">
          <cell r="A289" t="str">
            <v>SSE</v>
          </cell>
          <cell r="B289">
            <v>1</v>
          </cell>
          <cell r="C289" t="str">
            <v>DRME</v>
          </cell>
          <cell r="D289">
            <v>12</v>
          </cell>
          <cell r="E289">
            <v>90</v>
          </cell>
          <cell r="F289" t="str">
            <v>A4</v>
          </cell>
          <cell r="G289">
            <v>20</v>
          </cell>
          <cell r="H289">
            <v>1</v>
          </cell>
          <cell r="I289">
            <v>196320</v>
          </cell>
          <cell r="J289">
            <v>0</v>
          </cell>
          <cell r="K289">
            <v>0</v>
          </cell>
          <cell r="L289">
            <v>509</v>
          </cell>
          <cell r="M289">
            <v>0</v>
          </cell>
          <cell r="N289">
            <v>0</v>
          </cell>
          <cell r="O289">
            <v>521426</v>
          </cell>
          <cell r="P289">
            <v>437231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958657</v>
          </cell>
          <cell r="AA289">
            <v>958657</v>
          </cell>
          <cell r="AB289" t="str">
            <v>ERAI</v>
          </cell>
          <cell r="AC289">
            <v>1101</v>
          </cell>
          <cell r="AD289">
            <v>2</v>
          </cell>
          <cell r="AE289">
            <v>196320</v>
          </cell>
        </row>
        <row r="290">
          <cell r="A290" t="str">
            <v>SSE</v>
          </cell>
          <cell r="B290">
            <v>1</v>
          </cell>
          <cell r="C290" t="str">
            <v>DRME</v>
          </cell>
          <cell r="D290">
            <v>13</v>
          </cell>
          <cell r="E290">
            <v>1</v>
          </cell>
          <cell r="F290" t="str">
            <v xml:space="preserve">B </v>
          </cell>
          <cell r="G290">
            <v>1</v>
          </cell>
          <cell r="H290">
            <v>1949</v>
          </cell>
          <cell r="I290">
            <v>42755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695781</v>
          </cell>
          <cell r="P290">
            <v>0</v>
          </cell>
          <cell r="Q290">
            <v>0</v>
          </cell>
          <cell r="R290">
            <v>10316</v>
          </cell>
          <cell r="S290">
            <v>0</v>
          </cell>
          <cell r="T290">
            <v>183420</v>
          </cell>
          <cell r="U290">
            <v>495</v>
          </cell>
          <cell r="V290">
            <v>1320</v>
          </cell>
          <cell r="W290">
            <v>0</v>
          </cell>
          <cell r="X290">
            <v>0</v>
          </cell>
          <cell r="Y290">
            <v>10440</v>
          </cell>
          <cell r="Z290">
            <v>695781</v>
          </cell>
          <cell r="AA290">
            <v>901277</v>
          </cell>
          <cell r="AB290" t="str">
            <v>ERBF</v>
          </cell>
          <cell r="AC290">
            <v>1101</v>
          </cell>
          <cell r="AD290">
            <v>2</v>
          </cell>
          <cell r="AE290">
            <v>33013</v>
          </cell>
        </row>
        <row r="291">
          <cell r="A291" t="str">
            <v>SSE</v>
          </cell>
          <cell r="B291">
            <v>1</v>
          </cell>
          <cell r="C291" t="str">
            <v>DRME</v>
          </cell>
          <cell r="D291">
            <v>13</v>
          </cell>
          <cell r="E291">
            <v>1</v>
          </cell>
          <cell r="F291" t="str">
            <v xml:space="preserve">B </v>
          </cell>
          <cell r="G291">
            <v>2</v>
          </cell>
          <cell r="H291">
            <v>1066</v>
          </cell>
          <cell r="I291">
            <v>42800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830380</v>
          </cell>
          <cell r="P291">
            <v>0</v>
          </cell>
          <cell r="Q291">
            <v>0</v>
          </cell>
          <cell r="R291">
            <v>7987</v>
          </cell>
          <cell r="S291">
            <v>0</v>
          </cell>
          <cell r="T291">
            <v>26091</v>
          </cell>
          <cell r="U291">
            <v>141132</v>
          </cell>
          <cell r="V291">
            <v>565</v>
          </cell>
          <cell r="W291">
            <v>0</v>
          </cell>
          <cell r="X291">
            <v>0</v>
          </cell>
          <cell r="Y291">
            <v>12456</v>
          </cell>
          <cell r="Z291">
            <v>830380</v>
          </cell>
          <cell r="AA291">
            <v>877479</v>
          </cell>
          <cell r="AB291" t="str">
            <v>ERBF</v>
          </cell>
          <cell r="AC291">
            <v>1101</v>
          </cell>
          <cell r="AD291">
            <v>2</v>
          </cell>
          <cell r="AE291">
            <v>42800</v>
          </cell>
        </row>
        <row r="292">
          <cell r="A292" t="str">
            <v>SSE</v>
          </cell>
          <cell r="B292">
            <v>1</v>
          </cell>
          <cell r="C292" t="str">
            <v>DRME</v>
          </cell>
          <cell r="D292">
            <v>13</v>
          </cell>
          <cell r="E292">
            <v>1</v>
          </cell>
          <cell r="F292" t="str">
            <v xml:space="preserve">B </v>
          </cell>
          <cell r="G292">
            <v>3</v>
          </cell>
          <cell r="H292">
            <v>3418</v>
          </cell>
          <cell r="I292">
            <v>260648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5055562</v>
          </cell>
          <cell r="P292">
            <v>0</v>
          </cell>
          <cell r="Q292">
            <v>0</v>
          </cell>
          <cell r="R292">
            <v>43879</v>
          </cell>
          <cell r="S292">
            <v>0</v>
          </cell>
          <cell r="T292">
            <v>117308</v>
          </cell>
          <cell r="U292">
            <v>859455</v>
          </cell>
          <cell r="V292">
            <v>564</v>
          </cell>
          <cell r="W292">
            <v>0</v>
          </cell>
          <cell r="X292">
            <v>0</v>
          </cell>
          <cell r="Y292">
            <v>56030</v>
          </cell>
          <cell r="Z292">
            <v>5055562</v>
          </cell>
          <cell r="AA292">
            <v>5273343</v>
          </cell>
          <cell r="AB292" t="str">
            <v>ERBF</v>
          </cell>
          <cell r="AC292">
            <v>1101</v>
          </cell>
          <cell r="AD292">
            <v>2</v>
          </cell>
          <cell r="AE292">
            <v>260396</v>
          </cell>
        </row>
        <row r="293">
          <cell r="A293" t="str">
            <v>SSE</v>
          </cell>
          <cell r="B293">
            <v>1</v>
          </cell>
          <cell r="C293" t="str">
            <v>DRME</v>
          </cell>
          <cell r="D293">
            <v>13</v>
          </cell>
          <cell r="E293">
            <v>1</v>
          </cell>
          <cell r="F293" t="str">
            <v xml:space="preserve">B </v>
          </cell>
          <cell r="G293">
            <v>4</v>
          </cell>
          <cell r="H293">
            <v>1735</v>
          </cell>
          <cell r="I293">
            <v>208895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4051824</v>
          </cell>
          <cell r="P293">
            <v>0</v>
          </cell>
          <cell r="Q293">
            <v>0</v>
          </cell>
          <cell r="R293">
            <v>41030</v>
          </cell>
          <cell r="S293">
            <v>0</v>
          </cell>
          <cell r="T293">
            <v>78777</v>
          </cell>
          <cell r="U293">
            <v>688825</v>
          </cell>
          <cell r="V293">
            <v>94</v>
          </cell>
          <cell r="W293">
            <v>0</v>
          </cell>
          <cell r="X293">
            <v>0</v>
          </cell>
          <cell r="Y293">
            <v>56092</v>
          </cell>
          <cell r="Z293">
            <v>4051824</v>
          </cell>
          <cell r="AA293">
            <v>4227817</v>
          </cell>
          <cell r="AB293" t="str">
            <v>ERBF</v>
          </cell>
          <cell r="AC293">
            <v>1101</v>
          </cell>
          <cell r="AD293">
            <v>2</v>
          </cell>
          <cell r="AE293">
            <v>208895</v>
          </cell>
        </row>
        <row r="294">
          <cell r="A294" t="str">
            <v>SSE</v>
          </cell>
          <cell r="B294">
            <v>1</v>
          </cell>
          <cell r="C294" t="str">
            <v>DRME</v>
          </cell>
          <cell r="D294">
            <v>13</v>
          </cell>
          <cell r="E294">
            <v>1</v>
          </cell>
          <cell r="F294" t="str">
            <v xml:space="preserve">B </v>
          </cell>
          <cell r="G294">
            <v>5</v>
          </cell>
          <cell r="H294">
            <v>581</v>
          </cell>
          <cell r="I294">
            <v>98981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1919742</v>
          </cell>
          <cell r="P294">
            <v>0</v>
          </cell>
          <cell r="Q294">
            <v>0</v>
          </cell>
          <cell r="R294">
            <v>25335</v>
          </cell>
          <cell r="S294">
            <v>0</v>
          </cell>
          <cell r="T294">
            <v>51982</v>
          </cell>
          <cell r="U294">
            <v>326352</v>
          </cell>
          <cell r="V294">
            <v>0</v>
          </cell>
          <cell r="W294">
            <v>0</v>
          </cell>
          <cell r="X294">
            <v>0</v>
          </cell>
          <cell r="Y294">
            <v>34114</v>
          </cell>
          <cell r="Z294">
            <v>1919742</v>
          </cell>
          <cell r="AA294">
            <v>2031173</v>
          </cell>
          <cell r="AB294" t="str">
            <v>ERBF</v>
          </cell>
          <cell r="AC294">
            <v>1101</v>
          </cell>
          <cell r="AD294">
            <v>2</v>
          </cell>
          <cell r="AE294">
            <v>98981</v>
          </cell>
        </row>
        <row r="295">
          <cell r="A295" t="str">
            <v>SSE</v>
          </cell>
          <cell r="B295">
            <v>1</v>
          </cell>
          <cell r="C295" t="str">
            <v>DRME</v>
          </cell>
          <cell r="D295">
            <v>13</v>
          </cell>
          <cell r="E295">
            <v>1</v>
          </cell>
          <cell r="F295" t="str">
            <v xml:space="preserve">B </v>
          </cell>
          <cell r="G295">
            <v>6</v>
          </cell>
          <cell r="H295">
            <v>363</v>
          </cell>
          <cell r="I295">
            <v>87558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1697914</v>
          </cell>
          <cell r="P295">
            <v>0</v>
          </cell>
          <cell r="Q295">
            <v>0</v>
          </cell>
          <cell r="R295">
            <v>18741</v>
          </cell>
          <cell r="S295">
            <v>0</v>
          </cell>
          <cell r="T295">
            <v>79405</v>
          </cell>
          <cell r="U295">
            <v>288725</v>
          </cell>
          <cell r="V295">
            <v>0</v>
          </cell>
          <cell r="W295">
            <v>0</v>
          </cell>
          <cell r="X295">
            <v>0</v>
          </cell>
          <cell r="Y295">
            <v>21534</v>
          </cell>
          <cell r="Z295">
            <v>1697914</v>
          </cell>
          <cell r="AA295">
            <v>1817594</v>
          </cell>
          <cell r="AB295" t="str">
            <v>ERBF</v>
          </cell>
          <cell r="AC295">
            <v>1101</v>
          </cell>
          <cell r="AD295">
            <v>2</v>
          </cell>
          <cell r="AE295">
            <v>87558</v>
          </cell>
        </row>
        <row r="296">
          <cell r="A296" t="str">
            <v>SSE</v>
          </cell>
          <cell r="B296">
            <v>1</v>
          </cell>
          <cell r="C296" t="str">
            <v>DRME</v>
          </cell>
          <cell r="D296">
            <v>13</v>
          </cell>
          <cell r="E296">
            <v>1</v>
          </cell>
          <cell r="F296" t="str">
            <v xml:space="preserve">B </v>
          </cell>
          <cell r="G296">
            <v>7</v>
          </cell>
          <cell r="H296">
            <v>113</v>
          </cell>
          <cell r="I296">
            <v>38079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766322</v>
          </cell>
          <cell r="P296">
            <v>0</v>
          </cell>
          <cell r="Q296">
            <v>0</v>
          </cell>
          <cell r="R296">
            <v>9808</v>
          </cell>
          <cell r="S296">
            <v>0</v>
          </cell>
          <cell r="T296">
            <v>35985</v>
          </cell>
          <cell r="U296">
            <v>153307</v>
          </cell>
          <cell r="V296">
            <v>0</v>
          </cell>
          <cell r="W296">
            <v>0</v>
          </cell>
          <cell r="X296">
            <v>0</v>
          </cell>
          <cell r="Y296">
            <v>10643</v>
          </cell>
          <cell r="Z296">
            <v>766322</v>
          </cell>
          <cell r="AA296">
            <v>822758</v>
          </cell>
          <cell r="AB296" t="str">
            <v>ERBF</v>
          </cell>
          <cell r="AC296">
            <v>1101</v>
          </cell>
          <cell r="AD296">
            <v>2</v>
          </cell>
          <cell r="AE296">
            <v>38079</v>
          </cell>
        </row>
        <row r="297">
          <cell r="A297" t="str">
            <v>SSE</v>
          </cell>
          <cell r="B297">
            <v>1</v>
          </cell>
          <cell r="C297" t="str">
            <v>DRME</v>
          </cell>
          <cell r="D297">
            <v>13</v>
          </cell>
          <cell r="E297">
            <v>1</v>
          </cell>
          <cell r="F297" t="str">
            <v xml:space="preserve">B </v>
          </cell>
          <cell r="G297">
            <v>8</v>
          </cell>
          <cell r="H297">
            <v>56</v>
          </cell>
          <cell r="I297">
            <v>23894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479512</v>
          </cell>
          <cell r="P297">
            <v>0</v>
          </cell>
          <cell r="Q297">
            <v>0</v>
          </cell>
          <cell r="R297">
            <v>5254</v>
          </cell>
          <cell r="S297">
            <v>0</v>
          </cell>
          <cell r="T297">
            <v>13431</v>
          </cell>
          <cell r="U297">
            <v>95921</v>
          </cell>
          <cell r="V297">
            <v>0</v>
          </cell>
          <cell r="W297">
            <v>0</v>
          </cell>
          <cell r="X297">
            <v>0</v>
          </cell>
          <cell r="Y297">
            <v>4184</v>
          </cell>
          <cell r="Z297">
            <v>479512</v>
          </cell>
          <cell r="AA297">
            <v>502381</v>
          </cell>
          <cell r="AB297" t="str">
            <v>ERBF</v>
          </cell>
          <cell r="AC297">
            <v>1101</v>
          </cell>
          <cell r="AD297">
            <v>2</v>
          </cell>
          <cell r="AE297">
            <v>23894</v>
          </cell>
        </row>
        <row r="298">
          <cell r="A298" t="str">
            <v>SSE</v>
          </cell>
          <cell r="B298">
            <v>1</v>
          </cell>
          <cell r="C298" t="str">
            <v>DRME</v>
          </cell>
          <cell r="D298">
            <v>13</v>
          </cell>
          <cell r="E298">
            <v>1</v>
          </cell>
          <cell r="F298" t="str">
            <v xml:space="preserve">B </v>
          </cell>
          <cell r="G298">
            <v>9</v>
          </cell>
          <cell r="H298">
            <v>41</v>
          </cell>
          <cell r="I298">
            <v>26481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567929</v>
          </cell>
          <cell r="P298">
            <v>0</v>
          </cell>
          <cell r="Q298">
            <v>0</v>
          </cell>
          <cell r="R298">
            <v>12393</v>
          </cell>
          <cell r="S298">
            <v>0</v>
          </cell>
          <cell r="T298">
            <v>17663</v>
          </cell>
          <cell r="U298">
            <v>142011</v>
          </cell>
          <cell r="V298">
            <v>0</v>
          </cell>
          <cell r="W298">
            <v>0</v>
          </cell>
          <cell r="X298">
            <v>0</v>
          </cell>
          <cell r="Y298">
            <v>3194</v>
          </cell>
          <cell r="Z298">
            <v>567929</v>
          </cell>
          <cell r="AA298">
            <v>601179</v>
          </cell>
          <cell r="AB298" t="str">
            <v>ERBF</v>
          </cell>
          <cell r="AC298">
            <v>1101</v>
          </cell>
          <cell r="AD298">
            <v>2</v>
          </cell>
          <cell r="AE298">
            <v>26481</v>
          </cell>
        </row>
        <row r="299">
          <cell r="A299" t="str">
            <v>SSE</v>
          </cell>
          <cell r="B299">
            <v>1</v>
          </cell>
          <cell r="C299" t="str">
            <v>DRME</v>
          </cell>
          <cell r="D299">
            <v>13</v>
          </cell>
          <cell r="E299">
            <v>1</v>
          </cell>
          <cell r="F299" t="str">
            <v xml:space="preserve">B </v>
          </cell>
          <cell r="G299">
            <v>10</v>
          </cell>
          <cell r="H299">
            <v>9</v>
          </cell>
          <cell r="I299">
            <v>10363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222395</v>
          </cell>
          <cell r="P299">
            <v>0</v>
          </cell>
          <cell r="Q299">
            <v>0</v>
          </cell>
          <cell r="R299">
            <v>27540</v>
          </cell>
          <cell r="S299">
            <v>0</v>
          </cell>
          <cell r="T299">
            <v>4205</v>
          </cell>
          <cell r="U299">
            <v>55605</v>
          </cell>
          <cell r="V299">
            <v>0</v>
          </cell>
          <cell r="W299">
            <v>0</v>
          </cell>
          <cell r="X299">
            <v>0</v>
          </cell>
          <cell r="Y299">
            <v>986</v>
          </cell>
          <cell r="Z299">
            <v>222395</v>
          </cell>
          <cell r="AA299">
            <v>255126</v>
          </cell>
          <cell r="AB299" t="str">
            <v>ERBF</v>
          </cell>
          <cell r="AC299">
            <v>1101</v>
          </cell>
          <cell r="AD299">
            <v>2</v>
          </cell>
          <cell r="AE299">
            <v>10363</v>
          </cell>
        </row>
        <row r="300">
          <cell r="A300" t="str">
            <v>SSE</v>
          </cell>
          <cell r="B300">
            <v>1</v>
          </cell>
          <cell r="C300" t="str">
            <v>DRME</v>
          </cell>
          <cell r="D300">
            <v>13</v>
          </cell>
          <cell r="E300">
            <v>1</v>
          </cell>
          <cell r="F300" t="str">
            <v xml:space="preserve">B </v>
          </cell>
          <cell r="G300">
            <v>11</v>
          </cell>
          <cell r="H300">
            <v>1447</v>
          </cell>
          <cell r="I300">
            <v>31225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177185</v>
          </cell>
          <cell r="P300">
            <v>0</v>
          </cell>
          <cell r="Q300">
            <v>0</v>
          </cell>
          <cell r="R300">
            <v>4333</v>
          </cell>
          <cell r="S300">
            <v>0</v>
          </cell>
          <cell r="T300">
            <v>46986</v>
          </cell>
          <cell r="U300">
            <v>0</v>
          </cell>
          <cell r="V300">
            <v>2820</v>
          </cell>
          <cell r="W300">
            <v>0</v>
          </cell>
          <cell r="X300">
            <v>0</v>
          </cell>
          <cell r="Y300">
            <v>4424</v>
          </cell>
          <cell r="Z300">
            <v>177185</v>
          </cell>
          <cell r="AA300">
            <v>235748</v>
          </cell>
          <cell r="AB300" t="str">
            <v>ERBF</v>
          </cell>
          <cell r="AC300">
            <v>1101</v>
          </cell>
          <cell r="AD300">
            <v>2</v>
          </cell>
          <cell r="AE300">
            <v>23242</v>
          </cell>
        </row>
        <row r="301">
          <cell r="A301" t="str">
            <v>SSE</v>
          </cell>
          <cell r="B301">
            <v>1</v>
          </cell>
          <cell r="C301" t="str">
            <v>DRME</v>
          </cell>
          <cell r="D301">
            <v>13</v>
          </cell>
          <cell r="E301">
            <v>1</v>
          </cell>
          <cell r="F301" t="str">
            <v xml:space="preserve">B </v>
          </cell>
          <cell r="G301">
            <v>12</v>
          </cell>
          <cell r="H301">
            <v>1498</v>
          </cell>
          <cell r="I301">
            <v>88170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810790</v>
          </cell>
          <cell r="P301">
            <v>0</v>
          </cell>
          <cell r="Q301">
            <v>0</v>
          </cell>
          <cell r="R301">
            <v>8510</v>
          </cell>
          <cell r="S301">
            <v>0</v>
          </cell>
          <cell r="T301">
            <v>22930</v>
          </cell>
          <cell r="U301">
            <v>137894</v>
          </cell>
          <cell r="V301">
            <v>2727</v>
          </cell>
          <cell r="W301">
            <v>0</v>
          </cell>
          <cell r="X301">
            <v>0</v>
          </cell>
          <cell r="Y301">
            <v>16343</v>
          </cell>
          <cell r="Z301">
            <v>810790</v>
          </cell>
          <cell r="AA301">
            <v>861300</v>
          </cell>
          <cell r="AB301" t="str">
            <v>ERBF</v>
          </cell>
          <cell r="AC301">
            <v>1101</v>
          </cell>
          <cell r="AD301">
            <v>2</v>
          </cell>
          <cell r="AE301">
            <v>88170</v>
          </cell>
        </row>
        <row r="302">
          <cell r="A302" t="str">
            <v>SSE</v>
          </cell>
          <cell r="B302">
            <v>1</v>
          </cell>
          <cell r="C302" t="str">
            <v>DRME</v>
          </cell>
          <cell r="D302">
            <v>13</v>
          </cell>
          <cell r="E302">
            <v>1</v>
          </cell>
          <cell r="F302" t="str">
            <v xml:space="preserve">B </v>
          </cell>
          <cell r="G302">
            <v>13</v>
          </cell>
          <cell r="H302">
            <v>192</v>
          </cell>
          <cell r="I302">
            <v>21621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252666</v>
          </cell>
          <cell r="P302">
            <v>0</v>
          </cell>
          <cell r="Q302">
            <v>0</v>
          </cell>
          <cell r="R302">
            <v>2627</v>
          </cell>
          <cell r="S302">
            <v>0</v>
          </cell>
          <cell r="T302">
            <v>2763</v>
          </cell>
          <cell r="U302">
            <v>42955</v>
          </cell>
          <cell r="V302">
            <v>282</v>
          </cell>
          <cell r="W302">
            <v>0</v>
          </cell>
          <cell r="X302">
            <v>0</v>
          </cell>
          <cell r="Y302">
            <v>5402</v>
          </cell>
          <cell r="Z302">
            <v>252666</v>
          </cell>
          <cell r="AA302">
            <v>263740</v>
          </cell>
          <cell r="AB302" t="str">
            <v>ERBF</v>
          </cell>
          <cell r="AC302">
            <v>1101</v>
          </cell>
          <cell r="AD302">
            <v>2</v>
          </cell>
          <cell r="AE302">
            <v>21621</v>
          </cell>
        </row>
        <row r="303">
          <cell r="A303" t="str">
            <v>SSE</v>
          </cell>
          <cell r="B303">
            <v>1</v>
          </cell>
          <cell r="C303" t="str">
            <v>DRME</v>
          </cell>
          <cell r="D303">
            <v>13</v>
          </cell>
          <cell r="E303">
            <v>1</v>
          </cell>
          <cell r="F303" t="str">
            <v xml:space="preserve">B </v>
          </cell>
          <cell r="G303">
            <v>14</v>
          </cell>
          <cell r="H303">
            <v>22</v>
          </cell>
          <cell r="I303">
            <v>3139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39896</v>
          </cell>
          <cell r="P303">
            <v>0</v>
          </cell>
          <cell r="Q303">
            <v>0</v>
          </cell>
          <cell r="R303">
            <v>695</v>
          </cell>
          <cell r="S303">
            <v>0</v>
          </cell>
          <cell r="T303">
            <v>0</v>
          </cell>
          <cell r="U303">
            <v>6783</v>
          </cell>
          <cell r="V303">
            <v>0</v>
          </cell>
          <cell r="W303">
            <v>0</v>
          </cell>
          <cell r="X303">
            <v>0</v>
          </cell>
          <cell r="Y303">
            <v>703</v>
          </cell>
          <cell r="Z303">
            <v>39896</v>
          </cell>
          <cell r="AA303">
            <v>41294</v>
          </cell>
          <cell r="AB303" t="str">
            <v>ERBF</v>
          </cell>
          <cell r="AC303">
            <v>1101</v>
          </cell>
          <cell r="AD303">
            <v>2</v>
          </cell>
          <cell r="AE303">
            <v>3139</v>
          </cell>
        </row>
        <row r="304">
          <cell r="A304" t="str">
            <v>SSE</v>
          </cell>
          <cell r="B304">
            <v>1</v>
          </cell>
          <cell r="C304" t="str">
            <v>DRME</v>
          </cell>
          <cell r="D304">
            <v>13</v>
          </cell>
          <cell r="E304">
            <v>1</v>
          </cell>
          <cell r="F304" t="str">
            <v xml:space="preserve">B </v>
          </cell>
          <cell r="G304">
            <v>15</v>
          </cell>
          <cell r="H304">
            <v>27</v>
          </cell>
          <cell r="I304">
            <v>833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-4117</v>
          </cell>
          <cell r="P304">
            <v>0</v>
          </cell>
          <cell r="Q304">
            <v>0</v>
          </cell>
          <cell r="R304">
            <v>434</v>
          </cell>
          <cell r="S304">
            <v>0</v>
          </cell>
          <cell r="T304">
            <v>1000</v>
          </cell>
          <cell r="U304">
            <v>-6024</v>
          </cell>
          <cell r="V304">
            <v>-94</v>
          </cell>
          <cell r="W304">
            <v>0</v>
          </cell>
          <cell r="X304">
            <v>0</v>
          </cell>
          <cell r="Y304">
            <v>-543</v>
          </cell>
          <cell r="Z304">
            <v>-4117</v>
          </cell>
          <cell r="AA304">
            <v>-3320</v>
          </cell>
          <cell r="AB304" t="str">
            <v>ERBF</v>
          </cell>
          <cell r="AC304">
            <v>1101</v>
          </cell>
          <cell r="AD304">
            <v>2</v>
          </cell>
          <cell r="AE304">
            <v>833</v>
          </cell>
        </row>
        <row r="305">
          <cell r="A305" t="str">
            <v>SSE</v>
          </cell>
          <cell r="B305">
            <v>1</v>
          </cell>
          <cell r="C305" t="str">
            <v>DRME</v>
          </cell>
          <cell r="D305">
            <v>13</v>
          </cell>
          <cell r="E305">
            <v>2</v>
          </cell>
          <cell r="F305" t="str">
            <v>A4</v>
          </cell>
          <cell r="G305">
            <v>21</v>
          </cell>
          <cell r="H305">
            <v>3</v>
          </cell>
          <cell r="I305">
            <v>23588</v>
          </cell>
          <cell r="J305">
            <v>377</v>
          </cell>
          <cell r="K305">
            <v>23211</v>
          </cell>
          <cell r="L305">
            <v>193</v>
          </cell>
          <cell r="M305">
            <v>155</v>
          </cell>
          <cell r="N305">
            <v>0</v>
          </cell>
          <cell r="O305">
            <v>173057</v>
          </cell>
          <cell r="P305">
            <v>185739</v>
          </cell>
          <cell r="Q305">
            <v>11890</v>
          </cell>
          <cell r="R305">
            <v>19758</v>
          </cell>
          <cell r="S305">
            <v>0</v>
          </cell>
          <cell r="T305">
            <v>0</v>
          </cell>
          <cell r="U305">
            <v>102687</v>
          </cell>
          <cell r="V305">
            <v>0</v>
          </cell>
          <cell r="W305">
            <v>40058</v>
          </cell>
          <cell r="X305">
            <v>0</v>
          </cell>
          <cell r="Y305">
            <v>0</v>
          </cell>
          <cell r="Z305">
            <v>410744</v>
          </cell>
          <cell r="AA305">
            <v>430502</v>
          </cell>
          <cell r="AB305" t="str">
            <v>ERBF</v>
          </cell>
          <cell r="AC305">
            <v>1101</v>
          </cell>
          <cell r="AD305">
            <v>2</v>
          </cell>
          <cell r="AE305">
            <v>23588</v>
          </cell>
        </row>
        <row r="306">
          <cell r="A306" t="str">
            <v>SSE</v>
          </cell>
          <cell r="B306">
            <v>1</v>
          </cell>
          <cell r="C306" t="str">
            <v>DRME</v>
          </cell>
          <cell r="D306">
            <v>13</v>
          </cell>
          <cell r="E306">
            <v>2</v>
          </cell>
          <cell r="F306" t="str">
            <v>A4</v>
          </cell>
          <cell r="G306">
            <v>20</v>
          </cell>
          <cell r="H306">
            <v>1</v>
          </cell>
          <cell r="I306">
            <v>15211</v>
          </cell>
          <cell r="J306">
            <v>0</v>
          </cell>
          <cell r="K306">
            <v>0</v>
          </cell>
          <cell r="L306">
            <v>41</v>
          </cell>
          <cell r="M306">
            <v>0</v>
          </cell>
          <cell r="N306">
            <v>0</v>
          </cell>
          <cell r="O306">
            <v>174541</v>
          </cell>
          <cell r="P306">
            <v>32089</v>
          </cell>
          <cell r="Q306">
            <v>4877</v>
          </cell>
          <cell r="R306">
            <v>4110</v>
          </cell>
          <cell r="S306">
            <v>0</v>
          </cell>
          <cell r="T306">
            <v>0</v>
          </cell>
          <cell r="U306">
            <v>53073</v>
          </cell>
          <cell r="V306">
            <v>0</v>
          </cell>
          <cell r="W306">
            <v>783</v>
          </cell>
          <cell r="X306">
            <v>0</v>
          </cell>
          <cell r="Y306">
            <v>49</v>
          </cell>
          <cell r="Z306">
            <v>212290</v>
          </cell>
          <cell r="AA306">
            <v>216449</v>
          </cell>
          <cell r="AB306" t="str">
            <v>ERBF</v>
          </cell>
          <cell r="AC306">
            <v>1101</v>
          </cell>
          <cell r="AD306">
            <v>2</v>
          </cell>
          <cell r="AE306">
            <v>15211</v>
          </cell>
        </row>
        <row r="307">
          <cell r="A307" t="str">
            <v>SSE</v>
          </cell>
          <cell r="B307">
            <v>1</v>
          </cell>
          <cell r="C307" t="str">
            <v>DRME</v>
          </cell>
          <cell r="D307">
            <v>13</v>
          </cell>
          <cell r="E307">
            <v>2</v>
          </cell>
          <cell r="F307" t="str">
            <v xml:space="preserve">B </v>
          </cell>
          <cell r="G307">
            <v>0</v>
          </cell>
          <cell r="H307">
            <v>92</v>
          </cell>
          <cell r="I307">
            <v>52407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1078128</v>
          </cell>
          <cell r="P307">
            <v>0</v>
          </cell>
          <cell r="Q307">
            <v>0</v>
          </cell>
          <cell r="R307">
            <v>17067</v>
          </cell>
          <cell r="S307">
            <v>0</v>
          </cell>
          <cell r="T307">
            <v>140510</v>
          </cell>
          <cell r="U307">
            <v>265621</v>
          </cell>
          <cell r="V307">
            <v>0</v>
          </cell>
          <cell r="W307">
            <v>0</v>
          </cell>
          <cell r="X307">
            <v>0</v>
          </cell>
          <cell r="Y307">
            <v>5832</v>
          </cell>
          <cell r="Z307">
            <v>1078128</v>
          </cell>
          <cell r="AA307">
            <v>1241537</v>
          </cell>
          <cell r="AB307" t="str">
            <v>ERBF</v>
          </cell>
          <cell r="AC307">
            <v>1101</v>
          </cell>
          <cell r="AD307">
            <v>2</v>
          </cell>
          <cell r="AE307">
            <v>50643</v>
          </cell>
        </row>
        <row r="308">
          <cell r="A308" t="str">
            <v>SSE</v>
          </cell>
          <cell r="B308">
            <v>1</v>
          </cell>
          <cell r="C308" t="str">
            <v>DRME</v>
          </cell>
          <cell r="D308">
            <v>13</v>
          </cell>
          <cell r="E308">
            <v>3</v>
          </cell>
          <cell r="F308" t="str">
            <v>A4</v>
          </cell>
          <cell r="G308">
            <v>21</v>
          </cell>
          <cell r="H308">
            <v>1</v>
          </cell>
          <cell r="I308">
            <v>8361</v>
          </cell>
          <cell r="J308">
            <v>347</v>
          </cell>
          <cell r="K308">
            <v>8014</v>
          </cell>
          <cell r="L308">
            <v>50</v>
          </cell>
          <cell r="M308">
            <v>50</v>
          </cell>
          <cell r="N308">
            <v>0</v>
          </cell>
          <cell r="O308">
            <v>73080</v>
          </cell>
          <cell r="P308">
            <v>34533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26903</v>
          </cell>
          <cell r="V308">
            <v>0</v>
          </cell>
          <cell r="W308">
            <v>0</v>
          </cell>
          <cell r="X308">
            <v>0</v>
          </cell>
          <cell r="Y308">
            <v>49</v>
          </cell>
          <cell r="Z308">
            <v>107613</v>
          </cell>
          <cell r="AA308">
            <v>107662</v>
          </cell>
          <cell r="AB308" t="str">
            <v>ERBF</v>
          </cell>
          <cell r="AC308">
            <v>1101</v>
          </cell>
          <cell r="AD308">
            <v>2</v>
          </cell>
          <cell r="AE308">
            <v>8361</v>
          </cell>
        </row>
        <row r="309">
          <cell r="A309" t="str">
            <v>SSE</v>
          </cell>
          <cell r="B309">
            <v>1</v>
          </cell>
          <cell r="C309" t="str">
            <v>DRME</v>
          </cell>
          <cell r="D309">
            <v>13</v>
          </cell>
          <cell r="E309">
            <v>3</v>
          </cell>
          <cell r="F309" t="str">
            <v>A4</v>
          </cell>
          <cell r="G309">
            <v>20</v>
          </cell>
          <cell r="H309">
            <v>5</v>
          </cell>
          <cell r="I309">
            <v>53986</v>
          </cell>
          <cell r="J309">
            <v>0</v>
          </cell>
          <cell r="K309">
            <v>0</v>
          </cell>
          <cell r="L309">
            <v>307</v>
          </cell>
          <cell r="M309">
            <v>0</v>
          </cell>
          <cell r="N309">
            <v>0</v>
          </cell>
          <cell r="O309">
            <v>619471</v>
          </cell>
          <cell r="P309">
            <v>240279</v>
          </cell>
          <cell r="Q309">
            <v>28514</v>
          </cell>
          <cell r="R309">
            <v>12155</v>
          </cell>
          <cell r="S309">
            <v>0</v>
          </cell>
          <cell r="T309">
            <v>0</v>
          </cell>
          <cell r="U309">
            <v>224807</v>
          </cell>
          <cell r="V309">
            <v>0</v>
          </cell>
          <cell r="W309">
            <v>10957</v>
          </cell>
          <cell r="X309">
            <v>0</v>
          </cell>
          <cell r="Y309">
            <v>640</v>
          </cell>
          <cell r="Z309">
            <v>899221</v>
          </cell>
          <cell r="AA309">
            <v>912016</v>
          </cell>
          <cell r="AB309" t="str">
            <v>ERBF</v>
          </cell>
          <cell r="AC309">
            <v>1101</v>
          </cell>
          <cell r="AD309">
            <v>2</v>
          </cell>
          <cell r="AE309">
            <v>53986</v>
          </cell>
        </row>
        <row r="310">
          <cell r="A310" t="str">
            <v>SSE</v>
          </cell>
          <cell r="B310">
            <v>1</v>
          </cell>
          <cell r="C310" t="str">
            <v>DRME</v>
          </cell>
          <cell r="D310">
            <v>13</v>
          </cell>
          <cell r="E310">
            <v>3</v>
          </cell>
          <cell r="F310" t="str">
            <v xml:space="preserve">B </v>
          </cell>
          <cell r="G310">
            <v>0</v>
          </cell>
          <cell r="H310">
            <v>1287</v>
          </cell>
          <cell r="I310">
            <v>270903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5648009</v>
          </cell>
          <cell r="P310">
            <v>0</v>
          </cell>
          <cell r="Q310">
            <v>0</v>
          </cell>
          <cell r="R310">
            <v>83447</v>
          </cell>
          <cell r="S310">
            <v>0</v>
          </cell>
          <cell r="T310">
            <v>384570</v>
          </cell>
          <cell r="U310">
            <v>1389787</v>
          </cell>
          <cell r="V310">
            <v>94</v>
          </cell>
          <cell r="W310">
            <v>0</v>
          </cell>
          <cell r="X310">
            <v>0</v>
          </cell>
          <cell r="Y310">
            <v>43121</v>
          </cell>
          <cell r="Z310">
            <v>5648009</v>
          </cell>
          <cell r="AA310">
            <v>6159241</v>
          </cell>
          <cell r="AB310" t="str">
            <v>ERBF</v>
          </cell>
          <cell r="AC310">
            <v>1101</v>
          </cell>
          <cell r="AD310">
            <v>2</v>
          </cell>
          <cell r="AE310">
            <v>262705</v>
          </cell>
        </row>
        <row r="311">
          <cell r="A311" t="str">
            <v>SSE</v>
          </cell>
          <cell r="B311">
            <v>1</v>
          </cell>
          <cell r="C311" t="str">
            <v>DRME</v>
          </cell>
          <cell r="D311">
            <v>13</v>
          </cell>
          <cell r="E311">
            <v>4</v>
          </cell>
          <cell r="F311" t="str">
            <v>A4</v>
          </cell>
          <cell r="G311">
            <v>20</v>
          </cell>
          <cell r="H311">
            <v>5</v>
          </cell>
          <cell r="I311">
            <v>65334</v>
          </cell>
          <cell r="J311">
            <v>0</v>
          </cell>
          <cell r="K311">
            <v>0</v>
          </cell>
          <cell r="L311">
            <v>248</v>
          </cell>
          <cell r="M311">
            <v>0</v>
          </cell>
          <cell r="N311">
            <v>0</v>
          </cell>
          <cell r="O311">
            <v>506012</v>
          </cell>
          <cell r="P311">
            <v>130944</v>
          </cell>
          <cell r="Q311">
            <v>17357</v>
          </cell>
          <cell r="R311">
            <v>1198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6336</v>
          </cell>
          <cell r="X311">
            <v>0</v>
          </cell>
          <cell r="Y311">
            <v>0</v>
          </cell>
          <cell r="Z311">
            <v>660649</v>
          </cell>
          <cell r="AA311">
            <v>661847</v>
          </cell>
          <cell r="AB311" t="str">
            <v>ERBF</v>
          </cell>
          <cell r="AC311">
            <v>1101</v>
          </cell>
          <cell r="AD311">
            <v>2</v>
          </cell>
          <cell r="AE311">
            <v>65334</v>
          </cell>
        </row>
        <row r="312">
          <cell r="A312" t="str">
            <v>SSE</v>
          </cell>
          <cell r="B312">
            <v>1</v>
          </cell>
          <cell r="C312" t="str">
            <v>DRME</v>
          </cell>
          <cell r="D312">
            <v>13</v>
          </cell>
          <cell r="E312">
            <v>4</v>
          </cell>
          <cell r="F312" t="str">
            <v xml:space="preserve">B </v>
          </cell>
          <cell r="G312">
            <v>0</v>
          </cell>
          <cell r="H312">
            <v>1190</v>
          </cell>
          <cell r="I312">
            <v>574122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5502721</v>
          </cell>
          <cell r="P312">
            <v>0</v>
          </cell>
          <cell r="Q312">
            <v>0</v>
          </cell>
          <cell r="R312">
            <v>3584</v>
          </cell>
          <cell r="S312">
            <v>0</v>
          </cell>
          <cell r="T312">
            <v>1290467</v>
          </cell>
          <cell r="U312">
            <v>0</v>
          </cell>
          <cell r="V312">
            <v>130324</v>
          </cell>
          <cell r="W312">
            <v>0</v>
          </cell>
          <cell r="X312">
            <v>0</v>
          </cell>
          <cell r="Y312">
            <v>0</v>
          </cell>
          <cell r="Z312">
            <v>5502721</v>
          </cell>
          <cell r="AA312">
            <v>6927096</v>
          </cell>
          <cell r="AB312" t="str">
            <v>ERBF</v>
          </cell>
          <cell r="AC312">
            <v>1101</v>
          </cell>
          <cell r="AD312">
            <v>2</v>
          </cell>
          <cell r="AE312">
            <v>561692</v>
          </cell>
        </row>
        <row r="313">
          <cell r="A313" t="str">
            <v>SSE</v>
          </cell>
          <cell r="B313">
            <v>1</v>
          </cell>
          <cell r="C313" t="str">
            <v>DRME</v>
          </cell>
          <cell r="D313">
            <v>13</v>
          </cell>
          <cell r="E313">
            <v>5</v>
          </cell>
          <cell r="F313" t="str">
            <v>A4</v>
          </cell>
          <cell r="G313">
            <v>22</v>
          </cell>
          <cell r="H313">
            <v>1</v>
          </cell>
          <cell r="I313">
            <v>511763</v>
          </cell>
          <cell r="J313">
            <v>39768</v>
          </cell>
          <cell r="K313">
            <v>471995</v>
          </cell>
          <cell r="L313">
            <v>2342</v>
          </cell>
          <cell r="M313">
            <v>1033</v>
          </cell>
          <cell r="N313">
            <v>1033</v>
          </cell>
          <cell r="O313">
            <v>3587985</v>
          </cell>
          <cell r="P313">
            <v>3995834</v>
          </cell>
          <cell r="Q313">
            <v>485577</v>
          </cell>
          <cell r="R313">
            <v>0</v>
          </cell>
          <cell r="S313">
            <v>0</v>
          </cell>
          <cell r="T313">
            <v>0</v>
          </cell>
          <cell r="U313">
            <v>2043076</v>
          </cell>
          <cell r="V313">
            <v>0</v>
          </cell>
          <cell r="W313">
            <v>102909</v>
          </cell>
          <cell r="X313">
            <v>0</v>
          </cell>
          <cell r="Y313">
            <v>0</v>
          </cell>
          <cell r="Z313">
            <v>8172305</v>
          </cell>
          <cell r="AA313">
            <v>8172305</v>
          </cell>
          <cell r="AB313" t="str">
            <v>ERBF</v>
          </cell>
          <cell r="AC313">
            <v>1101</v>
          </cell>
          <cell r="AD313">
            <v>2</v>
          </cell>
          <cell r="AE313">
            <v>511763</v>
          </cell>
        </row>
        <row r="314">
          <cell r="A314" t="str">
            <v>SSE</v>
          </cell>
          <cell r="B314">
            <v>1</v>
          </cell>
          <cell r="C314" t="str">
            <v>DRME</v>
          </cell>
          <cell r="D314">
            <v>13</v>
          </cell>
          <cell r="E314">
            <v>5</v>
          </cell>
          <cell r="F314" t="str">
            <v>A4</v>
          </cell>
          <cell r="G314">
            <v>20</v>
          </cell>
          <cell r="H314">
            <v>2</v>
          </cell>
          <cell r="I314">
            <v>76768</v>
          </cell>
          <cell r="J314">
            <v>0</v>
          </cell>
          <cell r="K314">
            <v>0</v>
          </cell>
          <cell r="L314">
            <v>313</v>
          </cell>
          <cell r="M314">
            <v>0</v>
          </cell>
          <cell r="N314">
            <v>0</v>
          </cell>
          <cell r="O314">
            <v>880887</v>
          </cell>
          <cell r="P314">
            <v>244975</v>
          </cell>
          <cell r="Q314">
            <v>136044</v>
          </cell>
          <cell r="R314">
            <v>0</v>
          </cell>
          <cell r="S314">
            <v>0</v>
          </cell>
          <cell r="T314">
            <v>0</v>
          </cell>
          <cell r="U314">
            <v>327217</v>
          </cell>
          <cell r="V314">
            <v>0</v>
          </cell>
          <cell r="W314">
            <v>46960</v>
          </cell>
          <cell r="X314">
            <v>0</v>
          </cell>
          <cell r="Y314">
            <v>0</v>
          </cell>
          <cell r="Z314">
            <v>1308866</v>
          </cell>
          <cell r="AA314">
            <v>1308866</v>
          </cell>
          <cell r="AB314" t="str">
            <v>ERBF</v>
          </cell>
          <cell r="AC314">
            <v>1101</v>
          </cell>
          <cell r="AD314">
            <v>2</v>
          </cell>
          <cell r="AE314">
            <v>76768</v>
          </cell>
        </row>
        <row r="315">
          <cell r="A315" t="str">
            <v>SSE</v>
          </cell>
          <cell r="B315">
            <v>1</v>
          </cell>
          <cell r="C315" t="str">
            <v>DRME</v>
          </cell>
          <cell r="D315">
            <v>13</v>
          </cell>
          <cell r="E315">
            <v>5</v>
          </cell>
          <cell r="F315" t="str">
            <v xml:space="preserve">B </v>
          </cell>
          <cell r="G315">
            <v>0</v>
          </cell>
          <cell r="H315">
            <v>241</v>
          </cell>
          <cell r="I315">
            <v>163102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3139627</v>
          </cell>
          <cell r="P315">
            <v>0</v>
          </cell>
          <cell r="Q315">
            <v>0</v>
          </cell>
          <cell r="R315">
            <v>85791</v>
          </cell>
          <cell r="S315">
            <v>0</v>
          </cell>
          <cell r="T315">
            <v>214905</v>
          </cell>
          <cell r="U315">
            <v>592985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3139627</v>
          </cell>
          <cell r="AA315">
            <v>3440323</v>
          </cell>
          <cell r="AB315" t="str">
            <v>ERBF</v>
          </cell>
          <cell r="AC315">
            <v>1101</v>
          </cell>
          <cell r="AD315">
            <v>2</v>
          </cell>
          <cell r="AE315">
            <v>161869</v>
          </cell>
        </row>
        <row r="316">
          <cell r="A316" t="str">
            <v>SSE</v>
          </cell>
          <cell r="B316">
            <v>1</v>
          </cell>
          <cell r="C316" t="str">
            <v>DRME</v>
          </cell>
          <cell r="D316">
            <v>13</v>
          </cell>
          <cell r="E316">
            <v>6</v>
          </cell>
          <cell r="F316" t="str">
            <v xml:space="preserve">B </v>
          </cell>
          <cell r="G316">
            <v>0</v>
          </cell>
          <cell r="H316">
            <v>20</v>
          </cell>
          <cell r="I316">
            <v>256213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3005059</v>
          </cell>
          <cell r="P316">
            <v>0</v>
          </cell>
          <cell r="Q316">
            <v>0</v>
          </cell>
          <cell r="R316">
            <v>49594</v>
          </cell>
          <cell r="S316">
            <v>0</v>
          </cell>
          <cell r="T316">
            <v>0</v>
          </cell>
          <cell r="U316">
            <v>751265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3005059</v>
          </cell>
          <cell r="AA316">
            <v>3054653</v>
          </cell>
          <cell r="AB316" t="str">
            <v>ERBF</v>
          </cell>
          <cell r="AC316">
            <v>1101</v>
          </cell>
          <cell r="AD316">
            <v>2</v>
          </cell>
          <cell r="AE316">
            <v>256213</v>
          </cell>
        </row>
        <row r="317">
          <cell r="A317" t="str">
            <v>SSE</v>
          </cell>
          <cell r="B317">
            <v>1</v>
          </cell>
          <cell r="C317" t="str">
            <v>DRME</v>
          </cell>
          <cell r="D317">
            <v>13</v>
          </cell>
          <cell r="E317">
            <v>7</v>
          </cell>
          <cell r="F317" t="str">
            <v>A4</v>
          </cell>
          <cell r="G317">
            <v>22</v>
          </cell>
          <cell r="H317">
            <v>2</v>
          </cell>
          <cell r="I317">
            <v>1353627</v>
          </cell>
          <cell r="J317">
            <v>92794</v>
          </cell>
          <cell r="K317">
            <v>1260833</v>
          </cell>
          <cell r="L317">
            <v>4050</v>
          </cell>
          <cell r="M317">
            <v>2420</v>
          </cell>
          <cell r="N317">
            <v>1630</v>
          </cell>
          <cell r="O317">
            <v>7990666</v>
          </cell>
          <cell r="P317">
            <v>4288533</v>
          </cell>
          <cell r="Q317">
            <v>378152</v>
          </cell>
          <cell r="R317">
            <v>0</v>
          </cell>
          <cell r="S317">
            <v>0</v>
          </cell>
          <cell r="T317">
            <v>0</v>
          </cell>
          <cell r="U317">
            <v>3212004</v>
          </cell>
          <cell r="V317">
            <v>0</v>
          </cell>
          <cell r="W317">
            <v>190667</v>
          </cell>
          <cell r="X317">
            <v>0</v>
          </cell>
          <cell r="Y317">
            <v>0</v>
          </cell>
          <cell r="Z317">
            <v>12848018</v>
          </cell>
          <cell r="AA317">
            <v>12848018</v>
          </cell>
          <cell r="AB317" t="str">
            <v>ERBF</v>
          </cell>
          <cell r="AC317">
            <v>1101</v>
          </cell>
          <cell r="AD317">
            <v>2</v>
          </cell>
          <cell r="AE317">
            <v>1353627</v>
          </cell>
        </row>
        <row r="318">
          <cell r="A318" t="str">
            <v>SSE</v>
          </cell>
          <cell r="B318">
            <v>1</v>
          </cell>
          <cell r="C318" t="str">
            <v>DRME</v>
          </cell>
          <cell r="D318">
            <v>13</v>
          </cell>
          <cell r="E318">
            <v>7</v>
          </cell>
          <cell r="F318" t="str">
            <v>A4</v>
          </cell>
          <cell r="G318">
            <v>20</v>
          </cell>
          <cell r="H318">
            <v>7</v>
          </cell>
          <cell r="I318">
            <v>309774</v>
          </cell>
          <cell r="J318">
            <v>0</v>
          </cell>
          <cell r="K318">
            <v>0</v>
          </cell>
          <cell r="L318">
            <v>541</v>
          </cell>
          <cell r="M318">
            <v>0</v>
          </cell>
          <cell r="N318">
            <v>0</v>
          </cell>
          <cell r="O318">
            <v>3021329</v>
          </cell>
          <cell r="P318">
            <v>391096</v>
          </cell>
          <cell r="Q318">
            <v>232130</v>
          </cell>
          <cell r="R318">
            <v>0</v>
          </cell>
          <cell r="S318">
            <v>0</v>
          </cell>
          <cell r="T318">
            <v>0</v>
          </cell>
          <cell r="U318">
            <v>917780</v>
          </cell>
          <cell r="V318">
            <v>0</v>
          </cell>
          <cell r="W318">
            <v>26560</v>
          </cell>
          <cell r="X318">
            <v>0</v>
          </cell>
          <cell r="Y318">
            <v>0</v>
          </cell>
          <cell r="Z318">
            <v>3671115</v>
          </cell>
          <cell r="AA318">
            <v>3671115</v>
          </cell>
          <cell r="AB318" t="str">
            <v>ERBF</v>
          </cell>
          <cell r="AC318">
            <v>1101</v>
          </cell>
          <cell r="AD318">
            <v>2</v>
          </cell>
          <cell r="AE318">
            <v>309774</v>
          </cell>
        </row>
        <row r="319">
          <cell r="A319" t="str">
            <v>SSE</v>
          </cell>
          <cell r="B319">
            <v>1</v>
          </cell>
          <cell r="C319" t="str">
            <v>DRME</v>
          </cell>
          <cell r="D319">
            <v>13</v>
          </cell>
          <cell r="E319">
            <v>7</v>
          </cell>
          <cell r="F319" t="str">
            <v xml:space="preserve">B </v>
          </cell>
          <cell r="G319">
            <v>0</v>
          </cell>
          <cell r="H319">
            <v>5</v>
          </cell>
          <cell r="I319">
            <v>21113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373588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93397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373588</v>
          </cell>
          <cell r="AA319">
            <v>373588</v>
          </cell>
          <cell r="AB319" t="str">
            <v>ERBF</v>
          </cell>
          <cell r="AC319">
            <v>1101</v>
          </cell>
          <cell r="AD319">
            <v>2</v>
          </cell>
          <cell r="AE319">
            <v>20983</v>
          </cell>
        </row>
        <row r="320">
          <cell r="A320" t="str">
            <v>SSE</v>
          </cell>
          <cell r="B320">
            <v>1</v>
          </cell>
          <cell r="C320" t="str">
            <v>DRME</v>
          </cell>
          <cell r="D320">
            <v>13</v>
          </cell>
          <cell r="E320">
            <v>8</v>
          </cell>
          <cell r="F320" t="str">
            <v xml:space="preserve">B </v>
          </cell>
          <cell r="G320">
            <v>0</v>
          </cell>
          <cell r="H320">
            <v>4</v>
          </cell>
          <cell r="I320">
            <v>5481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114106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28526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114106</v>
          </cell>
          <cell r="AA320">
            <v>114106</v>
          </cell>
          <cell r="AB320" t="str">
            <v>ERBF</v>
          </cell>
          <cell r="AC320">
            <v>1101</v>
          </cell>
          <cell r="AD320">
            <v>2</v>
          </cell>
          <cell r="AE320">
            <v>5481</v>
          </cell>
        </row>
        <row r="321">
          <cell r="A321" t="str">
            <v>SSE</v>
          </cell>
          <cell r="B321">
            <v>1</v>
          </cell>
          <cell r="C321" t="str">
            <v>DRME</v>
          </cell>
          <cell r="D321">
            <v>13</v>
          </cell>
          <cell r="E321">
            <v>90</v>
          </cell>
          <cell r="F321" t="str">
            <v>A3</v>
          </cell>
          <cell r="G321">
            <v>26</v>
          </cell>
          <cell r="H321">
            <v>1</v>
          </cell>
          <cell r="I321">
            <v>2997914</v>
          </cell>
          <cell r="J321">
            <v>0</v>
          </cell>
          <cell r="K321">
            <v>0</v>
          </cell>
          <cell r="L321">
            <v>6690</v>
          </cell>
          <cell r="M321">
            <v>0</v>
          </cell>
          <cell r="N321">
            <v>0</v>
          </cell>
          <cell r="O321">
            <v>7608706</v>
          </cell>
          <cell r="P321">
            <v>5057640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12666346</v>
          </cell>
          <cell r="AA321">
            <v>12666346</v>
          </cell>
          <cell r="AB321" t="str">
            <v>ERBF</v>
          </cell>
          <cell r="AC321">
            <v>1101</v>
          </cell>
          <cell r="AD321">
            <v>2</v>
          </cell>
          <cell r="AE321">
            <v>2997914</v>
          </cell>
        </row>
        <row r="322">
          <cell r="A322" t="str">
            <v>SSE</v>
          </cell>
          <cell r="B322">
            <v>1</v>
          </cell>
          <cell r="C322" t="str">
            <v>DRME</v>
          </cell>
          <cell r="D322">
            <v>13</v>
          </cell>
          <cell r="E322">
            <v>90</v>
          </cell>
          <cell r="F322" t="str">
            <v>A4</v>
          </cell>
          <cell r="G322">
            <v>20</v>
          </cell>
          <cell r="H322">
            <v>1</v>
          </cell>
          <cell r="I322">
            <v>405600</v>
          </cell>
          <cell r="J322">
            <v>0</v>
          </cell>
          <cell r="K322">
            <v>0</v>
          </cell>
          <cell r="L322">
            <v>858</v>
          </cell>
          <cell r="M322">
            <v>0</v>
          </cell>
          <cell r="N322">
            <v>0</v>
          </cell>
          <cell r="O322">
            <v>1029413</v>
          </cell>
          <cell r="P322">
            <v>714714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1744127</v>
          </cell>
          <cell r="AA322">
            <v>1744127</v>
          </cell>
          <cell r="AB322" t="str">
            <v>ERBF</v>
          </cell>
          <cell r="AC322">
            <v>1101</v>
          </cell>
          <cell r="AD322">
            <v>2</v>
          </cell>
          <cell r="AE322">
            <v>405600</v>
          </cell>
        </row>
        <row r="323">
          <cell r="A323" t="str">
            <v>SSE</v>
          </cell>
          <cell r="B323">
            <v>1</v>
          </cell>
          <cell r="C323" t="str">
            <v>DRME</v>
          </cell>
          <cell r="D323">
            <v>14</v>
          </cell>
          <cell r="E323">
            <v>1</v>
          </cell>
          <cell r="F323" t="str">
            <v xml:space="preserve">B </v>
          </cell>
          <cell r="G323">
            <v>1</v>
          </cell>
          <cell r="H323">
            <v>7537</v>
          </cell>
          <cell r="I323">
            <v>147837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2391663</v>
          </cell>
          <cell r="P323">
            <v>0</v>
          </cell>
          <cell r="Q323">
            <v>0</v>
          </cell>
          <cell r="R323">
            <v>23341</v>
          </cell>
          <cell r="S323">
            <v>0</v>
          </cell>
          <cell r="T323">
            <v>513354</v>
          </cell>
          <cell r="U323">
            <v>0</v>
          </cell>
          <cell r="V323">
            <v>21818</v>
          </cell>
          <cell r="W323">
            <v>0</v>
          </cell>
          <cell r="X323">
            <v>0</v>
          </cell>
          <cell r="Y323">
            <v>145340</v>
          </cell>
          <cell r="Z323">
            <v>2391663</v>
          </cell>
          <cell r="AA323">
            <v>3095516</v>
          </cell>
          <cell r="AB323" t="str">
            <v>ERSA</v>
          </cell>
          <cell r="AC323">
            <v>1101</v>
          </cell>
          <cell r="AD323">
            <v>2</v>
          </cell>
          <cell r="AE323">
            <v>111125</v>
          </cell>
        </row>
        <row r="324">
          <cell r="A324" t="str">
            <v>SSE</v>
          </cell>
          <cell r="B324">
            <v>1</v>
          </cell>
          <cell r="C324" t="str">
            <v>DRME</v>
          </cell>
          <cell r="D324">
            <v>14</v>
          </cell>
          <cell r="E324">
            <v>1</v>
          </cell>
          <cell r="F324" t="str">
            <v xml:space="preserve">B </v>
          </cell>
          <cell r="G324">
            <v>2</v>
          </cell>
          <cell r="H324">
            <v>2762</v>
          </cell>
          <cell r="I324">
            <v>110843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2149961</v>
          </cell>
          <cell r="P324">
            <v>0</v>
          </cell>
          <cell r="Q324">
            <v>0</v>
          </cell>
          <cell r="R324">
            <v>30464</v>
          </cell>
          <cell r="S324">
            <v>0</v>
          </cell>
          <cell r="T324">
            <v>61560</v>
          </cell>
          <cell r="U324">
            <v>365402</v>
          </cell>
          <cell r="V324">
            <v>12131</v>
          </cell>
          <cell r="W324">
            <v>0</v>
          </cell>
          <cell r="X324">
            <v>0</v>
          </cell>
          <cell r="Y324">
            <v>132905</v>
          </cell>
          <cell r="Z324">
            <v>2149961</v>
          </cell>
          <cell r="AA324">
            <v>2387021</v>
          </cell>
          <cell r="AB324" t="str">
            <v>ERSA</v>
          </cell>
          <cell r="AC324">
            <v>1101</v>
          </cell>
          <cell r="AD324">
            <v>2</v>
          </cell>
          <cell r="AE324">
            <v>110793</v>
          </cell>
        </row>
        <row r="325">
          <cell r="A325" t="str">
            <v>SSE</v>
          </cell>
          <cell r="B325">
            <v>1</v>
          </cell>
          <cell r="C325" t="str">
            <v>DRME</v>
          </cell>
          <cell r="D325">
            <v>14</v>
          </cell>
          <cell r="E325">
            <v>1</v>
          </cell>
          <cell r="F325" t="str">
            <v xml:space="preserve">B </v>
          </cell>
          <cell r="G325">
            <v>3</v>
          </cell>
          <cell r="H325">
            <v>6388</v>
          </cell>
          <cell r="I325">
            <v>467197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9061623</v>
          </cell>
          <cell r="P325">
            <v>0</v>
          </cell>
          <cell r="Q325">
            <v>0</v>
          </cell>
          <cell r="R325">
            <v>74589</v>
          </cell>
          <cell r="S325">
            <v>0</v>
          </cell>
          <cell r="T325">
            <v>192427</v>
          </cell>
          <cell r="U325">
            <v>1540521</v>
          </cell>
          <cell r="V325">
            <v>19185</v>
          </cell>
          <cell r="W325">
            <v>0</v>
          </cell>
          <cell r="X325">
            <v>0</v>
          </cell>
          <cell r="Y325">
            <v>550143</v>
          </cell>
          <cell r="Z325">
            <v>9061623</v>
          </cell>
          <cell r="AA325">
            <v>9897967</v>
          </cell>
          <cell r="AB325" t="str">
            <v>ERSA</v>
          </cell>
          <cell r="AC325">
            <v>1101</v>
          </cell>
          <cell r="AD325">
            <v>2</v>
          </cell>
          <cell r="AE325">
            <v>465665</v>
          </cell>
        </row>
        <row r="326">
          <cell r="A326" t="str">
            <v>SSE</v>
          </cell>
          <cell r="B326">
            <v>1</v>
          </cell>
          <cell r="C326" t="str">
            <v>DRME</v>
          </cell>
          <cell r="D326">
            <v>14</v>
          </cell>
          <cell r="E326">
            <v>1</v>
          </cell>
          <cell r="F326" t="str">
            <v xml:space="preserve">B </v>
          </cell>
          <cell r="G326">
            <v>4</v>
          </cell>
          <cell r="H326">
            <v>1989</v>
          </cell>
          <cell r="I326">
            <v>235737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4573154</v>
          </cell>
          <cell r="P326">
            <v>0</v>
          </cell>
          <cell r="Q326">
            <v>0</v>
          </cell>
          <cell r="R326">
            <v>49302</v>
          </cell>
          <cell r="S326">
            <v>0</v>
          </cell>
          <cell r="T326">
            <v>98664</v>
          </cell>
          <cell r="U326">
            <v>777462</v>
          </cell>
          <cell r="V326">
            <v>3106</v>
          </cell>
          <cell r="W326">
            <v>0</v>
          </cell>
          <cell r="X326">
            <v>0</v>
          </cell>
          <cell r="Y326">
            <v>324126</v>
          </cell>
          <cell r="Z326">
            <v>4573154</v>
          </cell>
          <cell r="AA326">
            <v>5048352</v>
          </cell>
          <cell r="AB326" t="str">
            <v>ERSA</v>
          </cell>
          <cell r="AC326">
            <v>1101</v>
          </cell>
          <cell r="AD326">
            <v>2</v>
          </cell>
          <cell r="AE326">
            <v>235737</v>
          </cell>
        </row>
        <row r="327">
          <cell r="A327" t="str">
            <v>SSE</v>
          </cell>
          <cell r="B327">
            <v>1</v>
          </cell>
          <cell r="C327" t="str">
            <v>DRME</v>
          </cell>
          <cell r="D327">
            <v>14</v>
          </cell>
          <cell r="E327">
            <v>1</v>
          </cell>
          <cell r="F327" t="str">
            <v xml:space="preserve">B </v>
          </cell>
          <cell r="G327">
            <v>5</v>
          </cell>
          <cell r="H327">
            <v>538</v>
          </cell>
          <cell r="I327">
            <v>92468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1793878</v>
          </cell>
          <cell r="P327">
            <v>0</v>
          </cell>
          <cell r="Q327">
            <v>0</v>
          </cell>
          <cell r="R327">
            <v>19848</v>
          </cell>
          <cell r="S327">
            <v>0</v>
          </cell>
          <cell r="T327">
            <v>63295</v>
          </cell>
          <cell r="U327">
            <v>304966</v>
          </cell>
          <cell r="V327">
            <v>753</v>
          </cell>
          <cell r="W327">
            <v>0</v>
          </cell>
          <cell r="X327">
            <v>0</v>
          </cell>
          <cell r="Y327">
            <v>138358</v>
          </cell>
          <cell r="Z327">
            <v>1793878</v>
          </cell>
          <cell r="AA327">
            <v>2016132</v>
          </cell>
          <cell r="AB327" t="str">
            <v>ERSA</v>
          </cell>
          <cell r="AC327">
            <v>1101</v>
          </cell>
          <cell r="AD327">
            <v>2</v>
          </cell>
          <cell r="AE327">
            <v>92468</v>
          </cell>
        </row>
        <row r="328">
          <cell r="A328" t="str">
            <v>SSE</v>
          </cell>
          <cell r="B328">
            <v>1</v>
          </cell>
          <cell r="C328" t="str">
            <v>DRME</v>
          </cell>
          <cell r="D328">
            <v>14</v>
          </cell>
          <cell r="E328">
            <v>1</v>
          </cell>
          <cell r="F328" t="str">
            <v xml:space="preserve">B </v>
          </cell>
          <cell r="G328">
            <v>6</v>
          </cell>
          <cell r="H328">
            <v>406</v>
          </cell>
          <cell r="I328">
            <v>95446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1851308</v>
          </cell>
          <cell r="P328">
            <v>0</v>
          </cell>
          <cell r="Q328">
            <v>0</v>
          </cell>
          <cell r="R328">
            <v>22073</v>
          </cell>
          <cell r="S328">
            <v>0</v>
          </cell>
          <cell r="T328">
            <v>82343</v>
          </cell>
          <cell r="U328">
            <v>314802</v>
          </cell>
          <cell r="V328">
            <v>565</v>
          </cell>
          <cell r="W328">
            <v>0</v>
          </cell>
          <cell r="X328">
            <v>0</v>
          </cell>
          <cell r="Y328">
            <v>102969</v>
          </cell>
          <cell r="Z328">
            <v>1851308</v>
          </cell>
          <cell r="AA328">
            <v>2059258</v>
          </cell>
          <cell r="AB328" t="str">
            <v>ERSA</v>
          </cell>
          <cell r="AC328">
            <v>1101</v>
          </cell>
          <cell r="AD328">
            <v>2</v>
          </cell>
          <cell r="AE328">
            <v>95446</v>
          </cell>
        </row>
        <row r="329">
          <cell r="A329" t="str">
            <v>SSE</v>
          </cell>
          <cell r="B329">
            <v>1</v>
          </cell>
          <cell r="C329" t="str">
            <v>DRME</v>
          </cell>
          <cell r="D329">
            <v>14</v>
          </cell>
          <cell r="E329">
            <v>1</v>
          </cell>
          <cell r="F329" t="str">
            <v xml:space="preserve">B </v>
          </cell>
          <cell r="G329">
            <v>7</v>
          </cell>
          <cell r="H329">
            <v>173</v>
          </cell>
          <cell r="I329">
            <v>58661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1180541</v>
          </cell>
          <cell r="P329">
            <v>0</v>
          </cell>
          <cell r="Q329">
            <v>0</v>
          </cell>
          <cell r="R329">
            <v>11308</v>
          </cell>
          <cell r="S329">
            <v>0</v>
          </cell>
          <cell r="T329">
            <v>22013</v>
          </cell>
          <cell r="U329">
            <v>236174</v>
          </cell>
          <cell r="V329">
            <v>283</v>
          </cell>
          <cell r="W329">
            <v>0</v>
          </cell>
          <cell r="X329">
            <v>0</v>
          </cell>
          <cell r="Y329">
            <v>58547</v>
          </cell>
          <cell r="Z329">
            <v>1180541</v>
          </cell>
          <cell r="AA329">
            <v>1272692</v>
          </cell>
          <cell r="AB329" t="str">
            <v>ERSA</v>
          </cell>
          <cell r="AC329">
            <v>1101</v>
          </cell>
          <cell r="AD329">
            <v>2</v>
          </cell>
          <cell r="AE329">
            <v>58661</v>
          </cell>
        </row>
        <row r="330">
          <cell r="A330" t="str">
            <v>SSE</v>
          </cell>
          <cell r="B330">
            <v>1</v>
          </cell>
          <cell r="C330" t="str">
            <v>DRME</v>
          </cell>
          <cell r="D330">
            <v>14</v>
          </cell>
          <cell r="E330">
            <v>1</v>
          </cell>
          <cell r="F330" t="str">
            <v xml:space="preserve">B </v>
          </cell>
          <cell r="G330">
            <v>8</v>
          </cell>
          <cell r="H330">
            <v>75</v>
          </cell>
          <cell r="I330">
            <v>32708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658185</v>
          </cell>
          <cell r="P330">
            <v>0</v>
          </cell>
          <cell r="Q330">
            <v>0</v>
          </cell>
          <cell r="R330">
            <v>5863</v>
          </cell>
          <cell r="S330">
            <v>0</v>
          </cell>
          <cell r="T330">
            <v>5313</v>
          </cell>
          <cell r="U330">
            <v>131666</v>
          </cell>
          <cell r="V330">
            <v>0</v>
          </cell>
          <cell r="W330">
            <v>0</v>
          </cell>
          <cell r="X330">
            <v>0</v>
          </cell>
          <cell r="Y330">
            <v>24242</v>
          </cell>
          <cell r="Z330">
            <v>658185</v>
          </cell>
          <cell r="AA330">
            <v>693603</v>
          </cell>
          <cell r="AB330" t="str">
            <v>ERSA</v>
          </cell>
          <cell r="AC330">
            <v>1101</v>
          </cell>
          <cell r="AD330">
            <v>2</v>
          </cell>
          <cell r="AE330">
            <v>32708</v>
          </cell>
        </row>
        <row r="331">
          <cell r="A331" t="str">
            <v>SSE</v>
          </cell>
          <cell r="B331">
            <v>1</v>
          </cell>
          <cell r="C331" t="str">
            <v>DRME</v>
          </cell>
          <cell r="D331">
            <v>14</v>
          </cell>
          <cell r="E331">
            <v>1</v>
          </cell>
          <cell r="F331" t="str">
            <v xml:space="preserve">B </v>
          </cell>
          <cell r="G331">
            <v>9</v>
          </cell>
          <cell r="H331">
            <v>63</v>
          </cell>
          <cell r="I331">
            <v>36589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783494</v>
          </cell>
          <cell r="P331">
            <v>0</v>
          </cell>
          <cell r="Q331">
            <v>0</v>
          </cell>
          <cell r="R331">
            <v>6843</v>
          </cell>
          <cell r="S331">
            <v>0</v>
          </cell>
          <cell r="T331">
            <v>29489</v>
          </cell>
          <cell r="U331">
            <v>195890</v>
          </cell>
          <cell r="V331">
            <v>0</v>
          </cell>
          <cell r="W331">
            <v>0</v>
          </cell>
          <cell r="X331">
            <v>0</v>
          </cell>
          <cell r="Y331">
            <v>27306</v>
          </cell>
          <cell r="Z331">
            <v>783494</v>
          </cell>
          <cell r="AA331">
            <v>847132</v>
          </cell>
          <cell r="AB331" t="str">
            <v>ERSA</v>
          </cell>
          <cell r="AC331">
            <v>1101</v>
          </cell>
          <cell r="AD331">
            <v>2</v>
          </cell>
          <cell r="AE331">
            <v>36589</v>
          </cell>
        </row>
        <row r="332">
          <cell r="A332" t="str">
            <v>SSE</v>
          </cell>
          <cell r="B332">
            <v>1</v>
          </cell>
          <cell r="C332" t="str">
            <v>DRME</v>
          </cell>
          <cell r="D332">
            <v>14</v>
          </cell>
          <cell r="E332">
            <v>1</v>
          </cell>
          <cell r="F332" t="str">
            <v xml:space="preserve">B </v>
          </cell>
          <cell r="G332">
            <v>10</v>
          </cell>
          <cell r="H332">
            <v>7</v>
          </cell>
          <cell r="I332">
            <v>8510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185565</v>
          </cell>
          <cell r="P332">
            <v>0</v>
          </cell>
          <cell r="Q332">
            <v>0</v>
          </cell>
          <cell r="R332">
            <v>2410</v>
          </cell>
          <cell r="S332">
            <v>0</v>
          </cell>
          <cell r="T332">
            <v>8511</v>
          </cell>
          <cell r="U332">
            <v>46397</v>
          </cell>
          <cell r="V332">
            <v>189</v>
          </cell>
          <cell r="W332">
            <v>0</v>
          </cell>
          <cell r="X332">
            <v>0</v>
          </cell>
          <cell r="Y332">
            <v>3366</v>
          </cell>
          <cell r="Z332">
            <v>185565</v>
          </cell>
          <cell r="AA332">
            <v>200041</v>
          </cell>
          <cell r="AB332" t="str">
            <v>ERSA</v>
          </cell>
          <cell r="AC332">
            <v>1101</v>
          </cell>
          <cell r="AD332">
            <v>2</v>
          </cell>
          <cell r="AE332">
            <v>8510</v>
          </cell>
        </row>
        <row r="333">
          <cell r="A333" t="str">
            <v>SSE</v>
          </cell>
          <cell r="B333">
            <v>1</v>
          </cell>
          <cell r="C333" t="str">
            <v>DRME</v>
          </cell>
          <cell r="D333">
            <v>14</v>
          </cell>
          <cell r="E333">
            <v>1</v>
          </cell>
          <cell r="F333" t="str">
            <v xml:space="preserve">B </v>
          </cell>
          <cell r="G333">
            <v>11</v>
          </cell>
          <cell r="H333">
            <v>2044</v>
          </cell>
          <cell r="I333">
            <v>43953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247786</v>
          </cell>
          <cell r="P333">
            <v>0</v>
          </cell>
          <cell r="Q333">
            <v>0</v>
          </cell>
          <cell r="R333">
            <v>2437</v>
          </cell>
          <cell r="S333">
            <v>0</v>
          </cell>
          <cell r="T333">
            <v>19996</v>
          </cell>
          <cell r="U333">
            <v>0</v>
          </cell>
          <cell r="V333">
            <v>282</v>
          </cell>
          <cell r="W333">
            <v>0</v>
          </cell>
          <cell r="X333">
            <v>0</v>
          </cell>
          <cell r="Y333">
            <v>50236</v>
          </cell>
          <cell r="Z333">
            <v>247786</v>
          </cell>
          <cell r="AA333">
            <v>320737</v>
          </cell>
          <cell r="AB333" t="str">
            <v>ERSA</v>
          </cell>
          <cell r="AC333">
            <v>1101</v>
          </cell>
          <cell r="AD333">
            <v>2</v>
          </cell>
          <cell r="AE333">
            <v>32624</v>
          </cell>
        </row>
        <row r="334">
          <cell r="A334" t="str">
            <v>SSE</v>
          </cell>
          <cell r="B334">
            <v>1</v>
          </cell>
          <cell r="C334" t="str">
            <v>DRME</v>
          </cell>
          <cell r="D334">
            <v>14</v>
          </cell>
          <cell r="E334">
            <v>1</v>
          </cell>
          <cell r="F334" t="str">
            <v xml:space="preserve">B </v>
          </cell>
          <cell r="G334">
            <v>12</v>
          </cell>
          <cell r="H334">
            <v>1800</v>
          </cell>
          <cell r="I334">
            <v>105019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961708</v>
          </cell>
          <cell r="P334">
            <v>0</v>
          </cell>
          <cell r="Q334">
            <v>0</v>
          </cell>
          <cell r="R334">
            <v>9491</v>
          </cell>
          <cell r="S334">
            <v>0</v>
          </cell>
          <cell r="T334">
            <v>22618</v>
          </cell>
          <cell r="U334">
            <v>163552</v>
          </cell>
          <cell r="V334">
            <v>753</v>
          </cell>
          <cell r="W334">
            <v>0</v>
          </cell>
          <cell r="X334">
            <v>0</v>
          </cell>
          <cell r="Y334">
            <v>130737</v>
          </cell>
          <cell r="Z334">
            <v>961708</v>
          </cell>
          <cell r="AA334">
            <v>1125307</v>
          </cell>
          <cell r="AB334" t="str">
            <v>ERSA</v>
          </cell>
          <cell r="AC334">
            <v>1101</v>
          </cell>
          <cell r="AD334">
            <v>2</v>
          </cell>
          <cell r="AE334">
            <v>105019</v>
          </cell>
        </row>
        <row r="335">
          <cell r="A335" t="str">
            <v>SSE</v>
          </cell>
          <cell r="B335">
            <v>1</v>
          </cell>
          <cell r="C335" t="str">
            <v>DRME</v>
          </cell>
          <cell r="D335">
            <v>14</v>
          </cell>
          <cell r="E335">
            <v>1</v>
          </cell>
          <cell r="F335" t="str">
            <v xml:space="preserve">B </v>
          </cell>
          <cell r="G335">
            <v>13</v>
          </cell>
          <cell r="H335">
            <v>132</v>
          </cell>
          <cell r="I335">
            <v>14818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174917</v>
          </cell>
          <cell r="P335">
            <v>0</v>
          </cell>
          <cell r="Q335">
            <v>0</v>
          </cell>
          <cell r="R335">
            <v>2226</v>
          </cell>
          <cell r="S335">
            <v>0</v>
          </cell>
          <cell r="T335">
            <v>4732</v>
          </cell>
          <cell r="U335">
            <v>29739</v>
          </cell>
          <cell r="V335">
            <v>94</v>
          </cell>
          <cell r="W335">
            <v>0</v>
          </cell>
          <cell r="X335">
            <v>0</v>
          </cell>
          <cell r="Y335">
            <v>20551</v>
          </cell>
          <cell r="Z335">
            <v>174917</v>
          </cell>
          <cell r="AA335">
            <v>202520</v>
          </cell>
          <cell r="AB335" t="str">
            <v>ERSA</v>
          </cell>
          <cell r="AC335">
            <v>1101</v>
          </cell>
          <cell r="AD335">
            <v>2</v>
          </cell>
          <cell r="AE335">
            <v>14818</v>
          </cell>
        </row>
        <row r="336">
          <cell r="A336" t="str">
            <v>SSE</v>
          </cell>
          <cell r="B336">
            <v>1</v>
          </cell>
          <cell r="C336" t="str">
            <v>DRME</v>
          </cell>
          <cell r="D336">
            <v>14</v>
          </cell>
          <cell r="E336">
            <v>1</v>
          </cell>
          <cell r="F336" t="str">
            <v xml:space="preserve">B </v>
          </cell>
          <cell r="G336">
            <v>14</v>
          </cell>
          <cell r="H336">
            <v>8</v>
          </cell>
          <cell r="I336">
            <v>1029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12962</v>
          </cell>
          <cell r="P336">
            <v>0</v>
          </cell>
          <cell r="Q336">
            <v>0</v>
          </cell>
          <cell r="R336">
            <v>143</v>
          </cell>
          <cell r="S336">
            <v>0</v>
          </cell>
          <cell r="T336">
            <v>0</v>
          </cell>
          <cell r="U336">
            <v>2205</v>
          </cell>
          <cell r="V336">
            <v>0</v>
          </cell>
          <cell r="W336">
            <v>0</v>
          </cell>
          <cell r="X336">
            <v>0</v>
          </cell>
          <cell r="Y336">
            <v>1189</v>
          </cell>
          <cell r="Z336">
            <v>12962</v>
          </cell>
          <cell r="AA336">
            <v>14294</v>
          </cell>
          <cell r="AB336" t="str">
            <v>ERSA</v>
          </cell>
          <cell r="AC336">
            <v>1101</v>
          </cell>
          <cell r="AD336">
            <v>2</v>
          </cell>
          <cell r="AE336">
            <v>1029</v>
          </cell>
        </row>
        <row r="337">
          <cell r="A337" t="str">
            <v>SSE</v>
          </cell>
          <cell r="B337">
            <v>1</v>
          </cell>
          <cell r="C337" t="str">
            <v>DRME</v>
          </cell>
          <cell r="D337">
            <v>14</v>
          </cell>
          <cell r="E337">
            <v>1</v>
          </cell>
          <cell r="F337" t="str">
            <v xml:space="preserve">B </v>
          </cell>
          <cell r="G337">
            <v>15</v>
          </cell>
          <cell r="H337">
            <v>12</v>
          </cell>
          <cell r="I337">
            <v>2430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37486</v>
          </cell>
          <cell r="P337">
            <v>0</v>
          </cell>
          <cell r="Q337">
            <v>0</v>
          </cell>
          <cell r="R337">
            <v>332</v>
          </cell>
          <cell r="S337">
            <v>0</v>
          </cell>
          <cell r="T337">
            <v>32</v>
          </cell>
          <cell r="U337">
            <v>6663</v>
          </cell>
          <cell r="V337">
            <v>0</v>
          </cell>
          <cell r="W337">
            <v>0</v>
          </cell>
          <cell r="X337">
            <v>0</v>
          </cell>
          <cell r="Y337">
            <v>1540</v>
          </cell>
          <cell r="Z337">
            <v>37486</v>
          </cell>
          <cell r="AA337">
            <v>39390</v>
          </cell>
          <cell r="AB337" t="str">
            <v>ERSA</v>
          </cell>
          <cell r="AC337">
            <v>1101</v>
          </cell>
          <cell r="AD337">
            <v>2</v>
          </cell>
          <cell r="AE337">
            <v>2430</v>
          </cell>
        </row>
        <row r="338">
          <cell r="A338" t="str">
            <v>SSE</v>
          </cell>
          <cell r="B338">
            <v>1</v>
          </cell>
          <cell r="C338" t="str">
            <v>DRME</v>
          </cell>
          <cell r="D338">
            <v>14</v>
          </cell>
          <cell r="E338">
            <v>2</v>
          </cell>
          <cell r="F338" t="str">
            <v>A4</v>
          </cell>
          <cell r="G338">
            <v>20</v>
          </cell>
          <cell r="H338">
            <v>1</v>
          </cell>
          <cell r="I338">
            <v>308</v>
          </cell>
          <cell r="J338">
            <v>0</v>
          </cell>
          <cell r="K338">
            <v>0</v>
          </cell>
          <cell r="L338">
            <v>24</v>
          </cell>
          <cell r="M338">
            <v>0</v>
          </cell>
          <cell r="N338">
            <v>0</v>
          </cell>
          <cell r="O338">
            <v>3535</v>
          </cell>
          <cell r="P338">
            <v>18784</v>
          </cell>
          <cell r="Q338">
            <v>2317</v>
          </cell>
          <cell r="R338">
            <v>0</v>
          </cell>
          <cell r="S338">
            <v>0</v>
          </cell>
          <cell r="T338">
            <v>0</v>
          </cell>
          <cell r="U338">
            <v>9290</v>
          </cell>
          <cell r="V338">
            <v>0</v>
          </cell>
          <cell r="W338">
            <v>12523</v>
          </cell>
          <cell r="X338">
            <v>0</v>
          </cell>
          <cell r="Y338">
            <v>0</v>
          </cell>
          <cell r="Z338">
            <v>37159</v>
          </cell>
          <cell r="AA338">
            <v>37159</v>
          </cell>
          <cell r="AB338" t="str">
            <v>ERSA</v>
          </cell>
          <cell r="AC338">
            <v>1101</v>
          </cell>
          <cell r="AD338">
            <v>2</v>
          </cell>
          <cell r="AE338">
            <v>308</v>
          </cell>
        </row>
        <row r="339">
          <cell r="A339" t="str">
            <v>SSE</v>
          </cell>
          <cell r="B339">
            <v>1</v>
          </cell>
          <cell r="C339" t="str">
            <v>DRME</v>
          </cell>
          <cell r="D339">
            <v>14</v>
          </cell>
          <cell r="E339">
            <v>2</v>
          </cell>
          <cell r="F339" t="str">
            <v xml:space="preserve">B </v>
          </cell>
          <cell r="G339">
            <v>0</v>
          </cell>
          <cell r="H339">
            <v>57</v>
          </cell>
          <cell r="I339">
            <v>26778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557468</v>
          </cell>
          <cell r="P339">
            <v>0</v>
          </cell>
          <cell r="Q339">
            <v>0</v>
          </cell>
          <cell r="R339">
            <v>9863</v>
          </cell>
          <cell r="S339">
            <v>0</v>
          </cell>
          <cell r="T339">
            <v>101229</v>
          </cell>
          <cell r="U339">
            <v>130555</v>
          </cell>
          <cell r="V339">
            <v>0</v>
          </cell>
          <cell r="W339">
            <v>0</v>
          </cell>
          <cell r="X339">
            <v>0</v>
          </cell>
          <cell r="Y339">
            <v>18806</v>
          </cell>
          <cell r="Z339">
            <v>557468</v>
          </cell>
          <cell r="AA339">
            <v>687366</v>
          </cell>
          <cell r="AB339" t="str">
            <v>ERSA</v>
          </cell>
          <cell r="AC339">
            <v>1101</v>
          </cell>
          <cell r="AD339">
            <v>2</v>
          </cell>
          <cell r="AE339">
            <v>26019</v>
          </cell>
        </row>
        <row r="340">
          <cell r="A340" t="str">
            <v>SSE</v>
          </cell>
          <cell r="B340">
            <v>1</v>
          </cell>
          <cell r="C340" t="str">
            <v>DRME</v>
          </cell>
          <cell r="D340">
            <v>14</v>
          </cell>
          <cell r="E340">
            <v>3</v>
          </cell>
          <cell r="F340" t="str">
            <v>A4</v>
          </cell>
          <cell r="G340">
            <v>20</v>
          </cell>
          <cell r="H340">
            <v>12</v>
          </cell>
          <cell r="I340">
            <v>115815</v>
          </cell>
          <cell r="J340">
            <v>0</v>
          </cell>
          <cell r="K340">
            <v>0</v>
          </cell>
          <cell r="L340">
            <v>462</v>
          </cell>
          <cell r="M340">
            <v>0</v>
          </cell>
          <cell r="N340">
            <v>0</v>
          </cell>
          <cell r="O340">
            <v>1328939</v>
          </cell>
          <cell r="P340">
            <v>361591</v>
          </cell>
          <cell r="Q340">
            <v>68310</v>
          </cell>
          <cell r="R340">
            <v>9180</v>
          </cell>
          <cell r="S340">
            <v>0</v>
          </cell>
          <cell r="T340">
            <v>57108</v>
          </cell>
          <cell r="U340">
            <v>444213</v>
          </cell>
          <cell r="V340">
            <v>0</v>
          </cell>
          <cell r="W340">
            <v>18001</v>
          </cell>
          <cell r="X340">
            <v>0</v>
          </cell>
          <cell r="Y340">
            <v>7152</v>
          </cell>
          <cell r="Z340">
            <v>1776841</v>
          </cell>
          <cell r="AA340">
            <v>1850281</v>
          </cell>
          <cell r="AB340" t="str">
            <v>ERSA</v>
          </cell>
          <cell r="AC340">
            <v>1101</v>
          </cell>
          <cell r="AD340">
            <v>2</v>
          </cell>
          <cell r="AE340">
            <v>115815</v>
          </cell>
        </row>
        <row r="341">
          <cell r="A341" t="str">
            <v>SSE</v>
          </cell>
          <cell r="B341">
            <v>1</v>
          </cell>
          <cell r="C341" t="str">
            <v>DRME</v>
          </cell>
          <cell r="D341">
            <v>14</v>
          </cell>
          <cell r="E341">
            <v>3</v>
          </cell>
          <cell r="F341" t="str">
            <v xml:space="preserve">B </v>
          </cell>
          <cell r="G341">
            <v>0</v>
          </cell>
          <cell r="H341">
            <v>1851</v>
          </cell>
          <cell r="I341">
            <v>362444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7548163</v>
          </cell>
          <cell r="P341">
            <v>0</v>
          </cell>
          <cell r="Q341">
            <v>0</v>
          </cell>
          <cell r="R341">
            <v>83055</v>
          </cell>
          <cell r="S341">
            <v>55</v>
          </cell>
          <cell r="T341">
            <v>577934</v>
          </cell>
          <cell r="U341">
            <v>1861538</v>
          </cell>
          <cell r="V341">
            <v>94</v>
          </cell>
          <cell r="W341">
            <v>0</v>
          </cell>
          <cell r="X341">
            <v>0</v>
          </cell>
          <cell r="Y341">
            <v>335618</v>
          </cell>
          <cell r="Z341">
            <v>7548163</v>
          </cell>
          <cell r="AA341">
            <v>8544919</v>
          </cell>
          <cell r="AB341" t="str">
            <v>ERSA</v>
          </cell>
          <cell r="AC341">
            <v>1101</v>
          </cell>
          <cell r="AD341">
            <v>2</v>
          </cell>
          <cell r="AE341">
            <v>347088</v>
          </cell>
        </row>
        <row r="342">
          <cell r="A342" t="str">
            <v>SSE</v>
          </cell>
          <cell r="B342">
            <v>1</v>
          </cell>
          <cell r="C342" t="str">
            <v>DRME</v>
          </cell>
          <cell r="D342">
            <v>14</v>
          </cell>
          <cell r="E342">
            <v>4</v>
          </cell>
          <cell r="F342" t="str">
            <v xml:space="preserve">B </v>
          </cell>
          <cell r="G342">
            <v>0</v>
          </cell>
          <cell r="H342">
            <v>1077</v>
          </cell>
          <cell r="I342">
            <v>188161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1796511</v>
          </cell>
          <cell r="P342">
            <v>0</v>
          </cell>
          <cell r="Q342">
            <v>0</v>
          </cell>
          <cell r="R342">
            <v>1</v>
          </cell>
          <cell r="S342">
            <v>0</v>
          </cell>
          <cell r="T342">
            <v>421679</v>
          </cell>
          <cell r="U342">
            <v>0</v>
          </cell>
          <cell r="V342">
            <v>58495</v>
          </cell>
          <cell r="W342">
            <v>0</v>
          </cell>
          <cell r="X342">
            <v>0</v>
          </cell>
          <cell r="Y342">
            <v>0</v>
          </cell>
          <cell r="Z342">
            <v>1796511</v>
          </cell>
          <cell r="AA342">
            <v>2276686</v>
          </cell>
          <cell r="AB342" t="str">
            <v>ERSA</v>
          </cell>
          <cell r="AC342">
            <v>1101</v>
          </cell>
          <cell r="AD342">
            <v>2</v>
          </cell>
          <cell r="AE342">
            <v>177476</v>
          </cell>
        </row>
        <row r="343">
          <cell r="A343" t="str">
            <v>SSE</v>
          </cell>
          <cell r="B343">
            <v>1</v>
          </cell>
          <cell r="C343" t="str">
            <v>DRME</v>
          </cell>
          <cell r="D343">
            <v>14</v>
          </cell>
          <cell r="E343">
            <v>5</v>
          </cell>
          <cell r="F343" t="str">
            <v>A4</v>
          </cell>
          <cell r="G343">
            <v>20</v>
          </cell>
          <cell r="H343">
            <v>3</v>
          </cell>
          <cell r="I343">
            <v>36007</v>
          </cell>
          <cell r="J343">
            <v>0</v>
          </cell>
          <cell r="K343">
            <v>0</v>
          </cell>
          <cell r="L343">
            <v>177</v>
          </cell>
          <cell r="M343">
            <v>0</v>
          </cell>
          <cell r="N343">
            <v>0</v>
          </cell>
          <cell r="O343">
            <v>323666</v>
          </cell>
          <cell r="P343">
            <v>113487</v>
          </cell>
          <cell r="Q343">
            <v>74243</v>
          </cell>
          <cell r="R343">
            <v>10296</v>
          </cell>
          <cell r="S343">
            <v>0</v>
          </cell>
          <cell r="T343">
            <v>0</v>
          </cell>
          <cell r="U343">
            <v>23412</v>
          </cell>
          <cell r="V343">
            <v>0</v>
          </cell>
          <cell r="W343">
            <v>20545</v>
          </cell>
          <cell r="X343">
            <v>0</v>
          </cell>
          <cell r="Y343">
            <v>0</v>
          </cell>
          <cell r="Z343">
            <v>531941</v>
          </cell>
          <cell r="AA343">
            <v>542237</v>
          </cell>
          <cell r="AB343" t="str">
            <v>ERSA</v>
          </cell>
          <cell r="AC343">
            <v>1101</v>
          </cell>
          <cell r="AD343">
            <v>2</v>
          </cell>
          <cell r="AE343">
            <v>36007</v>
          </cell>
        </row>
        <row r="344">
          <cell r="A344" t="str">
            <v>SSE</v>
          </cell>
          <cell r="B344">
            <v>1</v>
          </cell>
          <cell r="C344" t="str">
            <v>DRME</v>
          </cell>
          <cell r="D344">
            <v>14</v>
          </cell>
          <cell r="E344">
            <v>5</v>
          </cell>
          <cell r="F344" t="str">
            <v xml:space="preserve">B </v>
          </cell>
          <cell r="G344">
            <v>0</v>
          </cell>
          <cell r="H344">
            <v>486</v>
          </cell>
          <cell r="I344">
            <v>136912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2596607</v>
          </cell>
          <cell r="P344">
            <v>0</v>
          </cell>
          <cell r="Q344">
            <v>0</v>
          </cell>
          <cell r="R344">
            <v>24619</v>
          </cell>
          <cell r="S344">
            <v>0</v>
          </cell>
          <cell r="T344">
            <v>85400</v>
          </cell>
          <cell r="U344">
            <v>458405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2596607</v>
          </cell>
          <cell r="AA344">
            <v>2706626</v>
          </cell>
          <cell r="AB344" t="str">
            <v>ERSA</v>
          </cell>
          <cell r="AC344">
            <v>1101</v>
          </cell>
          <cell r="AD344">
            <v>2</v>
          </cell>
          <cell r="AE344">
            <v>131659</v>
          </cell>
        </row>
        <row r="345">
          <cell r="A345" t="str">
            <v>SSE</v>
          </cell>
          <cell r="B345">
            <v>1</v>
          </cell>
          <cell r="C345" t="str">
            <v>DRME</v>
          </cell>
          <cell r="D345">
            <v>14</v>
          </cell>
          <cell r="E345">
            <v>6</v>
          </cell>
          <cell r="F345" t="str">
            <v xml:space="preserve">B </v>
          </cell>
          <cell r="G345">
            <v>0</v>
          </cell>
          <cell r="H345">
            <v>33</v>
          </cell>
          <cell r="I345">
            <v>259042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3052244</v>
          </cell>
          <cell r="P345">
            <v>0</v>
          </cell>
          <cell r="Q345">
            <v>0</v>
          </cell>
          <cell r="R345">
            <v>7107</v>
          </cell>
          <cell r="S345">
            <v>0</v>
          </cell>
          <cell r="T345">
            <v>0</v>
          </cell>
          <cell r="U345">
            <v>763062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3052244</v>
          </cell>
          <cell r="AA345">
            <v>3059351</v>
          </cell>
          <cell r="AB345" t="str">
            <v>ERSA</v>
          </cell>
          <cell r="AC345">
            <v>1101</v>
          </cell>
          <cell r="AD345">
            <v>2</v>
          </cell>
          <cell r="AE345">
            <v>259042</v>
          </cell>
        </row>
        <row r="346">
          <cell r="A346" t="str">
            <v>SSE</v>
          </cell>
          <cell r="B346">
            <v>1</v>
          </cell>
          <cell r="C346" t="str">
            <v>DRME</v>
          </cell>
          <cell r="D346">
            <v>14</v>
          </cell>
          <cell r="E346">
            <v>7</v>
          </cell>
          <cell r="F346" t="str">
            <v>A4</v>
          </cell>
          <cell r="G346">
            <v>20</v>
          </cell>
          <cell r="H346">
            <v>4</v>
          </cell>
          <cell r="I346">
            <v>132898</v>
          </cell>
          <cell r="J346">
            <v>0</v>
          </cell>
          <cell r="K346">
            <v>0</v>
          </cell>
          <cell r="L346">
            <v>330</v>
          </cell>
          <cell r="M346">
            <v>0</v>
          </cell>
          <cell r="N346">
            <v>0</v>
          </cell>
          <cell r="O346">
            <v>1296198</v>
          </cell>
          <cell r="P346">
            <v>219120</v>
          </cell>
          <cell r="Q346">
            <v>153867</v>
          </cell>
          <cell r="R346">
            <v>0</v>
          </cell>
          <cell r="S346">
            <v>0</v>
          </cell>
          <cell r="T346">
            <v>0</v>
          </cell>
          <cell r="U346">
            <v>441699</v>
          </cell>
          <cell r="V346">
            <v>0</v>
          </cell>
          <cell r="W346">
            <v>97608</v>
          </cell>
          <cell r="X346">
            <v>0</v>
          </cell>
          <cell r="Y346">
            <v>0</v>
          </cell>
          <cell r="Z346">
            <v>1766793</v>
          </cell>
          <cell r="AA346">
            <v>1766793</v>
          </cell>
          <cell r="AB346" t="str">
            <v>ERSA</v>
          </cell>
          <cell r="AC346">
            <v>1101</v>
          </cell>
          <cell r="AD346">
            <v>2</v>
          </cell>
          <cell r="AE346">
            <v>132898</v>
          </cell>
        </row>
        <row r="347">
          <cell r="A347" t="str">
            <v>SSE</v>
          </cell>
          <cell r="B347">
            <v>1</v>
          </cell>
          <cell r="C347" t="str">
            <v>DRME</v>
          </cell>
          <cell r="D347">
            <v>14</v>
          </cell>
          <cell r="E347">
            <v>7</v>
          </cell>
          <cell r="F347" t="str">
            <v xml:space="preserve">B </v>
          </cell>
          <cell r="G347">
            <v>0</v>
          </cell>
          <cell r="H347">
            <v>13</v>
          </cell>
          <cell r="I347">
            <v>13311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235533</v>
          </cell>
          <cell r="P347">
            <v>0</v>
          </cell>
          <cell r="Q347">
            <v>0</v>
          </cell>
          <cell r="R347">
            <v>422</v>
          </cell>
          <cell r="S347">
            <v>0</v>
          </cell>
          <cell r="T347">
            <v>0</v>
          </cell>
          <cell r="U347">
            <v>58883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235533</v>
          </cell>
          <cell r="AA347">
            <v>235955</v>
          </cell>
          <cell r="AB347" t="str">
            <v>ERSA</v>
          </cell>
          <cell r="AC347">
            <v>1101</v>
          </cell>
          <cell r="AD347">
            <v>2</v>
          </cell>
          <cell r="AE347">
            <v>12985</v>
          </cell>
        </row>
        <row r="348">
          <cell r="A348" t="str">
            <v>SSE</v>
          </cell>
          <cell r="B348">
            <v>1</v>
          </cell>
          <cell r="C348" t="str">
            <v>DRME</v>
          </cell>
          <cell r="D348">
            <v>14</v>
          </cell>
          <cell r="E348">
            <v>8</v>
          </cell>
          <cell r="F348" t="str">
            <v xml:space="preserve">B </v>
          </cell>
          <cell r="G348">
            <v>0</v>
          </cell>
          <cell r="H348">
            <v>7</v>
          </cell>
          <cell r="I348">
            <v>6948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144646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36161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144646</v>
          </cell>
          <cell r="AA348">
            <v>144646</v>
          </cell>
          <cell r="AB348" t="str">
            <v>ERSA</v>
          </cell>
          <cell r="AC348">
            <v>1101</v>
          </cell>
          <cell r="AD348">
            <v>2</v>
          </cell>
          <cell r="AE348">
            <v>6948</v>
          </cell>
        </row>
        <row r="349">
          <cell r="A349" t="str">
            <v>SSE</v>
          </cell>
          <cell r="B349">
            <v>1</v>
          </cell>
          <cell r="C349" t="str">
            <v>DRME</v>
          </cell>
          <cell r="D349">
            <v>15</v>
          </cell>
          <cell r="E349">
            <v>1</v>
          </cell>
          <cell r="F349" t="str">
            <v xml:space="preserve">B </v>
          </cell>
          <cell r="G349">
            <v>1</v>
          </cell>
          <cell r="H349">
            <v>8218</v>
          </cell>
          <cell r="I349">
            <v>166470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2689581</v>
          </cell>
          <cell r="P349">
            <v>0</v>
          </cell>
          <cell r="Q349">
            <v>0</v>
          </cell>
          <cell r="R349">
            <v>14022</v>
          </cell>
          <cell r="S349">
            <v>0</v>
          </cell>
          <cell r="T349">
            <v>60545</v>
          </cell>
          <cell r="U349">
            <v>0</v>
          </cell>
          <cell r="V349">
            <v>12510</v>
          </cell>
          <cell r="W349">
            <v>0</v>
          </cell>
          <cell r="X349">
            <v>0</v>
          </cell>
          <cell r="Y349">
            <v>14216</v>
          </cell>
          <cell r="Z349">
            <v>2689581</v>
          </cell>
          <cell r="AA349">
            <v>2790874</v>
          </cell>
          <cell r="AB349" t="str">
            <v>ERSJ</v>
          </cell>
          <cell r="AC349">
            <v>1101</v>
          </cell>
          <cell r="AD349">
            <v>2</v>
          </cell>
          <cell r="AE349">
            <v>114887</v>
          </cell>
        </row>
        <row r="350">
          <cell r="A350" t="str">
            <v>SSE</v>
          </cell>
          <cell r="B350">
            <v>1</v>
          </cell>
          <cell r="C350" t="str">
            <v>DRME</v>
          </cell>
          <cell r="D350">
            <v>15</v>
          </cell>
          <cell r="E350">
            <v>1</v>
          </cell>
          <cell r="F350" t="str">
            <v xml:space="preserve">B </v>
          </cell>
          <cell r="G350">
            <v>2</v>
          </cell>
          <cell r="H350">
            <v>3508</v>
          </cell>
          <cell r="I350">
            <v>143397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2782437</v>
          </cell>
          <cell r="P350">
            <v>0</v>
          </cell>
          <cell r="Q350">
            <v>0</v>
          </cell>
          <cell r="R350">
            <v>16088</v>
          </cell>
          <cell r="S350">
            <v>0</v>
          </cell>
          <cell r="T350">
            <v>13868</v>
          </cell>
          <cell r="U350">
            <v>472897</v>
          </cell>
          <cell r="V350">
            <v>8559</v>
          </cell>
          <cell r="W350">
            <v>0</v>
          </cell>
          <cell r="X350">
            <v>0</v>
          </cell>
          <cell r="Y350">
            <v>6642</v>
          </cell>
          <cell r="Z350">
            <v>2782437</v>
          </cell>
          <cell r="AA350">
            <v>2827594</v>
          </cell>
          <cell r="AB350" t="str">
            <v>ERSJ</v>
          </cell>
          <cell r="AC350">
            <v>1101</v>
          </cell>
          <cell r="AD350">
            <v>2</v>
          </cell>
          <cell r="AE350">
            <v>143397</v>
          </cell>
        </row>
        <row r="351">
          <cell r="A351" t="str">
            <v>SSE</v>
          </cell>
          <cell r="B351">
            <v>1</v>
          </cell>
          <cell r="C351" t="str">
            <v>DRME</v>
          </cell>
          <cell r="D351">
            <v>15</v>
          </cell>
          <cell r="E351">
            <v>1</v>
          </cell>
          <cell r="F351" t="str">
            <v xml:space="preserve">B </v>
          </cell>
          <cell r="G351">
            <v>3</v>
          </cell>
          <cell r="H351">
            <v>5899</v>
          </cell>
          <cell r="I351">
            <v>405156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7857737</v>
          </cell>
          <cell r="P351">
            <v>0</v>
          </cell>
          <cell r="Q351">
            <v>0</v>
          </cell>
          <cell r="R351">
            <v>46403</v>
          </cell>
          <cell r="S351">
            <v>0</v>
          </cell>
          <cell r="T351">
            <v>22489</v>
          </cell>
          <cell r="U351">
            <v>1335842</v>
          </cell>
          <cell r="V351">
            <v>9875</v>
          </cell>
          <cell r="W351">
            <v>0</v>
          </cell>
          <cell r="X351">
            <v>0</v>
          </cell>
          <cell r="Y351">
            <v>18656</v>
          </cell>
          <cell r="Z351">
            <v>7857737</v>
          </cell>
          <cell r="AA351">
            <v>7955160</v>
          </cell>
          <cell r="AB351" t="str">
            <v>ERSJ</v>
          </cell>
          <cell r="AC351">
            <v>1101</v>
          </cell>
          <cell r="AD351">
            <v>2</v>
          </cell>
          <cell r="AE351">
            <v>404888</v>
          </cell>
        </row>
        <row r="352">
          <cell r="A352" t="str">
            <v>SSE</v>
          </cell>
          <cell r="B352">
            <v>1</v>
          </cell>
          <cell r="C352" t="str">
            <v>DRME</v>
          </cell>
          <cell r="D352">
            <v>15</v>
          </cell>
          <cell r="E352">
            <v>1</v>
          </cell>
          <cell r="F352" t="str">
            <v xml:space="preserve">B </v>
          </cell>
          <cell r="G352">
            <v>4</v>
          </cell>
          <cell r="H352">
            <v>788</v>
          </cell>
          <cell r="I352">
            <v>92644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1796981</v>
          </cell>
          <cell r="P352">
            <v>0</v>
          </cell>
          <cell r="Q352">
            <v>0</v>
          </cell>
          <cell r="R352">
            <v>15719</v>
          </cell>
          <cell r="S352">
            <v>0</v>
          </cell>
          <cell r="T352">
            <v>12289</v>
          </cell>
          <cell r="U352">
            <v>305503</v>
          </cell>
          <cell r="V352">
            <v>2544</v>
          </cell>
          <cell r="W352">
            <v>0</v>
          </cell>
          <cell r="X352">
            <v>0</v>
          </cell>
          <cell r="Y352">
            <v>3973</v>
          </cell>
          <cell r="Z352">
            <v>1796981</v>
          </cell>
          <cell r="AA352">
            <v>1831506</v>
          </cell>
          <cell r="AB352" t="str">
            <v>ERSJ</v>
          </cell>
          <cell r="AC352">
            <v>1101</v>
          </cell>
          <cell r="AD352">
            <v>2</v>
          </cell>
          <cell r="AE352">
            <v>92644</v>
          </cell>
        </row>
        <row r="353">
          <cell r="A353" t="str">
            <v>SSE</v>
          </cell>
          <cell r="B353">
            <v>1</v>
          </cell>
          <cell r="C353" t="str">
            <v>DRME</v>
          </cell>
          <cell r="D353">
            <v>15</v>
          </cell>
          <cell r="E353">
            <v>1</v>
          </cell>
          <cell r="F353" t="str">
            <v xml:space="preserve">B </v>
          </cell>
          <cell r="G353">
            <v>5</v>
          </cell>
          <cell r="H353">
            <v>168</v>
          </cell>
          <cell r="I353">
            <v>28860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559755</v>
          </cell>
          <cell r="P353">
            <v>0</v>
          </cell>
          <cell r="Q353">
            <v>0</v>
          </cell>
          <cell r="R353">
            <v>4767</v>
          </cell>
          <cell r="S353">
            <v>0</v>
          </cell>
          <cell r="T353">
            <v>5636</v>
          </cell>
          <cell r="U353">
            <v>95159</v>
          </cell>
          <cell r="V353">
            <v>659</v>
          </cell>
          <cell r="W353">
            <v>0</v>
          </cell>
          <cell r="X353">
            <v>0</v>
          </cell>
          <cell r="Y353">
            <v>672</v>
          </cell>
          <cell r="Z353">
            <v>559755</v>
          </cell>
          <cell r="AA353">
            <v>571489</v>
          </cell>
          <cell r="AB353" t="str">
            <v>ERSJ</v>
          </cell>
          <cell r="AC353">
            <v>1101</v>
          </cell>
          <cell r="AD353">
            <v>2</v>
          </cell>
          <cell r="AE353">
            <v>28860</v>
          </cell>
        </row>
        <row r="354">
          <cell r="A354" t="str">
            <v>SSE</v>
          </cell>
          <cell r="B354">
            <v>1</v>
          </cell>
          <cell r="C354" t="str">
            <v>DRME</v>
          </cell>
          <cell r="D354">
            <v>15</v>
          </cell>
          <cell r="E354">
            <v>1</v>
          </cell>
          <cell r="F354" t="str">
            <v xml:space="preserve">B </v>
          </cell>
          <cell r="G354">
            <v>6</v>
          </cell>
          <cell r="H354">
            <v>116</v>
          </cell>
          <cell r="I354">
            <v>27701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537311</v>
          </cell>
          <cell r="P354">
            <v>0</v>
          </cell>
          <cell r="Q354">
            <v>0</v>
          </cell>
          <cell r="R354">
            <v>4567</v>
          </cell>
          <cell r="S354">
            <v>0</v>
          </cell>
          <cell r="T354">
            <v>4743</v>
          </cell>
          <cell r="U354">
            <v>91365</v>
          </cell>
          <cell r="V354">
            <v>189</v>
          </cell>
          <cell r="W354">
            <v>0</v>
          </cell>
          <cell r="X354">
            <v>0</v>
          </cell>
          <cell r="Y354">
            <v>552</v>
          </cell>
          <cell r="Z354">
            <v>537311</v>
          </cell>
          <cell r="AA354">
            <v>547362</v>
          </cell>
          <cell r="AB354" t="str">
            <v>ERSJ</v>
          </cell>
          <cell r="AC354">
            <v>1101</v>
          </cell>
          <cell r="AD354">
            <v>2</v>
          </cell>
          <cell r="AE354">
            <v>27701</v>
          </cell>
        </row>
        <row r="355">
          <cell r="A355" t="str">
            <v>SSE</v>
          </cell>
          <cell r="B355">
            <v>1</v>
          </cell>
          <cell r="C355" t="str">
            <v>DRME</v>
          </cell>
          <cell r="D355">
            <v>15</v>
          </cell>
          <cell r="E355">
            <v>1</v>
          </cell>
          <cell r="F355" t="str">
            <v xml:space="preserve">B </v>
          </cell>
          <cell r="G355">
            <v>7</v>
          </cell>
          <cell r="H355">
            <v>34</v>
          </cell>
          <cell r="I355">
            <v>11709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235642</v>
          </cell>
          <cell r="P355">
            <v>0</v>
          </cell>
          <cell r="Q355">
            <v>0</v>
          </cell>
          <cell r="R355">
            <v>1760</v>
          </cell>
          <cell r="S355">
            <v>0</v>
          </cell>
          <cell r="T355">
            <v>1661</v>
          </cell>
          <cell r="U355">
            <v>47137</v>
          </cell>
          <cell r="V355">
            <v>0</v>
          </cell>
          <cell r="W355">
            <v>0</v>
          </cell>
          <cell r="X355">
            <v>0</v>
          </cell>
          <cell r="Y355">
            <v>168</v>
          </cell>
          <cell r="Z355">
            <v>235642</v>
          </cell>
          <cell r="AA355">
            <v>239231</v>
          </cell>
          <cell r="AB355" t="str">
            <v>ERSJ</v>
          </cell>
          <cell r="AC355">
            <v>1101</v>
          </cell>
          <cell r="AD355">
            <v>2</v>
          </cell>
          <cell r="AE355">
            <v>11709</v>
          </cell>
        </row>
        <row r="356">
          <cell r="A356" t="str">
            <v>SSE</v>
          </cell>
          <cell r="B356">
            <v>1</v>
          </cell>
          <cell r="C356" t="str">
            <v>DRME</v>
          </cell>
          <cell r="D356">
            <v>15</v>
          </cell>
          <cell r="E356">
            <v>1</v>
          </cell>
          <cell r="F356" t="str">
            <v xml:space="preserve">B </v>
          </cell>
          <cell r="G356">
            <v>8</v>
          </cell>
          <cell r="H356">
            <v>10</v>
          </cell>
          <cell r="I356">
            <v>4471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89971</v>
          </cell>
          <cell r="P356">
            <v>0</v>
          </cell>
          <cell r="Q356">
            <v>0</v>
          </cell>
          <cell r="R356">
            <v>1440</v>
          </cell>
          <cell r="S356">
            <v>0</v>
          </cell>
          <cell r="T356">
            <v>1000</v>
          </cell>
          <cell r="U356">
            <v>17997</v>
          </cell>
          <cell r="V356">
            <v>0</v>
          </cell>
          <cell r="W356">
            <v>0</v>
          </cell>
          <cell r="X356">
            <v>0</v>
          </cell>
          <cell r="Y356">
            <v>48</v>
          </cell>
          <cell r="Z356">
            <v>89971</v>
          </cell>
          <cell r="AA356">
            <v>92459</v>
          </cell>
          <cell r="AB356" t="str">
            <v>ERSJ</v>
          </cell>
          <cell r="AC356">
            <v>1101</v>
          </cell>
          <cell r="AD356">
            <v>2</v>
          </cell>
          <cell r="AE356">
            <v>4471</v>
          </cell>
        </row>
        <row r="357">
          <cell r="A357" t="str">
            <v>SSE</v>
          </cell>
          <cell r="B357">
            <v>1</v>
          </cell>
          <cell r="C357" t="str">
            <v>DRME</v>
          </cell>
          <cell r="D357">
            <v>15</v>
          </cell>
          <cell r="E357">
            <v>1</v>
          </cell>
          <cell r="F357" t="str">
            <v xml:space="preserve">B </v>
          </cell>
          <cell r="G357">
            <v>9</v>
          </cell>
          <cell r="H357">
            <v>10</v>
          </cell>
          <cell r="I357">
            <v>6357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136436</v>
          </cell>
          <cell r="P357">
            <v>0</v>
          </cell>
          <cell r="Q357">
            <v>0</v>
          </cell>
          <cell r="R357">
            <v>2664</v>
          </cell>
          <cell r="S357">
            <v>0</v>
          </cell>
          <cell r="T357">
            <v>7752</v>
          </cell>
          <cell r="U357">
            <v>34119</v>
          </cell>
          <cell r="V357">
            <v>0</v>
          </cell>
          <cell r="W357">
            <v>0</v>
          </cell>
          <cell r="X357">
            <v>0</v>
          </cell>
          <cell r="Y357">
            <v>96</v>
          </cell>
          <cell r="Z357">
            <v>136436</v>
          </cell>
          <cell r="AA357">
            <v>146948</v>
          </cell>
          <cell r="AB357" t="str">
            <v>ERSJ</v>
          </cell>
          <cell r="AC357">
            <v>1101</v>
          </cell>
          <cell r="AD357">
            <v>2</v>
          </cell>
          <cell r="AE357">
            <v>6357</v>
          </cell>
        </row>
        <row r="358">
          <cell r="A358" t="str">
            <v>SSE</v>
          </cell>
          <cell r="B358">
            <v>1</v>
          </cell>
          <cell r="C358" t="str">
            <v>DRME</v>
          </cell>
          <cell r="D358">
            <v>15</v>
          </cell>
          <cell r="E358">
            <v>1</v>
          </cell>
          <cell r="F358" t="str">
            <v xml:space="preserve">B </v>
          </cell>
          <cell r="G358">
            <v>10</v>
          </cell>
          <cell r="H358">
            <v>2</v>
          </cell>
          <cell r="I358">
            <v>877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18822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295</v>
          </cell>
          <cell r="U358">
            <v>4704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18822</v>
          </cell>
          <cell r="AA358">
            <v>19117</v>
          </cell>
          <cell r="AB358" t="str">
            <v>ERSJ</v>
          </cell>
          <cell r="AC358">
            <v>1101</v>
          </cell>
          <cell r="AD358">
            <v>2</v>
          </cell>
          <cell r="AE358">
            <v>877</v>
          </cell>
        </row>
        <row r="359">
          <cell r="A359" t="str">
            <v>SSE</v>
          </cell>
          <cell r="B359">
            <v>1</v>
          </cell>
          <cell r="C359" t="str">
            <v>DRME</v>
          </cell>
          <cell r="D359">
            <v>15</v>
          </cell>
          <cell r="E359">
            <v>1</v>
          </cell>
          <cell r="F359" t="str">
            <v xml:space="preserve">B </v>
          </cell>
          <cell r="G359">
            <v>11</v>
          </cell>
          <cell r="H359">
            <v>162</v>
          </cell>
          <cell r="I359">
            <v>3843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21784</v>
          </cell>
          <cell r="P359">
            <v>0</v>
          </cell>
          <cell r="Q359">
            <v>0</v>
          </cell>
          <cell r="R359">
            <v>836</v>
          </cell>
          <cell r="S359">
            <v>0</v>
          </cell>
          <cell r="T359">
            <v>2065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252</v>
          </cell>
          <cell r="Z359">
            <v>21784</v>
          </cell>
          <cell r="AA359">
            <v>24937</v>
          </cell>
          <cell r="AB359" t="str">
            <v>ERSJ</v>
          </cell>
          <cell r="AC359">
            <v>1101</v>
          </cell>
          <cell r="AD359">
            <v>2</v>
          </cell>
          <cell r="AE359">
            <v>2578</v>
          </cell>
        </row>
        <row r="360">
          <cell r="A360" t="str">
            <v>SSE</v>
          </cell>
          <cell r="B360">
            <v>1</v>
          </cell>
          <cell r="C360" t="str">
            <v>DRME</v>
          </cell>
          <cell r="D360">
            <v>15</v>
          </cell>
          <cell r="E360">
            <v>1</v>
          </cell>
          <cell r="F360" t="str">
            <v xml:space="preserve">B </v>
          </cell>
          <cell r="G360">
            <v>12</v>
          </cell>
          <cell r="H360">
            <v>85</v>
          </cell>
          <cell r="I360">
            <v>4780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43263</v>
          </cell>
          <cell r="P360">
            <v>0</v>
          </cell>
          <cell r="Q360">
            <v>0</v>
          </cell>
          <cell r="R360">
            <v>407</v>
          </cell>
          <cell r="S360">
            <v>0</v>
          </cell>
          <cell r="T360">
            <v>437</v>
          </cell>
          <cell r="U360">
            <v>7355</v>
          </cell>
          <cell r="V360">
            <v>94</v>
          </cell>
          <cell r="W360">
            <v>0</v>
          </cell>
          <cell r="X360">
            <v>0</v>
          </cell>
          <cell r="Y360">
            <v>181</v>
          </cell>
          <cell r="Z360">
            <v>43263</v>
          </cell>
          <cell r="AA360">
            <v>44382</v>
          </cell>
          <cell r="AB360" t="str">
            <v>ERSJ</v>
          </cell>
          <cell r="AC360">
            <v>1101</v>
          </cell>
          <cell r="AD360">
            <v>2</v>
          </cell>
          <cell r="AE360">
            <v>4780</v>
          </cell>
        </row>
        <row r="361">
          <cell r="A361" t="str">
            <v>SSE</v>
          </cell>
          <cell r="B361">
            <v>1</v>
          </cell>
          <cell r="C361" t="str">
            <v>DRME</v>
          </cell>
          <cell r="D361">
            <v>15</v>
          </cell>
          <cell r="E361">
            <v>1</v>
          </cell>
          <cell r="F361" t="str">
            <v xml:space="preserve">B </v>
          </cell>
          <cell r="G361">
            <v>13</v>
          </cell>
          <cell r="H361">
            <v>3</v>
          </cell>
          <cell r="I361">
            <v>335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3664</v>
          </cell>
          <cell r="P361">
            <v>0</v>
          </cell>
          <cell r="Q361">
            <v>0</v>
          </cell>
          <cell r="R361">
            <v>81</v>
          </cell>
          <cell r="S361">
            <v>0</v>
          </cell>
          <cell r="T361">
            <v>0</v>
          </cell>
          <cell r="U361">
            <v>623</v>
          </cell>
          <cell r="V361">
            <v>0</v>
          </cell>
          <cell r="W361">
            <v>0</v>
          </cell>
          <cell r="X361">
            <v>0</v>
          </cell>
          <cell r="Y361">
            <v>24</v>
          </cell>
          <cell r="Z361">
            <v>3664</v>
          </cell>
          <cell r="AA361">
            <v>3769</v>
          </cell>
          <cell r="AB361" t="str">
            <v>ERSJ</v>
          </cell>
          <cell r="AC361">
            <v>1101</v>
          </cell>
          <cell r="AD361">
            <v>2</v>
          </cell>
          <cell r="AE361">
            <v>335</v>
          </cell>
        </row>
        <row r="362">
          <cell r="A362" t="str">
            <v>SSE</v>
          </cell>
          <cell r="B362">
            <v>1</v>
          </cell>
          <cell r="C362" t="str">
            <v>DRME</v>
          </cell>
          <cell r="D362">
            <v>15</v>
          </cell>
          <cell r="E362">
            <v>2</v>
          </cell>
          <cell r="F362" t="str">
            <v xml:space="preserve">B </v>
          </cell>
          <cell r="G362">
            <v>0</v>
          </cell>
          <cell r="H362">
            <v>134</v>
          </cell>
          <cell r="I362">
            <v>54787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1140619</v>
          </cell>
          <cell r="P362">
            <v>0</v>
          </cell>
          <cell r="Q362">
            <v>0</v>
          </cell>
          <cell r="R362">
            <v>16246</v>
          </cell>
          <cell r="S362">
            <v>0</v>
          </cell>
          <cell r="T362">
            <v>18101</v>
          </cell>
          <cell r="U362">
            <v>283854</v>
          </cell>
          <cell r="V362">
            <v>94</v>
          </cell>
          <cell r="W362">
            <v>0</v>
          </cell>
          <cell r="X362">
            <v>0</v>
          </cell>
          <cell r="Y362">
            <v>408</v>
          </cell>
          <cell r="Z362">
            <v>1140619</v>
          </cell>
          <cell r="AA362">
            <v>1175468</v>
          </cell>
          <cell r="AB362" t="str">
            <v>ERSJ</v>
          </cell>
          <cell r="AC362">
            <v>1101</v>
          </cell>
          <cell r="AD362">
            <v>2</v>
          </cell>
          <cell r="AE362">
            <v>52125</v>
          </cell>
        </row>
        <row r="363">
          <cell r="A363" t="str">
            <v>SSE</v>
          </cell>
          <cell r="B363">
            <v>1</v>
          </cell>
          <cell r="C363" t="str">
            <v>DRME</v>
          </cell>
          <cell r="D363">
            <v>15</v>
          </cell>
          <cell r="E363">
            <v>3</v>
          </cell>
          <cell r="F363" t="str">
            <v>A4</v>
          </cell>
          <cell r="G363">
            <v>20</v>
          </cell>
          <cell r="H363">
            <v>2</v>
          </cell>
          <cell r="I363">
            <v>13735</v>
          </cell>
          <cell r="J363">
            <v>0</v>
          </cell>
          <cell r="K363">
            <v>0</v>
          </cell>
          <cell r="L363">
            <v>59</v>
          </cell>
          <cell r="M363">
            <v>0</v>
          </cell>
          <cell r="N363">
            <v>0</v>
          </cell>
          <cell r="O363">
            <v>157604</v>
          </cell>
          <cell r="P363">
            <v>46177</v>
          </cell>
          <cell r="Q363">
            <v>8136</v>
          </cell>
          <cell r="R363">
            <v>2636</v>
          </cell>
          <cell r="S363">
            <v>0</v>
          </cell>
          <cell r="T363">
            <v>0</v>
          </cell>
          <cell r="U363">
            <v>53566</v>
          </cell>
          <cell r="V363">
            <v>0</v>
          </cell>
          <cell r="W363">
            <v>2348</v>
          </cell>
          <cell r="X363">
            <v>0</v>
          </cell>
          <cell r="Y363">
            <v>0</v>
          </cell>
          <cell r="Z363">
            <v>214265</v>
          </cell>
          <cell r="AA363">
            <v>216901</v>
          </cell>
          <cell r="AB363" t="str">
            <v>ERSJ</v>
          </cell>
          <cell r="AC363">
            <v>1101</v>
          </cell>
          <cell r="AD363">
            <v>2</v>
          </cell>
          <cell r="AE363">
            <v>13735</v>
          </cell>
        </row>
        <row r="364">
          <cell r="A364" t="str">
            <v>SSE</v>
          </cell>
          <cell r="B364">
            <v>1</v>
          </cell>
          <cell r="C364" t="str">
            <v>DRME</v>
          </cell>
          <cell r="D364">
            <v>15</v>
          </cell>
          <cell r="E364">
            <v>3</v>
          </cell>
          <cell r="F364" t="str">
            <v xml:space="preserve">B </v>
          </cell>
          <cell r="G364">
            <v>0</v>
          </cell>
          <cell r="H364">
            <v>1298</v>
          </cell>
          <cell r="I364">
            <v>146037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3041867</v>
          </cell>
          <cell r="P364">
            <v>0</v>
          </cell>
          <cell r="Q364">
            <v>0</v>
          </cell>
          <cell r="R364">
            <v>26912</v>
          </cell>
          <cell r="S364">
            <v>0</v>
          </cell>
          <cell r="T364">
            <v>32739</v>
          </cell>
          <cell r="U364">
            <v>747022</v>
          </cell>
          <cell r="V364">
            <v>943</v>
          </cell>
          <cell r="W364">
            <v>0</v>
          </cell>
          <cell r="X364">
            <v>0</v>
          </cell>
          <cell r="Y364">
            <v>4474</v>
          </cell>
          <cell r="Z364">
            <v>3041867</v>
          </cell>
          <cell r="AA364">
            <v>3106935</v>
          </cell>
          <cell r="AB364" t="str">
            <v>ERSJ</v>
          </cell>
          <cell r="AC364">
            <v>1101</v>
          </cell>
          <cell r="AD364">
            <v>2</v>
          </cell>
          <cell r="AE364">
            <v>132979</v>
          </cell>
        </row>
        <row r="365">
          <cell r="A365" t="str">
            <v>SSE</v>
          </cell>
          <cell r="B365">
            <v>1</v>
          </cell>
          <cell r="C365" t="str">
            <v>DRME</v>
          </cell>
          <cell r="D365">
            <v>15</v>
          </cell>
          <cell r="E365">
            <v>4</v>
          </cell>
          <cell r="F365" t="str">
            <v>A4</v>
          </cell>
          <cell r="G365">
            <v>21</v>
          </cell>
          <cell r="H365">
            <v>1</v>
          </cell>
          <cell r="I365">
            <v>123463</v>
          </cell>
          <cell r="J365">
            <v>2511</v>
          </cell>
          <cell r="K365">
            <v>120952</v>
          </cell>
          <cell r="L365">
            <v>414</v>
          </cell>
          <cell r="M365">
            <v>414</v>
          </cell>
          <cell r="N365">
            <v>0</v>
          </cell>
          <cell r="O365">
            <v>631298</v>
          </cell>
          <cell r="P365">
            <v>192924</v>
          </cell>
          <cell r="Q365">
            <v>113397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26096</v>
          </cell>
          <cell r="X365">
            <v>0</v>
          </cell>
          <cell r="Y365">
            <v>0</v>
          </cell>
          <cell r="Z365">
            <v>963715</v>
          </cell>
          <cell r="AA365">
            <v>963715</v>
          </cell>
          <cell r="AB365" t="str">
            <v>ERSJ</v>
          </cell>
          <cell r="AC365">
            <v>1101</v>
          </cell>
          <cell r="AD365">
            <v>2</v>
          </cell>
          <cell r="AE365">
            <v>123463</v>
          </cell>
        </row>
        <row r="366">
          <cell r="A366" t="str">
            <v>SSE</v>
          </cell>
          <cell r="B366">
            <v>1</v>
          </cell>
          <cell r="C366" t="str">
            <v>DRME</v>
          </cell>
          <cell r="D366">
            <v>15</v>
          </cell>
          <cell r="E366">
            <v>4</v>
          </cell>
          <cell r="F366" t="str">
            <v>A4</v>
          </cell>
          <cell r="G366">
            <v>20</v>
          </cell>
          <cell r="H366">
            <v>3</v>
          </cell>
          <cell r="I366">
            <v>30075</v>
          </cell>
          <cell r="J366">
            <v>0</v>
          </cell>
          <cell r="K366">
            <v>0</v>
          </cell>
          <cell r="L366">
            <v>101</v>
          </cell>
          <cell r="M366">
            <v>0</v>
          </cell>
          <cell r="N366">
            <v>0</v>
          </cell>
          <cell r="O366">
            <v>232931</v>
          </cell>
          <cell r="P366">
            <v>53328</v>
          </cell>
          <cell r="Q366">
            <v>60504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17424</v>
          </cell>
          <cell r="X366">
            <v>0</v>
          </cell>
          <cell r="Y366">
            <v>0</v>
          </cell>
          <cell r="Z366">
            <v>364187</v>
          </cell>
          <cell r="AA366">
            <v>364187</v>
          </cell>
          <cell r="AB366" t="str">
            <v>ERSJ</v>
          </cell>
          <cell r="AC366">
            <v>1101</v>
          </cell>
          <cell r="AD366">
            <v>2</v>
          </cell>
          <cell r="AE366">
            <v>30075</v>
          </cell>
        </row>
        <row r="367">
          <cell r="A367" t="str">
            <v>SSE</v>
          </cell>
          <cell r="B367">
            <v>1</v>
          </cell>
          <cell r="C367" t="str">
            <v>DRME</v>
          </cell>
          <cell r="D367">
            <v>15</v>
          </cell>
          <cell r="E367">
            <v>4</v>
          </cell>
          <cell r="F367" t="str">
            <v xml:space="preserve">B </v>
          </cell>
          <cell r="G367">
            <v>0</v>
          </cell>
          <cell r="H367">
            <v>1046</v>
          </cell>
          <cell r="I367">
            <v>177709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1739932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53154</v>
          </cell>
          <cell r="U367">
            <v>0</v>
          </cell>
          <cell r="V367">
            <v>58884</v>
          </cell>
          <cell r="W367">
            <v>0</v>
          </cell>
          <cell r="X367">
            <v>0</v>
          </cell>
          <cell r="Y367">
            <v>0</v>
          </cell>
          <cell r="Z367">
            <v>1739932</v>
          </cell>
          <cell r="AA367">
            <v>1851970</v>
          </cell>
          <cell r="AB367" t="str">
            <v>ERSJ</v>
          </cell>
          <cell r="AC367">
            <v>1101</v>
          </cell>
          <cell r="AD367">
            <v>2</v>
          </cell>
          <cell r="AE367">
            <v>167085</v>
          </cell>
        </row>
        <row r="368">
          <cell r="A368" t="str">
            <v>SSE</v>
          </cell>
          <cell r="B368">
            <v>1</v>
          </cell>
          <cell r="C368" t="str">
            <v>DRME</v>
          </cell>
          <cell r="D368">
            <v>15</v>
          </cell>
          <cell r="E368">
            <v>5</v>
          </cell>
          <cell r="F368" t="str">
            <v xml:space="preserve">B </v>
          </cell>
          <cell r="G368">
            <v>0</v>
          </cell>
          <cell r="H368">
            <v>382</v>
          </cell>
          <cell r="I368">
            <v>79207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1574941</v>
          </cell>
          <cell r="P368">
            <v>0</v>
          </cell>
          <cell r="Q368">
            <v>0</v>
          </cell>
          <cell r="R368">
            <v>5699</v>
          </cell>
          <cell r="S368">
            <v>0</v>
          </cell>
          <cell r="T368">
            <v>14418</v>
          </cell>
          <cell r="U368">
            <v>338282</v>
          </cell>
          <cell r="V368">
            <v>848</v>
          </cell>
          <cell r="W368">
            <v>0</v>
          </cell>
          <cell r="X368">
            <v>0</v>
          </cell>
          <cell r="Y368">
            <v>0</v>
          </cell>
          <cell r="Z368">
            <v>1574941</v>
          </cell>
          <cell r="AA368">
            <v>1595906</v>
          </cell>
          <cell r="AB368" t="str">
            <v>ERSJ</v>
          </cell>
          <cell r="AC368">
            <v>1101</v>
          </cell>
          <cell r="AD368">
            <v>2</v>
          </cell>
          <cell r="AE368">
            <v>74959</v>
          </cell>
        </row>
        <row r="369">
          <cell r="A369" t="str">
            <v>SSE</v>
          </cell>
          <cell r="B369">
            <v>1</v>
          </cell>
          <cell r="C369" t="str">
            <v>DRME</v>
          </cell>
          <cell r="D369">
            <v>15</v>
          </cell>
          <cell r="E369">
            <v>6</v>
          </cell>
          <cell r="F369" t="str">
            <v xml:space="preserve">B </v>
          </cell>
          <cell r="G369">
            <v>0</v>
          </cell>
          <cell r="H369">
            <v>127</v>
          </cell>
          <cell r="I369">
            <v>143387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1718713</v>
          </cell>
          <cell r="P369">
            <v>0</v>
          </cell>
          <cell r="Q369">
            <v>0</v>
          </cell>
          <cell r="R369">
            <v>10128</v>
          </cell>
          <cell r="S369">
            <v>0</v>
          </cell>
          <cell r="T369">
            <v>0</v>
          </cell>
          <cell r="U369">
            <v>429680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1718713</v>
          </cell>
          <cell r="AA369">
            <v>1728841</v>
          </cell>
          <cell r="AB369" t="str">
            <v>ERSJ</v>
          </cell>
          <cell r="AC369">
            <v>1101</v>
          </cell>
          <cell r="AD369">
            <v>2</v>
          </cell>
          <cell r="AE369">
            <v>143387</v>
          </cell>
        </row>
        <row r="370">
          <cell r="A370" t="str">
            <v>SSE</v>
          </cell>
          <cell r="B370">
            <v>1</v>
          </cell>
          <cell r="C370" t="str">
            <v>DRME</v>
          </cell>
          <cell r="D370">
            <v>15</v>
          </cell>
          <cell r="E370">
            <v>7</v>
          </cell>
          <cell r="F370" t="str">
            <v>A4</v>
          </cell>
          <cell r="G370">
            <v>20</v>
          </cell>
          <cell r="H370">
            <v>5</v>
          </cell>
          <cell r="I370">
            <v>46433</v>
          </cell>
          <cell r="J370">
            <v>0</v>
          </cell>
          <cell r="K370">
            <v>0</v>
          </cell>
          <cell r="L370">
            <v>128</v>
          </cell>
          <cell r="M370">
            <v>0</v>
          </cell>
          <cell r="N370">
            <v>0</v>
          </cell>
          <cell r="O370">
            <v>452876</v>
          </cell>
          <cell r="P370">
            <v>84992</v>
          </cell>
          <cell r="Q370">
            <v>31805</v>
          </cell>
          <cell r="R370">
            <v>0</v>
          </cell>
          <cell r="S370">
            <v>0</v>
          </cell>
          <cell r="T370">
            <v>0</v>
          </cell>
          <cell r="U370">
            <v>143747</v>
          </cell>
          <cell r="V370">
            <v>0</v>
          </cell>
          <cell r="W370">
            <v>5312</v>
          </cell>
          <cell r="X370">
            <v>0</v>
          </cell>
          <cell r="Y370">
            <v>0</v>
          </cell>
          <cell r="Z370">
            <v>574985</v>
          </cell>
          <cell r="AA370">
            <v>574985</v>
          </cell>
          <cell r="AB370" t="str">
            <v>ERSJ</v>
          </cell>
          <cell r="AC370">
            <v>1101</v>
          </cell>
          <cell r="AD370">
            <v>2</v>
          </cell>
          <cell r="AE370">
            <v>46433</v>
          </cell>
        </row>
        <row r="371">
          <cell r="A371" t="str">
            <v>SSE</v>
          </cell>
          <cell r="B371">
            <v>1</v>
          </cell>
          <cell r="C371" t="str">
            <v>DRME</v>
          </cell>
          <cell r="D371">
            <v>15</v>
          </cell>
          <cell r="E371">
            <v>7</v>
          </cell>
          <cell r="F371" t="str">
            <v xml:space="preserve">B </v>
          </cell>
          <cell r="G371">
            <v>0</v>
          </cell>
          <cell r="H371">
            <v>7</v>
          </cell>
          <cell r="I371">
            <v>7134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126233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31557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126233</v>
          </cell>
          <cell r="AA371">
            <v>126233</v>
          </cell>
          <cell r="AB371" t="str">
            <v>ERSJ</v>
          </cell>
          <cell r="AC371">
            <v>1101</v>
          </cell>
          <cell r="AD371">
            <v>2</v>
          </cell>
          <cell r="AE371">
            <v>6962</v>
          </cell>
        </row>
        <row r="372">
          <cell r="A372" t="str">
            <v>SSE</v>
          </cell>
          <cell r="B372">
            <v>1</v>
          </cell>
          <cell r="C372" t="str">
            <v>DRME</v>
          </cell>
          <cell r="D372">
            <v>15</v>
          </cell>
          <cell r="E372">
            <v>8</v>
          </cell>
          <cell r="F372" t="str">
            <v xml:space="preserve">B </v>
          </cell>
          <cell r="G372">
            <v>0</v>
          </cell>
          <cell r="H372">
            <v>4</v>
          </cell>
          <cell r="I372">
            <v>2628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54709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13677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54709</v>
          </cell>
          <cell r="AA372">
            <v>54709</v>
          </cell>
          <cell r="AB372" t="str">
            <v>ERSJ</v>
          </cell>
          <cell r="AC372">
            <v>1101</v>
          </cell>
          <cell r="AD372">
            <v>2</v>
          </cell>
          <cell r="AE372">
            <v>2528</v>
          </cell>
        </row>
        <row r="373">
          <cell r="A373" t="str">
            <v>SSE</v>
          </cell>
          <cell r="B373">
            <v>1</v>
          </cell>
          <cell r="C373" t="str">
            <v>DRME</v>
          </cell>
          <cell r="D373">
            <v>15</v>
          </cell>
          <cell r="E373">
            <v>90</v>
          </cell>
          <cell r="F373" t="str">
            <v>A4</v>
          </cell>
          <cell r="G373">
            <v>20</v>
          </cell>
          <cell r="H373">
            <v>2</v>
          </cell>
          <cell r="I373">
            <v>180480</v>
          </cell>
          <cell r="J373">
            <v>0</v>
          </cell>
          <cell r="K373">
            <v>0</v>
          </cell>
          <cell r="L373">
            <v>506</v>
          </cell>
          <cell r="M373">
            <v>0</v>
          </cell>
          <cell r="N373">
            <v>0</v>
          </cell>
          <cell r="O373">
            <v>479355</v>
          </cell>
          <cell r="P373">
            <v>434654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914009</v>
          </cell>
          <cell r="AA373">
            <v>914009</v>
          </cell>
          <cell r="AB373" t="str">
            <v>ERSJ</v>
          </cell>
          <cell r="AC373">
            <v>1101</v>
          </cell>
          <cell r="AD373">
            <v>2</v>
          </cell>
          <cell r="AE373">
            <v>180480</v>
          </cell>
        </row>
        <row r="374">
          <cell r="A374" t="str">
            <v>SSE</v>
          </cell>
          <cell r="B374">
            <v>1</v>
          </cell>
          <cell r="C374" t="str">
            <v>DRME</v>
          </cell>
          <cell r="D374">
            <v>16</v>
          </cell>
          <cell r="E374">
            <v>1</v>
          </cell>
          <cell r="F374" t="str">
            <v xml:space="preserve">B </v>
          </cell>
          <cell r="G374">
            <v>1</v>
          </cell>
          <cell r="H374">
            <v>1421</v>
          </cell>
          <cell r="I374">
            <v>30625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497826</v>
          </cell>
          <cell r="P374">
            <v>0</v>
          </cell>
          <cell r="Q374">
            <v>0</v>
          </cell>
          <cell r="R374">
            <v>6634</v>
          </cell>
          <cell r="S374">
            <v>0</v>
          </cell>
          <cell r="T374">
            <v>55847</v>
          </cell>
          <cell r="U374">
            <v>0</v>
          </cell>
          <cell r="V374">
            <v>94</v>
          </cell>
          <cell r="W374">
            <v>0</v>
          </cell>
          <cell r="X374">
            <v>0</v>
          </cell>
          <cell r="Y374">
            <v>0</v>
          </cell>
          <cell r="Z374">
            <v>497826</v>
          </cell>
          <cell r="AA374">
            <v>560401</v>
          </cell>
          <cell r="AB374" t="str">
            <v>ERPE</v>
          </cell>
          <cell r="AC374">
            <v>1101</v>
          </cell>
          <cell r="AD374">
            <v>2</v>
          </cell>
          <cell r="AE374">
            <v>21907</v>
          </cell>
        </row>
        <row r="375">
          <cell r="A375" t="str">
            <v>SSE</v>
          </cell>
          <cell r="B375">
            <v>1</v>
          </cell>
          <cell r="C375" t="str">
            <v>DRME</v>
          </cell>
          <cell r="D375">
            <v>16</v>
          </cell>
          <cell r="E375">
            <v>1</v>
          </cell>
          <cell r="F375" t="str">
            <v xml:space="preserve">B </v>
          </cell>
          <cell r="G375">
            <v>2</v>
          </cell>
          <cell r="H375">
            <v>880</v>
          </cell>
          <cell r="I375">
            <v>35765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693663</v>
          </cell>
          <cell r="P375">
            <v>0</v>
          </cell>
          <cell r="Q375">
            <v>0</v>
          </cell>
          <cell r="R375">
            <v>4970</v>
          </cell>
          <cell r="S375">
            <v>0</v>
          </cell>
          <cell r="T375">
            <v>10593</v>
          </cell>
          <cell r="U375">
            <v>117894</v>
          </cell>
          <cell r="V375">
            <v>94</v>
          </cell>
          <cell r="W375">
            <v>0</v>
          </cell>
          <cell r="X375">
            <v>0</v>
          </cell>
          <cell r="Y375">
            <v>0</v>
          </cell>
          <cell r="Z375">
            <v>693663</v>
          </cell>
          <cell r="AA375">
            <v>709320</v>
          </cell>
          <cell r="AB375" t="str">
            <v>ERPE</v>
          </cell>
          <cell r="AC375">
            <v>1101</v>
          </cell>
          <cell r="AD375">
            <v>2</v>
          </cell>
          <cell r="AE375">
            <v>35765</v>
          </cell>
        </row>
        <row r="376">
          <cell r="A376" t="str">
            <v>SSE</v>
          </cell>
          <cell r="B376">
            <v>1</v>
          </cell>
          <cell r="C376" t="str">
            <v>DRME</v>
          </cell>
          <cell r="D376">
            <v>16</v>
          </cell>
          <cell r="E376">
            <v>1</v>
          </cell>
          <cell r="F376" t="str">
            <v xml:space="preserve">B </v>
          </cell>
          <cell r="G376">
            <v>3</v>
          </cell>
          <cell r="H376">
            <v>2862</v>
          </cell>
          <cell r="I376">
            <v>216514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4199022</v>
          </cell>
          <cell r="P376">
            <v>0</v>
          </cell>
          <cell r="Q376">
            <v>0</v>
          </cell>
          <cell r="R376">
            <v>30873</v>
          </cell>
          <cell r="S376">
            <v>0</v>
          </cell>
          <cell r="T376">
            <v>67502</v>
          </cell>
          <cell r="U376">
            <v>713805</v>
          </cell>
          <cell r="V376">
            <v>94</v>
          </cell>
          <cell r="W376">
            <v>0</v>
          </cell>
          <cell r="X376">
            <v>0</v>
          </cell>
          <cell r="Y376">
            <v>0</v>
          </cell>
          <cell r="Z376">
            <v>4199022</v>
          </cell>
          <cell r="AA376">
            <v>4297491</v>
          </cell>
          <cell r="AB376" t="str">
            <v>ERPE</v>
          </cell>
          <cell r="AC376">
            <v>1101</v>
          </cell>
          <cell r="AD376">
            <v>2</v>
          </cell>
          <cell r="AE376">
            <v>215038</v>
          </cell>
        </row>
        <row r="377">
          <cell r="A377" t="str">
            <v>SSE</v>
          </cell>
          <cell r="B377">
            <v>1</v>
          </cell>
          <cell r="C377" t="str">
            <v>DRME</v>
          </cell>
          <cell r="D377">
            <v>16</v>
          </cell>
          <cell r="E377">
            <v>1</v>
          </cell>
          <cell r="F377" t="str">
            <v xml:space="preserve">B </v>
          </cell>
          <cell r="G377">
            <v>4</v>
          </cell>
          <cell r="H377">
            <v>1300</v>
          </cell>
          <cell r="I377">
            <v>156610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3037701</v>
          </cell>
          <cell r="P377">
            <v>0</v>
          </cell>
          <cell r="Q377">
            <v>0</v>
          </cell>
          <cell r="R377">
            <v>21964</v>
          </cell>
          <cell r="S377">
            <v>0</v>
          </cell>
          <cell r="T377">
            <v>48650</v>
          </cell>
          <cell r="U377">
            <v>516426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3037701</v>
          </cell>
          <cell r="AA377">
            <v>3108315</v>
          </cell>
          <cell r="AB377" t="str">
            <v>ERPE</v>
          </cell>
          <cell r="AC377">
            <v>1101</v>
          </cell>
          <cell r="AD377">
            <v>2</v>
          </cell>
          <cell r="AE377">
            <v>156610</v>
          </cell>
        </row>
        <row r="378">
          <cell r="A378" t="str">
            <v>SSE</v>
          </cell>
          <cell r="B378">
            <v>1</v>
          </cell>
          <cell r="C378" t="str">
            <v>DRME</v>
          </cell>
          <cell r="D378">
            <v>16</v>
          </cell>
          <cell r="E378">
            <v>1</v>
          </cell>
          <cell r="F378" t="str">
            <v xml:space="preserve">B </v>
          </cell>
          <cell r="G378">
            <v>5</v>
          </cell>
          <cell r="H378">
            <v>398</v>
          </cell>
          <cell r="I378">
            <v>66760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1294836</v>
          </cell>
          <cell r="P378">
            <v>0</v>
          </cell>
          <cell r="Q378">
            <v>0</v>
          </cell>
          <cell r="R378">
            <v>12306</v>
          </cell>
          <cell r="S378">
            <v>0</v>
          </cell>
          <cell r="T378">
            <v>19114</v>
          </cell>
          <cell r="U378">
            <v>220133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1294836</v>
          </cell>
          <cell r="AA378">
            <v>1326256</v>
          </cell>
          <cell r="AB378" t="str">
            <v>ERPE</v>
          </cell>
          <cell r="AC378">
            <v>1101</v>
          </cell>
          <cell r="AD378">
            <v>2</v>
          </cell>
          <cell r="AE378">
            <v>66760</v>
          </cell>
        </row>
        <row r="379">
          <cell r="A379" t="str">
            <v>SSE</v>
          </cell>
          <cell r="B379">
            <v>1</v>
          </cell>
          <cell r="C379" t="str">
            <v>DRME</v>
          </cell>
          <cell r="D379">
            <v>16</v>
          </cell>
          <cell r="E379">
            <v>1</v>
          </cell>
          <cell r="F379" t="str">
            <v xml:space="preserve">B </v>
          </cell>
          <cell r="G379">
            <v>6</v>
          </cell>
          <cell r="H379">
            <v>212</v>
          </cell>
          <cell r="I379">
            <v>49908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968036</v>
          </cell>
          <cell r="P379">
            <v>0</v>
          </cell>
          <cell r="Q379">
            <v>0</v>
          </cell>
          <cell r="R379">
            <v>8368</v>
          </cell>
          <cell r="S379">
            <v>0</v>
          </cell>
          <cell r="T379">
            <v>15398</v>
          </cell>
          <cell r="U379">
            <v>164633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968036</v>
          </cell>
          <cell r="AA379">
            <v>991802</v>
          </cell>
          <cell r="AB379" t="str">
            <v>ERPE</v>
          </cell>
          <cell r="AC379">
            <v>1101</v>
          </cell>
          <cell r="AD379">
            <v>2</v>
          </cell>
          <cell r="AE379">
            <v>49908</v>
          </cell>
        </row>
        <row r="380">
          <cell r="A380" t="str">
            <v>SSE</v>
          </cell>
          <cell r="B380">
            <v>1</v>
          </cell>
          <cell r="C380" t="str">
            <v>DRME</v>
          </cell>
          <cell r="D380">
            <v>16</v>
          </cell>
          <cell r="E380">
            <v>1</v>
          </cell>
          <cell r="F380" t="str">
            <v xml:space="preserve">B </v>
          </cell>
          <cell r="G380">
            <v>7</v>
          </cell>
          <cell r="H380">
            <v>53</v>
          </cell>
          <cell r="I380">
            <v>18056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363373</v>
          </cell>
          <cell r="P380">
            <v>0</v>
          </cell>
          <cell r="Q380">
            <v>0</v>
          </cell>
          <cell r="R380">
            <v>3178</v>
          </cell>
          <cell r="S380">
            <v>0</v>
          </cell>
          <cell r="T380">
            <v>1984</v>
          </cell>
          <cell r="U380">
            <v>72701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363373</v>
          </cell>
          <cell r="AA380">
            <v>368535</v>
          </cell>
          <cell r="AB380" t="str">
            <v>ERPE</v>
          </cell>
          <cell r="AC380">
            <v>1101</v>
          </cell>
          <cell r="AD380">
            <v>2</v>
          </cell>
          <cell r="AE380">
            <v>18056</v>
          </cell>
        </row>
        <row r="381">
          <cell r="A381" t="str">
            <v>SSE</v>
          </cell>
          <cell r="B381">
            <v>1</v>
          </cell>
          <cell r="C381" t="str">
            <v>DRME</v>
          </cell>
          <cell r="D381">
            <v>16</v>
          </cell>
          <cell r="E381">
            <v>1</v>
          </cell>
          <cell r="F381" t="str">
            <v xml:space="preserve">B </v>
          </cell>
          <cell r="G381">
            <v>8</v>
          </cell>
          <cell r="H381">
            <v>19</v>
          </cell>
          <cell r="I381">
            <v>8249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165991</v>
          </cell>
          <cell r="P381">
            <v>0</v>
          </cell>
          <cell r="Q381">
            <v>0</v>
          </cell>
          <cell r="R381">
            <v>1712</v>
          </cell>
          <cell r="S381">
            <v>0</v>
          </cell>
          <cell r="T381">
            <v>4610</v>
          </cell>
          <cell r="U381">
            <v>33206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165991</v>
          </cell>
          <cell r="AA381">
            <v>172313</v>
          </cell>
          <cell r="AB381" t="str">
            <v>ERPE</v>
          </cell>
          <cell r="AC381">
            <v>1101</v>
          </cell>
          <cell r="AD381">
            <v>2</v>
          </cell>
          <cell r="AE381">
            <v>8249</v>
          </cell>
        </row>
        <row r="382">
          <cell r="A382" t="str">
            <v>SSE</v>
          </cell>
          <cell r="B382">
            <v>1</v>
          </cell>
          <cell r="C382" t="str">
            <v>DRME</v>
          </cell>
          <cell r="D382">
            <v>16</v>
          </cell>
          <cell r="E382">
            <v>1</v>
          </cell>
          <cell r="F382" t="str">
            <v xml:space="preserve">B </v>
          </cell>
          <cell r="G382">
            <v>9</v>
          </cell>
          <cell r="H382">
            <v>20</v>
          </cell>
          <cell r="I382">
            <v>8925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191564</v>
          </cell>
          <cell r="P382">
            <v>0</v>
          </cell>
          <cell r="Q382">
            <v>0</v>
          </cell>
          <cell r="R382">
            <v>1432</v>
          </cell>
          <cell r="S382">
            <v>0</v>
          </cell>
          <cell r="T382">
            <v>0</v>
          </cell>
          <cell r="U382">
            <v>47905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191564</v>
          </cell>
          <cell r="AA382">
            <v>192996</v>
          </cell>
          <cell r="AB382" t="str">
            <v>ERPE</v>
          </cell>
          <cell r="AC382">
            <v>1101</v>
          </cell>
          <cell r="AD382">
            <v>2</v>
          </cell>
          <cell r="AE382">
            <v>8925</v>
          </cell>
        </row>
        <row r="383">
          <cell r="A383" t="str">
            <v>SSE</v>
          </cell>
          <cell r="B383">
            <v>1</v>
          </cell>
          <cell r="C383" t="str">
            <v>DRME</v>
          </cell>
          <cell r="D383">
            <v>16</v>
          </cell>
          <cell r="E383">
            <v>1</v>
          </cell>
          <cell r="F383" t="str">
            <v xml:space="preserve">B </v>
          </cell>
          <cell r="G383">
            <v>10</v>
          </cell>
          <cell r="H383">
            <v>3</v>
          </cell>
          <cell r="I383">
            <v>10088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216494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295</v>
          </cell>
          <cell r="U383">
            <v>54127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216494</v>
          </cell>
          <cell r="AA383">
            <v>216789</v>
          </cell>
          <cell r="AB383" t="str">
            <v>ERPE</v>
          </cell>
          <cell r="AC383">
            <v>1101</v>
          </cell>
          <cell r="AD383">
            <v>2</v>
          </cell>
          <cell r="AE383">
            <v>10088</v>
          </cell>
        </row>
        <row r="384">
          <cell r="A384" t="str">
            <v>SSE</v>
          </cell>
          <cell r="B384">
            <v>1</v>
          </cell>
          <cell r="C384" t="str">
            <v>DRME</v>
          </cell>
          <cell r="D384">
            <v>16</v>
          </cell>
          <cell r="E384">
            <v>1</v>
          </cell>
          <cell r="F384" t="str">
            <v xml:space="preserve">B </v>
          </cell>
          <cell r="G384">
            <v>11</v>
          </cell>
          <cell r="H384">
            <v>2123</v>
          </cell>
          <cell r="I384">
            <v>47086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265608</v>
          </cell>
          <cell r="P384">
            <v>0</v>
          </cell>
          <cell r="Q384">
            <v>0</v>
          </cell>
          <cell r="R384">
            <v>3913</v>
          </cell>
          <cell r="S384">
            <v>0</v>
          </cell>
          <cell r="T384">
            <v>18641</v>
          </cell>
          <cell r="U384">
            <v>0</v>
          </cell>
          <cell r="V384">
            <v>1128</v>
          </cell>
          <cell r="W384">
            <v>0</v>
          </cell>
          <cell r="X384">
            <v>0</v>
          </cell>
          <cell r="Y384">
            <v>0</v>
          </cell>
          <cell r="Z384">
            <v>265608</v>
          </cell>
          <cell r="AA384">
            <v>289290</v>
          </cell>
          <cell r="AB384" t="str">
            <v>ERPE</v>
          </cell>
          <cell r="AC384">
            <v>1101</v>
          </cell>
          <cell r="AD384">
            <v>2</v>
          </cell>
          <cell r="AE384">
            <v>33864</v>
          </cell>
        </row>
        <row r="385">
          <cell r="A385" t="str">
            <v>SSE</v>
          </cell>
          <cell r="B385">
            <v>1</v>
          </cell>
          <cell r="C385" t="str">
            <v>DRME</v>
          </cell>
          <cell r="D385">
            <v>16</v>
          </cell>
          <cell r="E385">
            <v>1</v>
          </cell>
          <cell r="F385" t="str">
            <v xml:space="preserve">B </v>
          </cell>
          <cell r="G385">
            <v>12</v>
          </cell>
          <cell r="H385">
            <v>2707</v>
          </cell>
          <cell r="I385">
            <v>160703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1477423</v>
          </cell>
          <cell r="P385">
            <v>0</v>
          </cell>
          <cell r="Q385">
            <v>0</v>
          </cell>
          <cell r="R385">
            <v>12911</v>
          </cell>
          <cell r="S385">
            <v>0</v>
          </cell>
          <cell r="T385">
            <v>19699</v>
          </cell>
          <cell r="U385">
            <v>251260</v>
          </cell>
          <cell r="V385">
            <v>846</v>
          </cell>
          <cell r="W385">
            <v>0</v>
          </cell>
          <cell r="X385">
            <v>0</v>
          </cell>
          <cell r="Y385">
            <v>0</v>
          </cell>
          <cell r="Z385">
            <v>1477423</v>
          </cell>
          <cell r="AA385">
            <v>1510879</v>
          </cell>
          <cell r="AB385" t="str">
            <v>ERPE</v>
          </cell>
          <cell r="AC385">
            <v>1101</v>
          </cell>
          <cell r="AD385">
            <v>2</v>
          </cell>
          <cell r="AE385">
            <v>160703</v>
          </cell>
        </row>
        <row r="386">
          <cell r="A386" t="str">
            <v>SSE</v>
          </cell>
          <cell r="B386">
            <v>1</v>
          </cell>
          <cell r="C386" t="str">
            <v>DRME</v>
          </cell>
          <cell r="D386">
            <v>16</v>
          </cell>
          <cell r="E386">
            <v>1</v>
          </cell>
          <cell r="F386" t="str">
            <v xml:space="preserve">B </v>
          </cell>
          <cell r="G386">
            <v>13</v>
          </cell>
          <cell r="H386">
            <v>253</v>
          </cell>
          <cell r="I386">
            <v>29155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335506</v>
          </cell>
          <cell r="P386">
            <v>0</v>
          </cell>
          <cell r="Q386">
            <v>0</v>
          </cell>
          <cell r="R386">
            <v>2342</v>
          </cell>
          <cell r="S386">
            <v>0</v>
          </cell>
          <cell r="T386">
            <v>2422</v>
          </cell>
          <cell r="U386">
            <v>57043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335506</v>
          </cell>
          <cell r="AA386">
            <v>340270</v>
          </cell>
          <cell r="AB386" t="str">
            <v>ERPE</v>
          </cell>
          <cell r="AC386">
            <v>1101</v>
          </cell>
          <cell r="AD386">
            <v>2</v>
          </cell>
          <cell r="AE386">
            <v>29155</v>
          </cell>
        </row>
        <row r="387">
          <cell r="A387" t="str">
            <v>SSE</v>
          </cell>
          <cell r="B387">
            <v>1</v>
          </cell>
          <cell r="C387" t="str">
            <v>DRME</v>
          </cell>
          <cell r="D387">
            <v>16</v>
          </cell>
          <cell r="E387">
            <v>1</v>
          </cell>
          <cell r="F387" t="str">
            <v xml:space="preserve">B </v>
          </cell>
          <cell r="G387">
            <v>14</v>
          </cell>
          <cell r="H387">
            <v>30</v>
          </cell>
          <cell r="I387">
            <v>4514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57565</v>
          </cell>
          <cell r="P387">
            <v>0</v>
          </cell>
          <cell r="Q387">
            <v>0</v>
          </cell>
          <cell r="R387">
            <v>445</v>
          </cell>
          <cell r="S387">
            <v>0</v>
          </cell>
          <cell r="T387">
            <v>1540</v>
          </cell>
          <cell r="U387">
            <v>9787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57565</v>
          </cell>
          <cell r="AA387">
            <v>59550</v>
          </cell>
          <cell r="AB387" t="str">
            <v>ERPE</v>
          </cell>
          <cell r="AC387">
            <v>1101</v>
          </cell>
          <cell r="AD387">
            <v>2</v>
          </cell>
          <cell r="AE387">
            <v>4514</v>
          </cell>
        </row>
        <row r="388">
          <cell r="A388" t="str">
            <v>SSE</v>
          </cell>
          <cell r="B388">
            <v>1</v>
          </cell>
          <cell r="C388" t="str">
            <v>DRME</v>
          </cell>
          <cell r="D388">
            <v>16</v>
          </cell>
          <cell r="E388">
            <v>1</v>
          </cell>
          <cell r="F388" t="str">
            <v xml:space="preserve">B </v>
          </cell>
          <cell r="G388">
            <v>15</v>
          </cell>
          <cell r="H388">
            <v>30</v>
          </cell>
          <cell r="I388">
            <v>7124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114102</v>
          </cell>
          <cell r="P388">
            <v>0</v>
          </cell>
          <cell r="Q388">
            <v>0</v>
          </cell>
          <cell r="R388">
            <v>-3523</v>
          </cell>
          <cell r="S388">
            <v>0</v>
          </cell>
          <cell r="T388">
            <v>0</v>
          </cell>
          <cell r="U388">
            <v>22671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114102</v>
          </cell>
          <cell r="AA388">
            <v>110579</v>
          </cell>
          <cell r="AB388" t="str">
            <v>ERPE</v>
          </cell>
          <cell r="AC388">
            <v>1101</v>
          </cell>
          <cell r="AD388">
            <v>2</v>
          </cell>
          <cell r="AE388">
            <v>7124</v>
          </cell>
        </row>
        <row r="389">
          <cell r="A389" t="str">
            <v>SSE</v>
          </cell>
          <cell r="B389">
            <v>1</v>
          </cell>
          <cell r="C389" t="str">
            <v>DRME</v>
          </cell>
          <cell r="D389">
            <v>16</v>
          </cell>
          <cell r="E389">
            <v>2</v>
          </cell>
          <cell r="F389" t="str">
            <v xml:space="preserve">B </v>
          </cell>
          <cell r="G389">
            <v>0</v>
          </cell>
          <cell r="H389">
            <v>94</v>
          </cell>
          <cell r="I389">
            <v>41613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866297</v>
          </cell>
          <cell r="P389">
            <v>0</v>
          </cell>
          <cell r="Q389">
            <v>0</v>
          </cell>
          <cell r="R389">
            <v>14235</v>
          </cell>
          <cell r="S389">
            <v>0</v>
          </cell>
          <cell r="T389">
            <v>31923</v>
          </cell>
          <cell r="U389">
            <v>208648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866297</v>
          </cell>
          <cell r="AA389">
            <v>912455</v>
          </cell>
          <cell r="AB389" t="str">
            <v>ERPE</v>
          </cell>
          <cell r="AC389">
            <v>1101</v>
          </cell>
          <cell r="AD389">
            <v>2</v>
          </cell>
          <cell r="AE389">
            <v>39854</v>
          </cell>
        </row>
        <row r="390">
          <cell r="A390" t="str">
            <v>SSE</v>
          </cell>
          <cell r="B390">
            <v>1</v>
          </cell>
          <cell r="C390" t="str">
            <v>DRME</v>
          </cell>
          <cell r="D390">
            <v>16</v>
          </cell>
          <cell r="E390">
            <v>3</v>
          </cell>
          <cell r="F390" t="str">
            <v>A4</v>
          </cell>
          <cell r="G390">
            <v>20</v>
          </cell>
          <cell r="H390">
            <v>4</v>
          </cell>
          <cell r="I390">
            <v>24456</v>
          </cell>
          <cell r="J390">
            <v>0</v>
          </cell>
          <cell r="K390">
            <v>0</v>
          </cell>
          <cell r="L390">
            <v>115</v>
          </cell>
          <cell r="M390">
            <v>0</v>
          </cell>
          <cell r="N390">
            <v>0</v>
          </cell>
          <cell r="O390">
            <v>280625</v>
          </cell>
          <cell r="P390">
            <v>90006</v>
          </cell>
          <cell r="Q390">
            <v>10764</v>
          </cell>
          <cell r="R390">
            <v>0</v>
          </cell>
          <cell r="S390">
            <v>0</v>
          </cell>
          <cell r="T390">
            <v>0</v>
          </cell>
          <cell r="U390">
            <v>96131</v>
          </cell>
          <cell r="V390">
            <v>0</v>
          </cell>
          <cell r="W390">
            <v>3130</v>
          </cell>
          <cell r="X390">
            <v>0</v>
          </cell>
          <cell r="Y390">
            <v>0</v>
          </cell>
          <cell r="Z390">
            <v>384525</v>
          </cell>
          <cell r="AA390">
            <v>384525</v>
          </cell>
          <cell r="AB390" t="str">
            <v>ERPE</v>
          </cell>
          <cell r="AC390">
            <v>1101</v>
          </cell>
          <cell r="AD390">
            <v>2</v>
          </cell>
          <cell r="AE390">
            <v>24456</v>
          </cell>
        </row>
        <row r="391">
          <cell r="A391" t="str">
            <v>SSE</v>
          </cell>
          <cell r="B391">
            <v>1</v>
          </cell>
          <cell r="C391" t="str">
            <v>DRME</v>
          </cell>
          <cell r="D391">
            <v>16</v>
          </cell>
          <cell r="E391">
            <v>3</v>
          </cell>
          <cell r="F391" t="str">
            <v xml:space="preserve">B </v>
          </cell>
          <cell r="G391">
            <v>0</v>
          </cell>
          <cell r="H391">
            <v>910</v>
          </cell>
          <cell r="I391">
            <v>185854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3869747</v>
          </cell>
          <cell r="P391">
            <v>0</v>
          </cell>
          <cell r="Q391">
            <v>0</v>
          </cell>
          <cell r="R391">
            <v>30014</v>
          </cell>
          <cell r="S391">
            <v>0</v>
          </cell>
          <cell r="T391">
            <v>106544</v>
          </cell>
          <cell r="U391">
            <v>953741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3869747</v>
          </cell>
          <cell r="AA391">
            <v>4006305</v>
          </cell>
          <cell r="AB391" t="str">
            <v>ERPE</v>
          </cell>
          <cell r="AC391">
            <v>1101</v>
          </cell>
          <cell r="AD391">
            <v>2</v>
          </cell>
          <cell r="AE391">
            <v>176724</v>
          </cell>
        </row>
        <row r="392">
          <cell r="A392" t="str">
            <v>SSE</v>
          </cell>
          <cell r="B392">
            <v>1</v>
          </cell>
          <cell r="C392" t="str">
            <v>DRME</v>
          </cell>
          <cell r="D392">
            <v>16</v>
          </cell>
          <cell r="E392">
            <v>4</v>
          </cell>
          <cell r="F392" t="str">
            <v>A4</v>
          </cell>
          <cell r="G392">
            <v>21</v>
          </cell>
          <cell r="H392">
            <v>1</v>
          </cell>
          <cell r="I392">
            <v>12499</v>
          </cell>
          <cell r="J392">
            <v>489</v>
          </cell>
          <cell r="K392">
            <v>12010</v>
          </cell>
          <cell r="L392">
            <v>84</v>
          </cell>
          <cell r="M392">
            <v>60</v>
          </cell>
          <cell r="N392">
            <v>0</v>
          </cell>
          <cell r="O392">
            <v>72630</v>
          </cell>
          <cell r="P392">
            <v>65232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137862</v>
          </cell>
          <cell r="AA392">
            <v>137862</v>
          </cell>
          <cell r="AB392" t="str">
            <v>ERPE</v>
          </cell>
          <cell r="AC392">
            <v>1101</v>
          </cell>
          <cell r="AD392">
            <v>2</v>
          </cell>
          <cell r="AE392">
            <v>12499</v>
          </cell>
        </row>
        <row r="393">
          <cell r="A393" t="str">
            <v>SSE</v>
          </cell>
          <cell r="B393">
            <v>1</v>
          </cell>
          <cell r="C393" t="str">
            <v>DRME</v>
          </cell>
          <cell r="D393">
            <v>16</v>
          </cell>
          <cell r="E393">
            <v>4</v>
          </cell>
          <cell r="F393" t="str">
            <v xml:space="preserve">B </v>
          </cell>
          <cell r="G393">
            <v>0</v>
          </cell>
          <cell r="H393">
            <v>503</v>
          </cell>
          <cell r="I393">
            <v>288472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2512330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233167</v>
          </cell>
          <cell r="U393">
            <v>0</v>
          </cell>
          <cell r="V393">
            <v>6133</v>
          </cell>
          <cell r="W393">
            <v>0</v>
          </cell>
          <cell r="X393">
            <v>0</v>
          </cell>
          <cell r="Y393">
            <v>0</v>
          </cell>
          <cell r="Z393">
            <v>2512330</v>
          </cell>
          <cell r="AA393">
            <v>2751630</v>
          </cell>
          <cell r="AB393" t="str">
            <v>ERPE</v>
          </cell>
          <cell r="AC393">
            <v>1101</v>
          </cell>
          <cell r="AD393">
            <v>2</v>
          </cell>
          <cell r="AE393">
            <v>282740</v>
          </cell>
        </row>
        <row r="394">
          <cell r="A394" t="str">
            <v>SSE</v>
          </cell>
          <cell r="B394">
            <v>1</v>
          </cell>
          <cell r="C394" t="str">
            <v>DRME</v>
          </cell>
          <cell r="D394">
            <v>16</v>
          </cell>
          <cell r="E394">
            <v>4</v>
          </cell>
          <cell r="F394" t="str">
            <v>A4</v>
          </cell>
          <cell r="G394">
            <v>23</v>
          </cell>
          <cell r="H394">
            <v>9</v>
          </cell>
          <cell r="I394">
            <v>1813748</v>
          </cell>
          <cell r="J394">
            <v>1040</v>
          </cell>
          <cell r="K394">
            <v>1740084</v>
          </cell>
          <cell r="L394">
            <v>7721</v>
          </cell>
          <cell r="M394">
            <v>7264</v>
          </cell>
          <cell r="N394">
            <v>0</v>
          </cell>
          <cell r="O394">
            <v>7661589</v>
          </cell>
          <cell r="P394">
            <v>4094745</v>
          </cell>
          <cell r="Q394">
            <v>442448</v>
          </cell>
          <cell r="R394">
            <v>116366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49396</v>
          </cell>
          <cell r="X394">
            <v>0</v>
          </cell>
          <cell r="Y394">
            <v>0</v>
          </cell>
          <cell r="Z394">
            <v>12248178</v>
          </cell>
          <cell r="AA394">
            <v>12364544</v>
          </cell>
          <cell r="AB394" t="str">
            <v>ERPE</v>
          </cell>
          <cell r="AC394">
            <v>1101</v>
          </cell>
          <cell r="AD394">
            <v>2</v>
          </cell>
          <cell r="AE394">
            <v>1813748</v>
          </cell>
        </row>
        <row r="395">
          <cell r="A395" t="str">
            <v>SSE</v>
          </cell>
          <cell r="B395">
            <v>1</v>
          </cell>
          <cell r="C395" t="str">
            <v>DRME</v>
          </cell>
          <cell r="D395">
            <v>16</v>
          </cell>
          <cell r="E395">
            <v>5</v>
          </cell>
          <cell r="F395" t="str">
            <v>A4</v>
          </cell>
          <cell r="G395">
            <v>20</v>
          </cell>
          <cell r="H395">
            <v>2</v>
          </cell>
          <cell r="I395">
            <v>81360</v>
          </cell>
          <cell r="J395">
            <v>0</v>
          </cell>
          <cell r="K395">
            <v>0</v>
          </cell>
          <cell r="L395">
            <v>195</v>
          </cell>
          <cell r="M395">
            <v>0</v>
          </cell>
          <cell r="N395">
            <v>0</v>
          </cell>
          <cell r="O395">
            <v>933579</v>
          </cell>
          <cell r="P395">
            <v>152620</v>
          </cell>
          <cell r="Q395">
            <v>11440</v>
          </cell>
          <cell r="R395">
            <v>0</v>
          </cell>
          <cell r="S395">
            <v>0</v>
          </cell>
          <cell r="T395">
            <v>0</v>
          </cell>
          <cell r="U395">
            <v>274801</v>
          </cell>
          <cell r="V395">
            <v>0</v>
          </cell>
          <cell r="W395">
            <v>1565</v>
          </cell>
          <cell r="X395">
            <v>0</v>
          </cell>
          <cell r="Y395">
            <v>0</v>
          </cell>
          <cell r="Z395">
            <v>1099204</v>
          </cell>
          <cell r="AA395">
            <v>1099204</v>
          </cell>
          <cell r="AB395" t="str">
            <v>ERPE</v>
          </cell>
          <cell r="AC395">
            <v>1101</v>
          </cell>
          <cell r="AD395">
            <v>2</v>
          </cell>
          <cell r="AE395">
            <v>81360</v>
          </cell>
        </row>
        <row r="396">
          <cell r="A396" t="str">
            <v>SSE</v>
          </cell>
          <cell r="B396">
            <v>1</v>
          </cell>
          <cell r="C396" t="str">
            <v>DRME</v>
          </cell>
          <cell r="D396">
            <v>16</v>
          </cell>
          <cell r="E396">
            <v>5</v>
          </cell>
          <cell r="F396" t="str">
            <v xml:space="preserve">B </v>
          </cell>
          <cell r="G396">
            <v>0</v>
          </cell>
          <cell r="H396">
            <v>233</v>
          </cell>
          <cell r="I396">
            <v>60155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1172340</v>
          </cell>
          <cell r="P396">
            <v>0</v>
          </cell>
          <cell r="Q396">
            <v>0</v>
          </cell>
          <cell r="R396">
            <v>751</v>
          </cell>
          <cell r="S396">
            <v>0</v>
          </cell>
          <cell r="T396">
            <v>379260</v>
          </cell>
          <cell r="U396">
            <v>233121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1172340</v>
          </cell>
          <cell r="AA396">
            <v>1552351</v>
          </cell>
          <cell r="AB396" t="str">
            <v>ERPE</v>
          </cell>
          <cell r="AC396">
            <v>1101</v>
          </cell>
          <cell r="AD396">
            <v>2</v>
          </cell>
          <cell r="AE396">
            <v>58545</v>
          </cell>
        </row>
        <row r="397">
          <cell r="A397" t="str">
            <v>SSE</v>
          </cell>
          <cell r="B397">
            <v>1</v>
          </cell>
          <cell r="C397" t="str">
            <v>DRME</v>
          </cell>
          <cell r="D397">
            <v>16</v>
          </cell>
          <cell r="E397">
            <v>6</v>
          </cell>
          <cell r="F397" t="str">
            <v xml:space="preserve">B </v>
          </cell>
          <cell r="G397">
            <v>0</v>
          </cell>
          <cell r="H397">
            <v>24</v>
          </cell>
          <cell r="I397">
            <v>140273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1662971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59689</v>
          </cell>
          <cell r="U397">
            <v>415744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1662971</v>
          </cell>
          <cell r="AA397">
            <v>1722660</v>
          </cell>
          <cell r="AB397" t="str">
            <v>ERPE</v>
          </cell>
          <cell r="AC397">
            <v>1101</v>
          </cell>
          <cell r="AD397">
            <v>2</v>
          </cell>
          <cell r="AE397">
            <v>140273</v>
          </cell>
        </row>
        <row r="398">
          <cell r="A398" t="str">
            <v>SSE</v>
          </cell>
          <cell r="B398">
            <v>1</v>
          </cell>
          <cell r="C398" t="str">
            <v>DRME</v>
          </cell>
          <cell r="D398">
            <v>16</v>
          </cell>
          <cell r="E398">
            <v>7</v>
          </cell>
          <cell r="F398" t="str">
            <v>A4</v>
          </cell>
          <cell r="G398">
            <v>20</v>
          </cell>
          <cell r="H398">
            <v>3</v>
          </cell>
          <cell r="I398">
            <v>78146</v>
          </cell>
          <cell r="J398">
            <v>0</v>
          </cell>
          <cell r="K398">
            <v>0</v>
          </cell>
          <cell r="L398">
            <v>190</v>
          </cell>
          <cell r="M398">
            <v>0</v>
          </cell>
          <cell r="N398">
            <v>0</v>
          </cell>
          <cell r="O398">
            <v>762184</v>
          </cell>
          <cell r="P398">
            <v>126160</v>
          </cell>
          <cell r="Q398">
            <v>48991</v>
          </cell>
          <cell r="R398">
            <v>0</v>
          </cell>
          <cell r="S398">
            <v>0</v>
          </cell>
          <cell r="T398">
            <v>0</v>
          </cell>
          <cell r="U398">
            <v>236326</v>
          </cell>
          <cell r="V398">
            <v>0</v>
          </cell>
          <cell r="W398">
            <v>7968</v>
          </cell>
          <cell r="X398">
            <v>0</v>
          </cell>
          <cell r="Y398">
            <v>0</v>
          </cell>
          <cell r="Z398">
            <v>945303</v>
          </cell>
          <cell r="AA398">
            <v>945303</v>
          </cell>
          <cell r="AB398" t="str">
            <v>ERPE</v>
          </cell>
          <cell r="AC398">
            <v>1101</v>
          </cell>
          <cell r="AD398">
            <v>2</v>
          </cell>
          <cell r="AE398">
            <v>78146</v>
          </cell>
        </row>
        <row r="399">
          <cell r="A399" t="str">
            <v>SSE</v>
          </cell>
          <cell r="B399">
            <v>1</v>
          </cell>
          <cell r="C399" t="str">
            <v>DRME</v>
          </cell>
          <cell r="D399">
            <v>16</v>
          </cell>
          <cell r="E399">
            <v>7</v>
          </cell>
          <cell r="F399" t="str">
            <v xml:space="preserve">B </v>
          </cell>
          <cell r="G399">
            <v>0</v>
          </cell>
          <cell r="H399">
            <v>5</v>
          </cell>
          <cell r="I399">
            <v>21491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380275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95068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380275</v>
          </cell>
          <cell r="AA399">
            <v>380275</v>
          </cell>
          <cell r="AB399" t="str">
            <v>ERPE</v>
          </cell>
          <cell r="AC399">
            <v>1101</v>
          </cell>
          <cell r="AD399">
            <v>2</v>
          </cell>
          <cell r="AE399">
            <v>21425</v>
          </cell>
        </row>
        <row r="400">
          <cell r="A400" t="str">
            <v>SSE</v>
          </cell>
          <cell r="B400">
            <v>1</v>
          </cell>
          <cell r="C400" t="str">
            <v>DRME</v>
          </cell>
          <cell r="D400">
            <v>16</v>
          </cell>
          <cell r="E400">
            <v>8</v>
          </cell>
          <cell r="F400" t="str">
            <v xml:space="preserve">B </v>
          </cell>
          <cell r="G400">
            <v>0</v>
          </cell>
          <cell r="H400">
            <v>3</v>
          </cell>
          <cell r="I400">
            <v>3880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80778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20195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80778</v>
          </cell>
          <cell r="AA400">
            <v>80778</v>
          </cell>
          <cell r="AB400" t="str">
            <v>ERPE</v>
          </cell>
          <cell r="AC400">
            <v>1101</v>
          </cell>
          <cell r="AD400">
            <v>2</v>
          </cell>
          <cell r="AE400">
            <v>3880</v>
          </cell>
        </row>
        <row r="401">
          <cell r="A401" t="str">
            <v>SMA</v>
          </cell>
          <cell r="B401">
            <v>2</v>
          </cell>
          <cell r="C401" t="str">
            <v>DRAM</v>
          </cell>
          <cell r="D401">
            <v>21</v>
          </cell>
          <cell r="E401">
            <v>1</v>
          </cell>
          <cell r="F401" t="str">
            <v xml:space="preserve">B </v>
          </cell>
          <cell r="G401">
            <v>1</v>
          </cell>
          <cell r="H401">
            <v>9234</v>
          </cell>
          <cell r="I401">
            <v>200835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3250792</v>
          </cell>
          <cell r="P401">
            <v>0</v>
          </cell>
          <cell r="Q401">
            <v>0</v>
          </cell>
          <cell r="R401">
            <v>42275</v>
          </cell>
          <cell r="S401">
            <v>0</v>
          </cell>
          <cell r="T401">
            <v>233289</v>
          </cell>
          <cell r="U401">
            <v>0</v>
          </cell>
          <cell r="V401">
            <v>2914</v>
          </cell>
          <cell r="W401">
            <v>0</v>
          </cell>
          <cell r="X401">
            <v>0</v>
          </cell>
          <cell r="Y401">
            <v>14280</v>
          </cell>
          <cell r="Z401">
            <v>3250792</v>
          </cell>
          <cell r="AA401">
            <v>3543550</v>
          </cell>
          <cell r="AB401" t="str">
            <v>ERGA</v>
          </cell>
          <cell r="AC401">
            <v>1101</v>
          </cell>
          <cell r="AD401">
            <v>2</v>
          </cell>
          <cell r="AE401">
            <v>155397</v>
          </cell>
        </row>
        <row r="402">
          <cell r="A402" t="str">
            <v>SMA</v>
          </cell>
          <cell r="B402">
            <v>2</v>
          </cell>
          <cell r="C402" t="str">
            <v>DRAM</v>
          </cell>
          <cell r="D402">
            <v>21</v>
          </cell>
          <cell r="E402">
            <v>1</v>
          </cell>
          <cell r="F402" t="str">
            <v xml:space="preserve">B </v>
          </cell>
          <cell r="G402">
            <v>2</v>
          </cell>
          <cell r="H402">
            <v>5905</v>
          </cell>
          <cell r="I402">
            <v>240309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4660835</v>
          </cell>
          <cell r="P402">
            <v>0</v>
          </cell>
          <cell r="Q402">
            <v>0</v>
          </cell>
          <cell r="R402">
            <v>32953</v>
          </cell>
          <cell r="S402">
            <v>0</v>
          </cell>
          <cell r="T402">
            <v>87003</v>
          </cell>
          <cell r="U402">
            <v>792146</v>
          </cell>
          <cell r="V402">
            <v>1128</v>
          </cell>
          <cell r="W402">
            <v>0</v>
          </cell>
          <cell r="X402">
            <v>0</v>
          </cell>
          <cell r="Y402">
            <v>12888</v>
          </cell>
          <cell r="Z402">
            <v>4660835</v>
          </cell>
          <cell r="AA402">
            <v>4794807</v>
          </cell>
          <cell r="AB402" t="str">
            <v>ERGA</v>
          </cell>
          <cell r="AC402">
            <v>1101</v>
          </cell>
          <cell r="AD402">
            <v>2</v>
          </cell>
          <cell r="AE402">
            <v>240309</v>
          </cell>
        </row>
        <row r="403">
          <cell r="A403" t="str">
            <v>SMA</v>
          </cell>
          <cell r="B403">
            <v>2</v>
          </cell>
          <cell r="C403" t="str">
            <v>DRAM</v>
          </cell>
          <cell r="D403">
            <v>21</v>
          </cell>
          <cell r="E403">
            <v>1</v>
          </cell>
          <cell r="F403" t="str">
            <v xml:space="preserve">B </v>
          </cell>
          <cell r="G403">
            <v>3</v>
          </cell>
          <cell r="H403">
            <v>15726</v>
          </cell>
          <cell r="I403">
            <v>1143106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22169777</v>
          </cell>
          <cell r="P403">
            <v>0</v>
          </cell>
          <cell r="Q403">
            <v>0</v>
          </cell>
          <cell r="R403">
            <v>167965</v>
          </cell>
          <cell r="S403">
            <v>0</v>
          </cell>
          <cell r="T403">
            <v>280958</v>
          </cell>
          <cell r="U403">
            <v>3768835</v>
          </cell>
          <cell r="V403">
            <v>1598</v>
          </cell>
          <cell r="W403">
            <v>0</v>
          </cell>
          <cell r="X403">
            <v>0</v>
          </cell>
          <cell r="Y403">
            <v>767462</v>
          </cell>
          <cell r="Z403">
            <v>22169777</v>
          </cell>
          <cell r="AA403">
            <v>23387760</v>
          </cell>
          <cell r="AB403" t="str">
            <v>ERGA</v>
          </cell>
          <cell r="AC403">
            <v>1101</v>
          </cell>
          <cell r="AD403">
            <v>2</v>
          </cell>
          <cell r="AE403">
            <v>1140658</v>
          </cell>
        </row>
        <row r="404">
          <cell r="A404" t="str">
            <v>SMA</v>
          </cell>
          <cell r="B404">
            <v>2</v>
          </cell>
          <cell r="C404" t="str">
            <v>DRAM</v>
          </cell>
          <cell r="D404">
            <v>21</v>
          </cell>
          <cell r="E404">
            <v>1</v>
          </cell>
          <cell r="F404" t="str">
            <v xml:space="preserve">B </v>
          </cell>
          <cell r="G404">
            <v>4</v>
          </cell>
          <cell r="H404">
            <v>4606</v>
          </cell>
          <cell r="I404">
            <v>552311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10713162</v>
          </cell>
          <cell r="P404">
            <v>0</v>
          </cell>
          <cell r="Q404">
            <v>0</v>
          </cell>
          <cell r="R404">
            <v>111120</v>
          </cell>
          <cell r="S404">
            <v>0</v>
          </cell>
          <cell r="T404">
            <v>177376</v>
          </cell>
          <cell r="U404">
            <v>1821269</v>
          </cell>
          <cell r="V404">
            <v>0</v>
          </cell>
          <cell r="W404">
            <v>0</v>
          </cell>
          <cell r="X404">
            <v>0</v>
          </cell>
          <cell r="Y404">
            <v>427997</v>
          </cell>
          <cell r="Z404">
            <v>10713162</v>
          </cell>
          <cell r="AA404">
            <v>11429655</v>
          </cell>
          <cell r="AB404" t="str">
            <v>ERGA</v>
          </cell>
          <cell r="AC404">
            <v>1101</v>
          </cell>
          <cell r="AD404">
            <v>2</v>
          </cell>
          <cell r="AE404">
            <v>552311</v>
          </cell>
        </row>
        <row r="405">
          <cell r="A405" t="str">
            <v>SMA</v>
          </cell>
          <cell r="B405">
            <v>2</v>
          </cell>
          <cell r="C405" t="str">
            <v>DRAM</v>
          </cell>
          <cell r="D405">
            <v>21</v>
          </cell>
          <cell r="E405">
            <v>1</v>
          </cell>
          <cell r="F405" t="str">
            <v xml:space="preserve">B </v>
          </cell>
          <cell r="G405">
            <v>5</v>
          </cell>
          <cell r="H405">
            <v>1592</v>
          </cell>
          <cell r="I405">
            <v>272209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5279947</v>
          </cell>
          <cell r="P405">
            <v>0</v>
          </cell>
          <cell r="Q405">
            <v>0</v>
          </cell>
          <cell r="R405">
            <v>55447</v>
          </cell>
          <cell r="S405">
            <v>0</v>
          </cell>
          <cell r="T405">
            <v>60963</v>
          </cell>
          <cell r="U405">
            <v>897608</v>
          </cell>
          <cell r="V405">
            <v>0</v>
          </cell>
          <cell r="W405">
            <v>0</v>
          </cell>
          <cell r="X405">
            <v>0</v>
          </cell>
          <cell r="Y405">
            <v>273350</v>
          </cell>
          <cell r="Z405">
            <v>5279947</v>
          </cell>
          <cell r="AA405">
            <v>5669707</v>
          </cell>
          <cell r="AB405" t="str">
            <v>ERGA</v>
          </cell>
          <cell r="AC405">
            <v>1101</v>
          </cell>
          <cell r="AD405">
            <v>2</v>
          </cell>
          <cell r="AE405">
            <v>272209</v>
          </cell>
        </row>
        <row r="406">
          <cell r="A406" t="str">
            <v>SMA</v>
          </cell>
          <cell r="B406">
            <v>2</v>
          </cell>
          <cell r="C406" t="str">
            <v>DRAM</v>
          </cell>
          <cell r="D406">
            <v>21</v>
          </cell>
          <cell r="E406">
            <v>1</v>
          </cell>
          <cell r="F406" t="str">
            <v xml:space="preserve">B </v>
          </cell>
          <cell r="G406">
            <v>6</v>
          </cell>
          <cell r="H406">
            <v>1022</v>
          </cell>
          <cell r="I406">
            <v>244067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4733870</v>
          </cell>
          <cell r="P406">
            <v>0</v>
          </cell>
          <cell r="Q406">
            <v>0</v>
          </cell>
          <cell r="R406">
            <v>58112</v>
          </cell>
          <cell r="S406">
            <v>0</v>
          </cell>
          <cell r="T406">
            <v>112475</v>
          </cell>
          <cell r="U406">
            <v>804931</v>
          </cell>
          <cell r="V406">
            <v>0</v>
          </cell>
          <cell r="W406">
            <v>0</v>
          </cell>
          <cell r="X406">
            <v>0</v>
          </cell>
          <cell r="Y406">
            <v>186571</v>
          </cell>
          <cell r="Z406">
            <v>4733870</v>
          </cell>
          <cell r="AA406">
            <v>5091028</v>
          </cell>
          <cell r="AB406" t="str">
            <v>ERGA</v>
          </cell>
          <cell r="AC406">
            <v>1101</v>
          </cell>
          <cell r="AD406">
            <v>2</v>
          </cell>
          <cell r="AE406">
            <v>244067</v>
          </cell>
        </row>
        <row r="407">
          <cell r="A407" t="str">
            <v>SMA</v>
          </cell>
          <cell r="B407">
            <v>2</v>
          </cell>
          <cell r="C407" t="str">
            <v>DRAM</v>
          </cell>
          <cell r="D407">
            <v>21</v>
          </cell>
          <cell r="E407">
            <v>1</v>
          </cell>
          <cell r="F407" t="str">
            <v xml:space="preserve">B </v>
          </cell>
          <cell r="G407">
            <v>7</v>
          </cell>
          <cell r="H407">
            <v>235</v>
          </cell>
          <cell r="I407">
            <v>77727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1564226</v>
          </cell>
          <cell r="P407">
            <v>0</v>
          </cell>
          <cell r="Q407">
            <v>0</v>
          </cell>
          <cell r="R407">
            <v>17015</v>
          </cell>
          <cell r="S407">
            <v>0</v>
          </cell>
          <cell r="T407">
            <v>20390</v>
          </cell>
          <cell r="U407">
            <v>312925</v>
          </cell>
          <cell r="V407">
            <v>0</v>
          </cell>
          <cell r="W407">
            <v>0</v>
          </cell>
          <cell r="X407">
            <v>0</v>
          </cell>
          <cell r="Y407">
            <v>88328</v>
          </cell>
          <cell r="Z407">
            <v>1564226</v>
          </cell>
          <cell r="AA407">
            <v>1689959</v>
          </cell>
          <cell r="AB407" t="str">
            <v>ERGA</v>
          </cell>
          <cell r="AC407">
            <v>1101</v>
          </cell>
          <cell r="AD407">
            <v>2</v>
          </cell>
          <cell r="AE407">
            <v>77727</v>
          </cell>
        </row>
        <row r="408">
          <cell r="A408" t="str">
            <v>SMA</v>
          </cell>
          <cell r="B408">
            <v>2</v>
          </cell>
          <cell r="C408" t="str">
            <v>DRAM</v>
          </cell>
          <cell r="D408">
            <v>21</v>
          </cell>
          <cell r="E408">
            <v>1</v>
          </cell>
          <cell r="F408" t="str">
            <v xml:space="preserve">B </v>
          </cell>
          <cell r="G408">
            <v>8</v>
          </cell>
          <cell r="H408">
            <v>87</v>
          </cell>
          <cell r="I408">
            <v>37700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759767</v>
          </cell>
          <cell r="P408">
            <v>0</v>
          </cell>
          <cell r="Q408">
            <v>0</v>
          </cell>
          <cell r="R408">
            <v>8019</v>
          </cell>
          <cell r="S408">
            <v>0</v>
          </cell>
          <cell r="T408">
            <v>-1262</v>
          </cell>
          <cell r="U408">
            <v>151984</v>
          </cell>
          <cell r="V408">
            <v>0</v>
          </cell>
          <cell r="W408">
            <v>0</v>
          </cell>
          <cell r="X408">
            <v>0</v>
          </cell>
          <cell r="Y408">
            <v>29486</v>
          </cell>
          <cell r="Z408">
            <v>759767</v>
          </cell>
          <cell r="AA408">
            <v>796010</v>
          </cell>
          <cell r="AB408" t="str">
            <v>ERGA</v>
          </cell>
          <cell r="AC408">
            <v>1101</v>
          </cell>
          <cell r="AD408">
            <v>2</v>
          </cell>
          <cell r="AE408">
            <v>37700</v>
          </cell>
        </row>
        <row r="409">
          <cell r="A409" t="str">
            <v>SMA</v>
          </cell>
          <cell r="B409">
            <v>2</v>
          </cell>
          <cell r="C409" t="str">
            <v>DRAM</v>
          </cell>
          <cell r="D409">
            <v>21</v>
          </cell>
          <cell r="E409">
            <v>1</v>
          </cell>
          <cell r="F409" t="str">
            <v xml:space="preserve">B </v>
          </cell>
          <cell r="G409">
            <v>9</v>
          </cell>
          <cell r="H409">
            <v>74</v>
          </cell>
          <cell r="I409">
            <v>41179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883828</v>
          </cell>
          <cell r="P409">
            <v>0</v>
          </cell>
          <cell r="Q409">
            <v>0</v>
          </cell>
          <cell r="R409">
            <v>16924</v>
          </cell>
          <cell r="S409">
            <v>0</v>
          </cell>
          <cell r="T409">
            <v>2322</v>
          </cell>
          <cell r="U409">
            <v>220993</v>
          </cell>
          <cell r="V409">
            <v>0</v>
          </cell>
          <cell r="W409">
            <v>0</v>
          </cell>
          <cell r="X409">
            <v>0</v>
          </cell>
          <cell r="Y409">
            <v>41837</v>
          </cell>
          <cell r="Z409">
            <v>883828</v>
          </cell>
          <cell r="AA409">
            <v>944911</v>
          </cell>
          <cell r="AB409" t="str">
            <v>ERGA</v>
          </cell>
          <cell r="AC409">
            <v>1101</v>
          </cell>
          <cell r="AD409">
            <v>2</v>
          </cell>
          <cell r="AE409">
            <v>41179</v>
          </cell>
        </row>
        <row r="410">
          <cell r="A410" t="str">
            <v>SMA</v>
          </cell>
          <cell r="B410">
            <v>2</v>
          </cell>
          <cell r="C410" t="str">
            <v>DRAM</v>
          </cell>
          <cell r="D410">
            <v>21</v>
          </cell>
          <cell r="E410">
            <v>1</v>
          </cell>
          <cell r="F410" t="str">
            <v xml:space="preserve">B </v>
          </cell>
          <cell r="G410">
            <v>10</v>
          </cell>
          <cell r="H410">
            <v>15</v>
          </cell>
          <cell r="I410">
            <v>29137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625305</v>
          </cell>
          <cell r="P410">
            <v>0</v>
          </cell>
          <cell r="Q410">
            <v>0</v>
          </cell>
          <cell r="R410">
            <v>-11853</v>
          </cell>
          <cell r="S410">
            <v>0</v>
          </cell>
          <cell r="T410">
            <v>0</v>
          </cell>
          <cell r="U410">
            <v>156346</v>
          </cell>
          <cell r="V410">
            <v>0</v>
          </cell>
          <cell r="W410">
            <v>0</v>
          </cell>
          <cell r="X410">
            <v>0</v>
          </cell>
          <cell r="Y410">
            <v>5960</v>
          </cell>
          <cell r="Z410">
            <v>625305</v>
          </cell>
          <cell r="AA410">
            <v>619412</v>
          </cell>
          <cell r="AB410" t="str">
            <v>ERGA</v>
          </cell>
          <cell r="AC410">
            <v>1101</v>
          </cell>
          <cell r="AD410">
            <v>2</v>
          </cell>
          <cell r="AE410">
            <v>29137</v>
          </cell>
        </row>
        <row r="411">
          <cell r="A411" t="str">
            <v>SMA</v>
          </cell>
          <cell r="B411">
            <v>2</v>
          </cell>
          <cell r="C411" t="str">
            <v>DRAM</v>
          </cell>
          <cell r="D411">
            <v>21</v>
          </cell>
          <cell r="E411">
            <v>1</v>
          </cell>
          <cell r="F411" t="str">
            <v xml:space="preserve">B </v>
          </cell>
          <cell r="G411">
            <v>11</v>
          </cell>
          <cell r="H411">
            <v>6751</v>
          </cell>
          <cell r="I411">
            <v>147084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830486</v>
          </cell>
          <cell r="P411">
            <v>0</v>
          </cell>
          <cell r="Q411">
            <v>0</v>
          </cell>
          <cell r="R411">
            <v>6681</v>
          </cell>
          <cell r="S411">
            <v>0</v>
          </cell>
          <cell r="T411">
            <v>38170</v>
          </cell>
          <cell r="U411">
            <v>0</v>
          </cell>
          <cell r="V411">
            <v>4607</v>
          </cell>
          <cell r="W411">
            <v>0</v>
          </cell>
          <cell r="X411">
            <v>0</v>
          </cell>
          <cell r="Y411">
            <v>18888</v>
          </cell>
          <cell r="Z411">
            <v>830486</v>
          </cell>
          <cell r="AA411">
            <v>898832</v>
          </cell>
          <cell r="AB411" t="str">
            <v>ERGA</v>
          </cell>
          <cell r="AC411">
            <v>1101</v>
          </cell>
          <cell r="AD411">
            <v>2</v>
          </cell>
          <cell r="AE411">
            <v>113911</v>
          </cell>
        </row>
        <row r="412">
          <cell r="A412" t="str">
            <v>SMA</v>
          </cell>
          <cell r="B412">
            <v>2</v>
          </cell>
          <cell r="C412" t="str">
            <v>DRAM</v>
          </cell>
          <cell r="D412">
            <v>21</v>
          </cell>
          <cell r="E412">
            <v>1</v>
          </cell>
          <cell r="F412" t="str">
            <v xml:space="preserve">B </v>
          </cell>
          <cell r="G412">
            <v>12</v>
          </cell>
          <cell r="H412">
            <v>4701</v>
          </cell>
          <cell r="I412">
            <v>254016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2273940</v>
          </cell>
          <cell r="P412">
            <v>0</v>
          </cell>
          <cell r="Q412">
            <v>0</v>
          </cell>
          <cell r="R412">
            <v>19721</v>
          </cell>
          <cell r="S412">
            <v>-6</v>
          </cell>
          <cell r="T412">
            <v>25498</v>
          </cell>
          <cell r="U412">
            <v>386819</v>
          </cell>
          <cell r="V412">
            <v>1975</v>
          </cell>
          <cell r="W412">
            <v>0</v>
          </cell>
          <cell r="X412">
            <v>0</v>
          </cell>
          <cell r="Y412">
            <v>80926</v>
          </cell>
          <cell r="Z412">
            <v>2273940</v>
          </cell>
          <cell r="AA412">
            <v>2402054</v>
          </cell>
          <cell r="AB412" t="str">
            <v>ERGA</v>
          </cell>
          <cell r="AC412">
            <v>1101</v>
          </cell>
          <cell r="AD412">
            <v>2</v>
          </cell>
          <cell r="AE412">
            <v>254016</v>
          </cell>
        </row>
        <row r="413">
          <cell r="A413" t="str">
            <v>SMA</v>
          </cell>
          <cell r="B413">
            <v>2</v>
          </cell>
          <cell r="C413" t="str">
            <v>DRAM</v>
          </cell>
          <cell r="D413">
            <v>21</v>
          </cell>
          <cell r="E413">
            <v>1</v>
          </cell>
          <cell r="F413" t="str">
            <v xml:space="preserve">B </v>
          </cell>
          <cell r="G413">
            <v>13</v>
          </cell>
          <cell r="H413">
            <v>232</v>
          </cell>
          <cell r="I413">
            <v>26562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326226</v>
          </cell>
          <cell r="P413">
            <v>0</v>
          </cell>
          <cell r="Q413">
            <v>0</v>
          </cell>
          <cell r="R413">
            <v>3323</v>
          </cell>
          <cell r="S413">
            <v>0</v>
          </cell>
          <cell r="T413">
            <v>2590</v>
          </cell>
          <cell r="U413">
            <v>55473</v>
          </cell>
          <cell r="V413">
            <v>94</v>
          </cell>
          <cell r="W413">
            <v>0</v>
          </cell>
          <cell r="X413">
            <v>0</v>
          </cell>
          <cell r="Y413">
            <v>17721</v>
          </cell>
          <cell r="Z413">
            <v>326226</v>
          </cell>
          <cell r="AA413">
            <v>349954</v>
          </cell>
          <cell r="AB413" t="str">
            <v>ERGA</v>
          </cell>
          <cell r="AC413">
            <v>1101</v>
          </cell>
          <cell r="AD413">
            <v>2</v>
          </cell>
          <cell r="AE413">
            <v>26562</v>
          </cell>
        </row>
        <row r="414">
          <cell r="A414" t="str">
            <v>SMA</v>
          </cell>
          <cell r="B414">
            <v>2</v>
          </cell>
          <cell r="C414" t="str">
            <v>DRAM</v>
          </cell>
          <cell r="D414">
            <v>21</v>
          </cell>
          <cell r="E414">
            <v>1</v>
          </cell>
          <cell r="F414" t="str">
            <v xml:space="preserve">B </v>
          </cell>
          <cell r="G414">
            <v>14</v>
          </cell>
          <cell r="H414">
            <v>17</v>
          </cell>
          <cell r="I414">
            <v>2547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32411</v>
          </cell>
          <cell r="P414">
            <v>0</v>
          </cell>
          <cell r="Q414">
            <v>0</v>
          </cell>
          <cell r="R414">
            <v>357</v>
          </cell>
          <cell r="S414">
            <v>0</v>
          </cell>
          <cell r="T414">
            <v>0</v>
          </cell>
          <cell r="U414">
            <v>5512</v>
          </cell>
          <cell r="V414">
            <v>0</v>
          </cell>
          <cell r="W414">
            <v>0</v>
          </cell>
          <cell r="X414">
            <v>0</v>
          </cell>
          <cell r="Y414">
            <v>1024</v>
          </cell>
          <cell r="Z414">
            <v>32411</v>
          </cell>
          <cell r="AA414">
            <v>33792</v>
          </cell>
          <cell r="AB414" t="str">
            <v>ERGA</v>
          </cell>
          <cell r="AC414">
            <v>1101</v>
          </cell>
          <cell r="AD414">
            <v>2</v>
          </cell>
          <cell r="AE414">
            <v>2547</v>
          </cell>
        </row>
        <row r="415">
          <cell r="A415" t="str">
            <v>SMA</v>
          </cell>
          <cell r="B415">
            <v>2</v>
          </cell>
          <cell r="C415" t="str">
            <v>DRAM</v>
          </cell>
          <cell r="D415">
            <v>21</v>
          </cell>
          <cell r="E415">
            <v>1</v>
          </cell>
          <cell r="F415" t="str">
            <v xml:space="preserve">B </v>
          </cell>
          <cell r="G415">
            <v>15</v>
          </cell>
          <cell r="H415">
            <v>24</v>
          </cell>
          <cell r="I415">
            <v>17367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353528</v>
          </cell>
          <cell r="P415">
            <v>0</v>
          </cell>
          <cell r="Q415">
            <v>0</v>
          </cell>
          <cell r="R415">
            <v>508</v>
          </cell>
          <cell r="S415">
            <v>0</v>
          </cell>
          <cell r="T415">
            <v>32</v>
          </cell>
          <cell r="U415">
            <v>85216</v>
          </cell>
          <cell r="V415">
            <v>0</v>
          </cell>
          <cell r="W415">
            <v>0</v>
          </cell>
          <cell r="X415">
            <v>0</v>
          </cell>
          <cell r="Y415">
            <v>-110</v>
          </cell>
          <cell r="Z415">
            <v>353528</v>
          </cell>
          <cell r="AA415">
            <v>353958</v>
          </cell>
          <cell r="AB415" t="str">
            <v>ERGA</v>
          </cell>
          <cell r="AC415">
            <v>1101</v>
          </cell>
          <cell r="AD415">
            <v>2</v>
          </cell>
          <cell r="AE415">
            <v>17367</v>
          </cell>
        </row>
        <row r="416">
          <cell r="A416" t="str">
            <v>SMA</v>
          </cell>
          <cell r="B416">
            <v>2</v>
          </cell>
          <cell r="C416" t="str">
            <v>DRAM</v>
          </cell>
          <cell r="D416">
            <v>21</v>
          </cell>
          <cell r="E416">
            <v>2</v>
          </cell>
          <cell r="F416" t="str">
            <v>A4</v>
          </cell>
          <cell r="G416">
            <v>22</v>
          </cell>
          <cell r="H416">
            <v>3</v>
          </cell>
          <cell r="I416">
            <v>410293</v>
          </cell>
          <cell r="J416">
            <v>38309</v>
          </cell>
          <cell r="K416">
            <v>371984</v>
          </cell>
          <cell r="L416">
            <v>2106</v>
          </cell>
          <cell r="M416">
            <v>1429</v>
          </cell>
          <cell r="N416">
            <v>987</v>
          </cell>
          <cell r="O416">
            <v>2922363</v>
          </cell>
          <cell r="P416">
            <v>3030710</v>
          </cell>
          <cell r="Q416">
            <v>227072</v>
          </cell>
          <cell r="R416">
            <v>0</v>
          </cell>
          <cell r="S416">
            <v>0</v>
          </cell>
          <cell r="T416">
            <v>7406</v>
          </cell>
          <cell r="U416">
            <v>1566442</v>
          </cell>
          <cell r="V416">
            <v>0</v>
          </cell>
          <cell r="W416">
            <v>85623</v>
          </cell>
          <cell r="X416">
            <v>0</v>
          </cell>
          <cell r="Y416">
            <v>5960</v>
          </cell>
          <cell r="Z416">
            <v>6265768</v>
          </cell>
          <cell r="AA416">
            <v>6279134</v>
          </cell>
          <cell r="AB416" t="str">
            <v>ERGA</v>
          </cell>
          <cell r="AC416">
            <v>1101</v>
          </cell>
          <cell r="AD416">
            <v>2</v>
          </cell>
          <cell r="AE416">
            <v>410293</v>
          </cell>
        </row>
        <row r="417">
          <cell r="A417" t="str">
            <v>SMA</v>
          </cell>
          <cell r="B417">
            <v>2</v>
          </cell>
          <cell r="C417" t="str">
            <v>DRAM</v>
          </cell>
          <cell r="D417">
            <v>21</v>
          </cell>
          <cell r="E417">
            <v>2</v>
          </cell>
          <cell r="F417" t="str">
            <v>A4</v>
          </cell>
          <cell r="G417">
            <v>21</v>
          </cell>
          <cell r="H417">
            <v>2</v>
          </cell>
          <cell r="I417">
            <v>401400</v>
          </cell>
          <cell r="J417">
            <v>33460</v>
          </cell>
          <cell r="K417">
            <v>367940</v>
          </cell>
          <cell r="L417">
            <v>929</v>
          </cell>
          <cell r="M417">
            <v>900</v>
          </cell>
          <cell r="N417">
            <v>0</v>
          </cell>
          <cell r="O417">
            <v>4432765</v>
          </cell>
          <cell r="P417">
            <v>681649</v>
          </cell>
          <cell r="Q417">
            <v>38012</v>
          </cell>
          <cell r="R417">
            <v>133922</v>
          </cell>
          <cell r="S417">
            <v>0</v>
          </cell>
          <cell r="T417">
            <v>0</v>
          </cell>
          <cell r="U417">
            <v>1290179</v>
          </cell>
          <cell r="V417">
            <v>0</v>
          </cell>
          <cell r="W417">
            <v>8288</v>
          </cell>
          <cell r="X417">
            <v>0</v>
          </cell>
          <cell r="Y417">
            <v>2980</v>
          </cell>
          <cell r="Z417">
            <v>5160714</v>
          </cell>
          <cell r="AA417">
            <v>5297616</v>
          </cell>
          <cell r="AB417" t="str">
            <v>ERGA</v>
          </cell>
          <cell r="AC417">
            <v>1101</v>
          </cell>
          <cell r="AD417">
            <v>2</v>
          </cell>
          <cell r="AE417">
            <v>401400</v>
          </cell>
        </row>
        <row r="418">
          <cell r="A418" t="str">
            <v>SMA</v>
          </cell>
          <cell r="B418">
            <v>2</v>
          </cell>
          <cell r="C418" t="str">
            <v>DRAM</v>
          </cell>
          <cell r="D418">
            <v>21</v>
          </cell>
          <cell r="E418">
            <v>2</v>
          </cell>
          <cell r="F418" t="str">
            <v>A4</v>
          </cell>
          <cell r="G418">
            <v>20</v>
          </cell>
          <cell r="H418">
            <v>23</v>
          </cell>
          <cell r="I418">
            <v>299535</v>
          </cell>
          <cell r="J418">
            <v>0</v>
          </cell>
          <cell r="K418">
            <v>0</v>
          </cell>
          <cell r="L418">
            <v>1619</v>
          </cell>
          <cell r="M418">
            <v>0</v>
          </cell>
          <cell r="N418">
            <v>0</v>
          </cell>
          <cell r="O418">
            <v>3437066</v>
          </cell>
          <cell r="P418">
            <v>1267139</v>
          </cell>
          <cell r="Q418">
            <v>430336</v>
          </cell>
          <cell r="R418">
            <v>53195</v>
          </cell>
          <cell r="S418">
            <v>0</v>
          </cell>
          <cell r="T418">
            <v>183827</v>
          </cell>
          <cell r="U418">
            <v>1342340</v>
          </cell>
          <cell r="V418">
            <v>0</v>
          </cell>
          <cell r="W418">
            <v>234802</v>
          </cell>
          <cell r="X418">
            <v>0</v>
          </cell>
          <cell r="Y418">
            <v>26162</v>
          </cell>
          <cell r="Z418">
            <v>5369343</v>
          </cell>
          <cell r="AA418">
            <v>5632527</v>
          </cell>
          <cell r="AB418" t="str">
            <v>ERGA</v>
          </cell>
          <cell r="AC418">
            <v>1101</v>
          </cell>
          <cell r="AD418">
            <v>2</v>
          </cell>
          <cell r="AE418">
            <v>299535</v>
          </cell>
        </row>
        <row r="419">
          <cell r="A419" t="str">
            <v>SMA</v>
          </cell>
          <cell r="B419">
            <v>2</v>
          </cell>
          <cell r="C419" t="str">
            <v>DRAM</v>
          </cell>
          <cell r="D419">
            <v>21</v>
          </cell>
          <cell r="E419">
            <v>2</v>
          </cell>
          <cell r="F419" t="str">
            <v xml:space="preserve">B </v>
          </cell>
          <cell r="G419">
            <v>0</v>
          </cell>
          <cell r="H419">
            <v>304</v>
          </cell>
          <cell r="I419">
            <v>139489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2912683</v>
          </cell>
          <cell r="P419">
            <v>0</v>
          </cell>
          <cell r="Q419">
            <v>0</v>
          </cell>
          <cell r="R419">
            <v>47070</v>
          </cell>
          <cell r="S419">
            <v>0</v>
          </cell>
          <cell r="T419">
            <v>178770</v>
          </cell>
          <cell r="U419">
            <v>725800</v>
          </cell>
          <cell r="V419">
            <v>94</v>
          </cell>
          <cell r="W419">
            <v>0</v>
          </cell>
          <cell r="X419">
            <v>0</v>
          </cell>
          <cell r="Y419">
            <v>46019</v>
          </cell>
          <cell r="Z419">
            <v>2912683</v>
          </cell>
          <cell r="AA419">
            <v>3184636</v>
          </cell>
          <cell r="AB419" t="str">
            <v>ERGA</v>
          </cell>
          <cell r="AC419">
            <v>1101</v>
          </cell>
          <cell r="AD419">
            <v>2</v>
          </cell>
          <cell r="AE419">
            <v>136009</v>
          </cell>
        </row>
        <row r="420">
          <cell r="A420" t="str">
            <v>SMA</v>
          </cell>
          <cell r="B420">
            <v>2</v>
          </cell>
          <cell r="C420" t="str">
            <v>DRAM</v>
          </cell>
          <cell r="D420">
            <v>21</v>
          </cell>
          <cell r="E420">
            <v>3</v>
          </cell>
          <cell r="F420" t="str">
            <v>A4</v>
          </cell>
          <cell r="G420">
            <v>21</v>
          </cell>
          <cell r="H420">
            <v>1</v>
          </cell>
          <cell r="I420">
            <v>15845</v>
          </cell>
          <cell r="J420">
            <v>1156</v>
          </cell>
          <cell r="K420">
            <v>14689</v>
          </cell>
          <cell r="L420">
            <v>115</v>
          </cell>
          <cell r="M420">
            <v>115</v>
          </cell>
          <cell r="N420">
            <v>0</v>
          </cell>
          <cell r="O420">
            <v>165913</v>
          </cell>
          <cell r="P420">
            <v>79427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61335</v>
          </cell>
          <cell r="V420">
            <v>0</v>
          </cell>
          <cell r="W420">
            <v>0</v>
          </cell>
          <cell r="X420">
            <v>0</v>
          </cell>
          <cell r="Y420">
            <v>2980</v>
          </cell>
          <cell r="Z420">
            <v>245340</v>
          </cell>
          <cell r="AA420">
            <v>248320</v>
          </cell>
          <cell r="AB420" t="str">
            <v>ERGA</v>
          </cell>
          <cell r="AC420">
            <v>1101</v>
          </cell>
          <cell r="AD420">
            <v>2</v>
          </cell>
          <cell r="AE420">
            <v>15845</v>
          </cell>
        </row>
        <row r="421">
          <cell r="A421" t="str">
            <v>SMA</v>
          </cell>
          <cell r="B421">
            <v>2</v>
          </cell>
          <cell r="C421" t="str">
            <v>DRAM</v>
          </cell>
          <cell r="D421">
            <v>21</v>
          </cell>
          <cell r="E421">
            <v>3</v>
          </cell>
          <cell r="F421" t="str">
            <v>A4</v>
          </cell>
          <cell r="G421">
            <v>20</v>
          </cell>
          <cell r="H421">
            <v>38</v>
          </cell>
          <cell r="I421">
            <v>461502</v>
          </cell>
          <cell r="J421">
            <v>0</v>
          </cell>
          <cell r="K421">
            <v>0</v>
          </cell>
          <cell r="L421">
            <v>1826</v>
          </cell>
          <cell r="M421">
            <v>0</v>
          </cell>
          <cell r="N421">
            <v>0</v>
          </cell>
          <cell r="O421">
            <v>5295584</v>
          </cell>
          <cell r="P421">
            <v>1429152</v>
          </cell>
          <cell r="Q421">
            <v>360535</v>
          </cell>
          <cell r="R421">
            <v>21387</v>
          </cell>
          <cell r="S421">
            <v>0</v>
          </cell>
          <cell r="T421">
            <v>130000</v>
          </cell>
          <cell r="U421">
            <v>1794803</v>
          </cell>
          <cell r="V421">
            <v>0</v>
          </cell>
          <cell r="W421">
            <v>93920</v>
          </cell>
          <cell r="X421">
            <v>0</v>
          </cell>
          <cell r="Y421">
            <v>81880</v>
          </cell>
          <cell r="Z421">
            <v>7179191</v>
          </cell>
          <cell r="AA421">
            <v>7412458</v>
          </cell>
          <cell r="AB421" t="str">
            <v>ERGA</v>
          </cell>
          <cell r="AC421">
            <v>1101</v>
          </cell>
          <cell r="AD421">
            <v>2</v>
          </cell>
          <cell r="AE421">
            <v>461502</v>
          </cell>
        </row>
        <row r="422">
          <cell r="A422" t="str">
            <v>SMA</v>
          </cell>
          <cell r="B422">
            <v>2</v>
          </cell>
          <cell r="C422" t="str">
            <v>DRAM</v>
          </cell>
          <cell r="D422">
            <v>21</v>
          </cell>
          <cell r="E422">
            <v>3</v>
          </cell>
          <cell r="F422" t="str">
            <v xml:space="preserve">B </v>
          </cell>
          <cell r="G422">
            <v>0</v>
          </cell>
          <cell r="H422">
            <v>3462</v>
          </cell>
          <cell r="I422">
            <v>727792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15157181</v>
          </cell>
          <cell r="P422">
            <v>0</v>
          </cell>
          <cell r="Q422">
            <v>0</v>
          </cell>
          <cell r="R422">
            <v>186562</v>
          </cell>
          <cell r="S422">
            <v>3</v>
          </cell>
          <cell r="T422">
            <v>455893</v>
          </cell>
          <cell r="U422">
            <v>3747328</v>
          </cell>
          <cell r="V422">
            <v>471</v>
          </cell>
          <cell r="W422">
            <v>0</v>
          </cell>
          <cell r="X422">
            <v>0</v>
          </cell>
          <cell r="Y422">
            <v>545997</v>
          </cell>
          <cell r="Z422">
            <v>15157181</v>
          </cell>
          <cell r="AA422">
            <v>16346107</v>
          </cell>
          <cell r="AB422" t="str">
            <v>ERGA</v>
          </cell>
          <cell r="AC422">
            <v>1101</v>
          </cell>
          <cell r="AD422">
            <v>2</v>
          </cell>
          <cell r="AE422">
            <v>701981</v>
          </cell>
        </row>
        <row r="423">
          <cell r="A423" t="str">
            <v>SMA</v>
          </cell>
          <cell r="B423">
            <v>2</v>
          </cell>
          <cell r="C423" t="str">
            <v>DRAM</v>
          </cell>
          <cell r="D423">
            <v>21</v>
          </cell>
          <cell r="E423">
            <v>4</v>
          </cell>
          <cell r="F423" t="str">
            <v>A4</v>
          </cell>
          <cell r="G423">
            <v>22</v>
          </cell>
          <cell r="H423">
            <v>1</v>
          </cell>
          <cell r="I423">
            <v>18813</v>
          </cell>
          <cell r="J423">
            <v>0</v>
          </cell>
          <cell r="K423">
            <v>18813</v>
          </cell>
          <cell r="L423">
            <v>128</v>
          </cell>
          <cell r="M423">
            <v>122</v>
          </cell>
          <cell r="N423">
            <v>6</v>
          </cell>
          <cell r="O423">
            <v>81987</v>
          </cell>
          <cell r="P423">
            <v>65234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147221</v>
          </cell>
          <cell r="AA423">
            <v>147221</v>
          </cell>
          <cell r="AB423" t="str">
            <v>ERGA</v>
          </cell>
          <cell r="AC423">
            <v>1101</v>
          </cell>
          <cell r="AD423">
            <v>2</v>
          </cell>
          <cell r="AE423">
            <v>18813</v>
          </cell>
        </row>
        <row r="424">
          <cell r="A424" t="str">
            <v>SMA</v>
          </cell>
          <cell r="B424">
            <v>2</v>
          </cell>
          <cell r="C424" t="str">
            <v>DRAM</v>
          </cell>
          <cell r="D424">
            <v>21</v>
          </cell>
          <cell r="E424">
            <v>4</v>
          </cell>
          <cell r="F424" t="str">
            <v>A4</v>
          </cell>
          <cell r="G424">
            <v>20</v>
          </cell>
          <cell r="H424">
            <v>3</v>
          </cell>
          <cell r="I424">
            <v>14912</v>
          </cell>
          <cell r="J424">
            <v>0</v>
          </cell>
          <cell r="K424">
            <v>0</v>
          </cell>
          <cell r="L424">
            <v>85</v>
          </cell>
          <cell r="M424">
            <v>0</v>
          </cell>
          <cell r="N424">
            <v>0</v>
          </cell>
          <cell r="O424">
            <v>115494</v>
          </cell>
          <cell r="P424">
            <v>44880</v>
          </cell>
          <cell r="Q424">
            <v>0</v>
          </cell>
          <cell r="R424">
            <v>1721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160374</v>
          </cell>
          <cell r="AA424">
            <v>162095</v>
          </cell>
          <cell r="AB424" t="str">
            <v>ERGA</v>
          </cell>
          <cell r="AC424">
            <v>1101</v>
          </cell>
          <cell r="AD424">
            <v>2</v>
          </cell>
          <cell r="AE424">
            <v>14912</v>
          </cell>
        </row>
        <row r="425">
          <cell r="A425" t="str">
            <v>SMA</v>
          </cell>
          <cell r="B425">
            <v>2</v>
          </cell>
          <cell r="C425" t="str">
            <v>DRAM</v>
          </cell>
          <cell r="D425">
            <v>21</v>
          </cell>
          <cell r="E425">
            <v>4</v>
          </cell>
          <cell r="F425" t="str">
            <v xml:space="preserve">B </v>
          </cell>
          <cell r="G425">
            <v>0</v>
          </cell>
          <cell r="H425">
            <v>968</v>
          </cell>
          <cell r="I425">
            <v>157185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1543058</v>
          </cell>
          <cell r="P425">
            <v>0</v>
          </cell>
          <cell r="Q425">
            <v>0</v>
          </cell>
          <cell r="R425">
            <v>17</v>
          </cell>
          <cell r="S425">
            <v>0</v>
          </cell>
          <cell r="T425">
            <v>63830</v>
          </cell>
          <cell r="U425">
            <v>0</v>
          </cell>
          <cell r="V425">
            <v>68911</v>
          </cell>
          <cell r="W425">
            <v>0</v>
          </cell>
          <cell r="X425">
            <v>0</v>
          </cell>
          <cell r="Y425">
            <v>0</v>
          </cell>
          <cell r="Z425">
            <v>1543058</v>
          </cell>
          <cell r="AA425">
            <v>1675816</v>
          </cell>
          <cell r="AB425" t="str">
            <v>ERGA</v>
          </cell>
          <cell r="AC425">
            <v>1101</v>
          </cell>
          <cell r="AD425">
            <v>2</v>
          </cell>
          <cell r="AE425">
            <v>147434</v>
          </cell>
        </row>
        <row r="426">
          <cell r="A426" t="str">
            <v>SMA</v>
          </cell>
          <cell r="B426">
            <v>2</v>
          </cell>
          <cell r="C426" t="str">
            <v>DRAM</v>
          </cell>
          <cell r="D426">
            <v>21</v>
          </cell>
          <cell r="E426">
            <v>4</v>
          </cell>
          <cell r="F426" t="str">
            <v>A4</v>
          </cell>
          <cell r="G426">
            <v>23</v>
          </cell>
          <cell r="H426">
            <v>1</v>
          </cell>
          <cell r="I426">
            <v>3419</v>
          </cell>
          <cell r="J426">
            <v>49</v>
          </cell>
          <cell r="K426">
            <v>1957</v>
          </cell>
          <cell r="L426">
            <v>22</v>
          </cell>
          <cell r="M426">
            <v>22</v>
          </cell>
          <cell r="N426">
            <v>0</v>
          </cell>
          <cell r="O426">
            <v>11246</v>
          </cell>
          <cell r="P426">
            <v>10252</v>
          </cell>
          <cell r="Q426">
            <v>7836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10718</v>
          </cell>
          <cell r="X426">
            <v>0</v>
          </cell>
          <cell r="Y426">
            <v>0</v>
          </cell>
          <cell r="Z426">
            <v>40052</v>
          </cell>
          <cell r="AA426">
            <v>40052</v>
          </cell>
          <cell r="AB426" t="str">
            <v>ERGA</v>
          </cell>
          <cell r="AC426">
            <v>1101</v>
          </cell>
          <cell r="AD426">
            <v>2</v>
          </cell>
          <cell r="AE426">
            <v>3419</v>
          </cell>
        </row>
        <row r="427">
          <cell r="A427" t="str">
            <v>SMA</v>
          </cell>
          <cell r="B427">
            <v>2</v>
          </cell>
          <cell r="C427" t="str">
            <v>DRAM</v>
          </cell>
          <cell r="D427">
            <v>21</v>
          </cell>
          <cell r="E427">
            <v>5</v>
          </cell>
          <cell r="F427" t="str">
            <v>A4</v>
          </cell>
          <cell r="G427">
            <v>21</v>
          </cell>
          <cell r="H427">
            <v>1</v>
          </cell>
          <cell r="I427">
            <v>9685</v>
          </cell>
          <cell r="J427">
            <v>512</v>
          </cell>
          <cell r="K427">
            <v>9173</v>
          </cell>
          <cell r="L427">
            <v>68</v>
          </cell>
          <cell r="M427">
            <v>68</v>
          </cell>
          <cell r="N427">
            <v>0</v>
          </cell>
          <cell r="O427">
            <v>90706</v>
          </cell>
          <cell r="P427">
            <v>46965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34418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137671</v>
          </cell>
          <cell r="AA427">
            <v>137671</v>
          </cell>
          <cell r="AB427" t="str">
            <v>ERGA</v>
          </cell>
          <cell r="AC427">
            <v>1101</v>
          </cell>
          <cell r="AD427">
            <v>2</v>
          </cell>
          <cell r="AE427">
            <v>9685</v>
          </cell>
        </row>
        <row r="428">
          <cell r="A428" t="str">
            <v>SMA</v>
          </cell>
          <cell r="B428">
            <v>2</v>
          </cell>
          <cell r="C428" t="str">
            <v>DRAM</v>
          </cell>
          <cell r="D428">
            <v>21</v>
          </cell>
          <cell r="E428">
            <v>5</v>
          </cell>
          <cell r="F428" t="str">
            <v>A4</v>
          </cell>
          <cell r="G428">
            <v>20</v>
          </cell>
          <cell r="H428">
            <v>13</v>
          </cell>
          <cell r="I428">
            <v>67508</v>
          </cell>
          <cell r="J428">
            <v>0</v>
          </cell>
          <cell r="K428">
            <v>0</v>
          </cell>
          <cell r="L428">
            <v>322</v>
          </cell>
          <cell r="M428">
            <v>0</v>
          </cell>
          <cell r="N428">
            <v>0</v>
          </cell>
          <cell r="O428">
            <v>678862</v>
          </cell>
          <cell r="P428">
            <v>226386</v>
          </cell>
          <cell r="Q428">
            <v>56378</v>
          </cell>
          <cell r="R428">
            <v>5869</v>
          </cell>
          <cell r="S428">
            <v>0</v>
          </cell>
          <cell r="T428">
            <v>0</v>
          </cell>
          <cell r="U428">
            <v>137428</v>
          </cell>
          <cell r="V428">
            <v>0</v>
          </cell>
          <cell r="W428">
            <v>16045</v>
          </cell>
          <cell r="X428">
            <v>0</v>
          </cell>
          <cell r="Y428">
            <v>0</v>
          </cell>
          <cell r="Z428">
            <v>977671</v>
          </cell>
          <cell r="AA428">
            <v>983540</v>
          </cell>
          <cell r="AB428" t="str">
            <v>ERGA</v>
          </cell>
          <cell r="AC428">
            <v>1101</v>
          </cell>
          <cell r="AD428">
            <v>2</v>
          </cell>
          <cell r="AE428">
            <v>67508</v>
          </cell>
        </row>
        <row r="429">
          <cell r="A429" t="str">
            <v>SMA</v>
          </cell>
          <cell r="B429">
            <v>2</v>
          </cell>
          <cell r="C429" t="str">
            <v>DRAM</v>
          </cell>
          <cell r="D429">
            <v>21</v>
          </cell>
          <cell r="E429">
            <v>5</v>
          </cell>
          <cell r="F429" t="str">
            <v xml:space="preserve">B </v>
          </cell>
          <cell r="G429">
            <v>0</v>
          </cell>
          <cell r="H429">
            <v>709</v>
          </cell>
          <cell r="I429">
            <v>269904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5234998</v>
          </cell>
          <cell r="P429">
            <v>0</v>
          </cell>
          <cell r="Q429">
            <v>0</v>
          </cell>
          <cell r="R429">
            <v>42724</v>
          </cell>
          <cell r="S429">
            <v>0</v>
          </cell>
          <cell r="T429">
            <v>0</v>
          </cell>
          <cell r="U429">
            <v>1020858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5234998</v>
          </cell>
          <cell r="AA429">
            <v>5277722</v>
          </cell>
          <cell r="AB429" t="str">
            <v>ERGA</v>
          </cell>
          <cell r="AC429">
            <v>1101</v>
          </cell>
          <cell r="AD429">
            <v>2</v>
          </cell>
          <cell r="AE429">
            <v>265897</v>
          </cell>
        </row>
        <row r="430">
          <cell r="A430" t="str">
            <v>SMA</v>
          </cell>
          <cell r="B430">
            <v>2</v>
          </cell>
          <cell r="C430" t="str">
            <v>DRAM</v>
          </cell>
          <cell r="D430">
            <v>21</v>
          </cell>
          <cell r="E430">
            <v>6</v>
          </cell>
          <cell r="F430" t="str">
            <v xml:space="preserve">B </v>
          </cell>
          <cell r="G430">
            <v>0</v>
          </cell>
          <cell r="H430">
            <v>46</v>
          </cell>
          <cell r="I430">
            <v>664660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7825265</v>
          </cell>
          <cell r="P430">
            <v>0</v>
          </cell>
          <cell r="Q430">
            <v>0</v>
          </cell>
          <cell r="R430">
            <v>85867</v>
          </cell>
          <cell r="S430">
            <v>0</v>
          </cell>
          <cell r="T430">
            <v>517884</v>
          </cell>
          <cell r="U430">
            <v>1956317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7825265</v>
          </cell>
          <cell r="AA430">
            <v>8429016</v>
          </cell>
          <cell r="AB430" t="str">
            <v>ERGA</v>
          </cell>
          <cell r="AC430">
            <v>1101</v>
          </cell>
          <cell r="AD430">
            <v>2</v>
          </cell>
          <cell r="AE430">
            <v>664660</v>
          </cell>
        </row>
        <row r="431">
          <cell r="A431" t="str">
            <v>SMA</v>
          </cell>
          <cell r="B431">
            <v>2</v>
          </cell>
          <cell r="C431" t="str">
            <v>DRAM</v>
          </cell>
          <cell r="D431">
            <v>21</v>
          </cell>
          <cell r="E431">
            <v>7</v>
          </cell>
          <cell r="F431" t="str">
            <v>A4</v>
          </cell>
          <cell r="G431">
            <v>22</v>
          </cell>
          <cell r="H431">
            <v>2</v>
          </cell>
          <cell r="I431">
            <v>830255</v>
          </cell>
          <cell r="J431">
            <v>67116</v>
          </cell>
          <cell r="K431">
            <v>763139</v>
          </cell>
          <cell r="L431">
            <v>2298</v>
          </cell>
          <cell r="M431">
            <v>1152</v>
          </cell>
          <cell r="N431">
            <v>1146</v>
          </cell>
          <cell r="O431">
            <v>4962894</v>
          </cell>
          <cell r="P431">
            <v>2692800</v>
          </cell>
          <cell r="Q431">
            <v>1288604</v>
          </cell>
          <cell r="R431">
            <v>0</v>
          </cell>
          <cell r="S431">
            <v>0</v>
          </cell>
          <cell r="T431">
            <v>0</v>
          </cell>
          <cell r="U431">
            <v>2448595</v>
          </cell>
          <cell r="V431">
            <v>0</v>
          </cell>
          <cell r="W431">
            <v>850080</v>
          </cell>
          <cell r="X431">
            <v>0</v>
          </cell>
          <cell r="Y431">
            <v>0</v>
          </cell>
          <cell r="Z431">
            <v>9794378</v>
          </cell>
          <cell r="AA431">
            <v>9794378</v>
          </cell>
          <cell r="AB431" t="str">
            <v>ERGA</v>
          </cell>
          <cell r="AC431">
            <v>1101</v>
          </cell>
          <cell r="AD431">
            <v>2</v>
          </cell>
          <cell r="AE431">
            <v>830255</v>
          </cell>
        </row>
        <row r="432">
          <cell r="A432" t="str">
            <v>SMA</v>
          </cell>
          <cell r="B432">
            <v>2</v>
          </cell>
          <cell r="C432" t="str">
            <v>DRAM</v>
          </cell>
          <cell r="D432">
            <v>21</v>
          </cell>
          <cell r="E432">
            <v>7</v>
          </cell>
          <cell r="F432" t="str">
            <v>A4</v>
          </cell>
          <cell r="G432">
            <v>20</v>
          </cell>
          <cell r="H432">
            <v>16</v>
          </cell>
          <cell r="I432">
            <v>650025</v>
          </cell>
          <cell r="J432">
            <v>0</v>
          </cell>
          <cell r="K432">
            <v>0</v>
          </cell>
          <cell r="L432">
            <v>1006</v>
          </cell>
          <cell r="M432">
            <v>0</v>
          </cell>
          <cell r="N432">
            <v>0</v>
          </cell>
          <cell r="O432">
            <v>6339908</v>
          </cell>
          <cell r="P432">
            <v>674913</v>
          </cell>
          <cell r="Q432">
            <v>154706</v>
          </cell>
          <cell r="R432">
            <v>0</v>
          </cell>
          <cell r="S432">
            <v>0</v>
          </cell>
          <cell r="T432">
            <v>0</v>
          </cell>
          <cell r="U432">
            <v>1796698</v>
          </cell>
          <cell r="V432">
            <v>0</v>
          </cell>
          <cell r="W432">
            <v>17264</v>
          </cell>
          <cell r="X432">
            <v>0</v>
          </cell>
          <cell r="Y432">
            <v>0</v>
          </cell>
          <cell r="Z432">
            <v>7186791</v>
          </cell>
          <cell r="AA432">
            <v>7186791</v>
          </cell>
          <cell r="AB432" t="str">
            <v>ERGA</v>
          </cell>
          <cell r="AC432">
            <v>1101</v>
          </cell>
          <cell r="AD432">
            <v>2</v>
          </cell>
          <cell r="AE432">
            <v>650025</v>
          </cell>
        </row>
        <row r="433">
          <cell r="A433" t="str">
            <v>SMA</v>
          </cell>
          <cell r="B433">
            <v>2</v>
          </cell>
          <cell r="C433" t="str">
            <v>DRAM</v>
          </cell>
          <cell r="D433">
            <v>21</v>
          </cell>
          <cell r="E433">
            <v>7</v>
          </cell>
          <cell r="F433" t="str">
            <v xml:space="preserve">B </v>
          </cell>
          <cell r="G433">
            <v>0</v>
          </cell>
          <cell r="H433">
            <v>10</v>
          </cell>
          <cell r="I433">
            <v>32252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570688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142672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570688</v>
          </cell>
          <cell r="AA433">
            <v>570688</v>
          </cell>
          <cell r="AB433" t="str">
            <v>ERGA</v>
          </cell>
          <cell r="AC433">
            <v>1101</v>
          </cell>
          <cell r="AD433">
            <v>2</v>
          </cell>
          <cell r="AE433">
            <v>32152</v>
          </cell>
        </row>
        <row r="434">
          <cell r="A434" t="str">
            <v>SMA</v>
          </cell>
          <cell r="B434">
            <v>2</v>
          </cell>
          <cell r="C434" t="str">
            <v>DRAM</v>
          </cell>
          <cell r="D434">
            <v>21</v>
          </cell>
          <cell r="E434">
            <v>8</v>
          </cell>
          <cell r="F434" t="str">
            <v xml:space="preserve">B </v>
          </cell>
          <cell r="G434">
            <v>0</v>
          </cell>
          <cell r="H434">
            <v>11</v>
          </cell>
          <cell r="I434">
            <v>10121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210702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52674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210702</v>
          </cell>
          <cell r="AA434">
            <v>210702</v>
          </cell>
          <cell r="AB434" t="str">
            <v>ERGA</v>
          </cell>
          <cell r="AC434">
            <v>1101</v>
          </cell>
          <cell r="AD434">
            <v>2</v>
          </cell>
          <cell r="AE434">
            <v>9891</v>
          </cell>
        </row>
        <row r="435">
          <cell r="A435" t="str">
            <v>SMA</v>
          </cell>
          <cell r="B435">
            <v>2</v>
          </cell>
          <cell r="C435" t="str">
            <v>DRAM</v>
          </cell>
          <cell r="D435">
            <v>22</v>
          </cell>
          <cell r="E435">
            <v>1</v>
          </cell>
          <cell r="F435" t="str">
            <v xml:space="preserve">B </v>
          </cell>
          <cell r="G435">
            <v>1</v>
          </cell>
          <cell r="H435">
            <v>13304</v>
          </cell>
          <cell r="I435">
            <v>285303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4616094</v>
          </cell>
          <cell r="P435">
            <v>0</v>
          </cell>
          <cell r="Q435">
            <v>0</v>
          </cell>
          <cell r="R435">
            <v>49783</v>
          </cell>
          <cell r="S435">
            <v>0</v>
          </cell>
          <cell r="T435">
            <v>446084</v>
          </cell>
          <cell r="U435">
            <v>0</v>
          </cell>
          <cell r="V435">
            <v>25950</v>
          </cell>
          <cell r="W435">
            <v>0</v>
          </cell>
          <cell r="X435">
            <v>0</v>
          </cell>
          <cell r="Y435">
            <v>39018</v>
          </cell>
          <cell r="Z435">
            <v>4616094</v>
          </cell>
          <cell r="AA435">
            <v>5176929</v>
          </cell>
          <cell r="AB435" t="str">
            <v>ERLA</v>
          </cell>
          <cell r="AC435">
            <v>1101</v>
          </cell>
          <cell r="AD435">
            <v>2</v>
          </cell>
          <cell r="AE435">
            <v>215378</v>
          </cell>
        </row>
        <row r="436">
          <cell r="A436" t="str">
            <v>SMA</v>
          </cell>
          <cell r="B436">
            <v>2</v>
          </cell>
          <cell r="C436" t="str">
            <v>DRAM</v>
          </cell>
          <cell r="D436">
            <v>22</v>
          </cell>
          <cell r="E436">
            <v>1</v>
          </cell>
          <cell r="F436" t="str">
            <v xml:space="preserve">B </v>
          </cell>
          <cell r="G436">
            <v>2</v>
          </cell>
          <cell r="H436">
            <v>5875</v>
          </cell>
          <cell r="I436">
            <v>236287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4582980</v>
          </cell>
          <cell r="P436">
            <v>0</v>
          </cell>
          <cell r="Q436">
            <v>0</v>
          </cell>
          <cell r="R436">
            <v>39535</v>
          </cell>
          <cell r="S436">
            <v>0</v>
          </cell>
          <cell r="T436">
            <v>103961</v>
          </cell>
          <cell r="U436">
            <v>778908</v>
          </cell>
          <cell r="V436">
            <v>9307</v>
          </cell>
          <cell r="W436">
            <v>0</v>
          </cell>
          <cell r="X436">
            <v>0</v>
          </cell>
          <cell r="Y436">
            <v>32220</v>
          </cell>
          <cell r="Z436">
            <v>4582980</v>
          </cell>
          <cell r="AA436">
            <v>4768003</v>
          </cell>
          <cell r="AB436" t="str">
            <v>ERLA</v>
          </cell>
          <cell r="AC436">
            <v>1101</v>
          </cell>
          <cell r="AD436">
            <v>2</v>
          </cell>
          <cell r="AE436">
            <v>236287</v>
          </cell>
        </row>
        <row r="437">
          <cell r="A437" t="str">
            <v>SMA</v>
          </cell>
          <cell r="B437">
            <v>2</v>
          </cell>
          <cell r="C437" t="str">
            <v>DRAM</v>
          </cell>
          <cell r="D437">
            <v>22</v>
          </cell>
          <cell r="E437">
            <v>1</v>
          </cell>
          <cell r="F437" t="str">
            <v xml:space="preserve">B </v>
          </cell>
          <cell r="G437">
            <v>3</v>
          </cell>
          <cell r="H437">
            <v>10753</v>
          </cell>
          <cell r="I437">
            <v>765883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14853503</v>
          </cell>
          <cell r="P437">
            <v>0</v>
          </cell>
          <cell r="Q437">
            <v>0</v>
          </cell>
          <cell r="R437">
            <v>146068</v>
          </cell>
          <cell r="S437">
            <v>0</v>
          </cell>
          <cell r="T437">
            <v>208594</v>
          </cell>
          <cell r="U437">
            <v>2525131</v>
          </cell>
          <cell r="V437">
            <v>15140</v>
          </cell>
          <cell r="W437">
            <v>0</v>
          </cell>
          <cell r="X437">
            <v>0</v>
          </cell>
          <cell r="Y437">
            <v>66120</v>
          </cell>
          <cell r="Z437">
            <v>14853503</v>
          </cell>
          <cell r="AA437">
            <v>15289425</v>
          </cell>
          <cell r="AB437" t="str">
            <v>ERLA</v>
          </cell>
          <cell r="AC437">
            <v>1101</v>
          </cell>
          <cell r="AD437">
            <v>2</v>
          </cell>
          <cell r="AE437">
            <v>764899</v>
          </cell>
        </row>
        <row r="438">
          <cell r="A438" t="str">
            <v>SMA</v>
          </cell>
          <cell r="B438">
            <v>2</v>
          </cell>
          <cell r="C438" t="str">
            <v>DRAM</v>
          </cell>
          <cell r="D438">
            <v>22</v>
          </cell>
          <cell r="E438">
            <v>1</v>
          </cell>
          <cell r="F438" t="str">
            <v xml:space="preserve">B </v>
          </cell>
          <cell r="G438">
            <v>4</v>
          </cell>
          <cell r="H438">
            <v>2197</v>
          </cell>
          <cell r="I438">
            <v>261827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5078828</v>
          </cell>
          <cell r="P438">
            <v>0</v>
          </cell>
          <cell r="Q438">
            <v>0</v>
          </cell>
          <cell r="R438">
            <v>73106</v>
          </cell>
          <cell r="S438">
            <v>0</v>
          </cell>
          <cell r="T438">
            <v>82526</v>
          </cell>
          <cell r="U438">
            <v>863421</v>
          </cell>
          <cell r="V438">
            <v>2257</v>
          </cell>
          <cell r="W438">
            <v>0</v>
          </cell>
          <cell r="X438">
            <v>0</v>
          </cell>
          <cell r="Y438">
            <v>21887</v>
          </cell>
          <cell r="Z438">
            <v>5078828</v>
          </cell>
          <cell r="AA438">
            <v>5258604</v>
          </cell>
          <cell r="AB438" t="str">
            <v>ERLA</v>
          </cell>
          <cell r="AC438">
            <v>1101</v>
          </cell>
          <cell r="AD438">
            <v>2</v>
          </cell>
          <cell r="AE438">
            <v>261827</v>
          </cell>
        </row>
        <row r="439">
          <cell r="A439" t="str">
            <v>SMA</v>
          </cell>
          <cell r="B439">
            <v>2</v>
          </cell>
          <cell r="C439" t="str">
            <v>DRAM</v>
          </cell>
          <cell r="D439">
            <v>22</v>
          </cell>
          <cell r="E439">
            <v>1</v>
          </cell>
          <cell r="F439" t="str">
            <v xml:space="preserve">B </v>
          </cell>
          <cell r="G439">
            <v>5</v>
          </cell>
          <cell r="H439">
            <v>666</v>
          </cell>
          <cell r="I439">
            <v>113899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2209489</v>
          </cell>
          <cell r="P439">
            <v>0</v>
          </cell>
          <cell r="Q439">
            <v>0</v>
          </cell>
          <cell r="R439">
            <v>33951</v>
          </cell>
          <cell r="S439">
            <v>0</v>
          </cell>
          <cell r="T439">
            <v>48621</v>
          </cell>
          <cell r="U439">
            <v>375630</v>
          </cell>
          <cell r="V439">
            <v>752</v>
          </cell>
          <cell r="W439">
            <v>0</v>
          </cell>
          <cell r="X439">
            <v>0</v>
          </cell>
          <cell r="Y439">
            <v>8471</v>
          </cell>
          <cell r="Z439">
            <v>2209489</v>
          </cell>
          <cell r="AA439">
            <v>2301284</v>
          </cell>
          <cell r="AB439" t="str">
            <v>ERLA</v>
          </cell>
          <cell r="AC439">
            <v>1101</v>
          </cell>
          <cell r="AD439">
            <v>2</v>
          </cell>
          <cell r="AE439">
            <v>113899</v>
          </cell>
        </row>
        <row r="440">
          <cell r="A440" t="str">
            <v>SMA</v>
          </cell>
          <cell r="B440">
            <v>2</v>
          </cell>
          <cell r="C440" t="str">
            <v>DRAM</v>
          </cell>
          <cell r="D440">
            <v>22</v>
          </cell>
          <cell r="E440">
            <v>1</v>
          </cell>
          <cell r="F440" t="str">
            <v xml:space="preserve">B </v>
          </cell>
          <cell r="G440">
            <v>6</v>
          </cell>
          <cell r="H440">
            <v>350</v>
          </cell>
          <cell r="I440">
            <v>80993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1571609</v>
          </cell>
          <cell r="P440">
            <v>0</v>
          </cell>
          <cell r="Q440">
            <v>0</v>
          </cell>
          <cell r="R440">
            <v>19945</v>
          </cell>
          <cell r="S440">
            <v>0</v>
          </cell>
          <cell r="T440">
            <v>15101</v>
          </cell>
          <cell r="U440">
            <v>267263</v>
          </cell>
          <cell r="V440">
            <v>753</v>
          </cell>
          <cell r="W440">
            <v>0</v>
          </cell>
          <cell r="X440">
            <v>0</v>
          </cell>
          <cell r="Y440">
            <v>4644</v>
          </cell>
          <cell r="Z440">
            <v>1571609</v>
          </cell>
          <cell r="AA440">
            <v>1612052</v>
          </cell>
          <cell r="AB440" t="str">
            <v>ERLA</v>
          </cell>
          <cell r="AC440">
            <v>1101</v>
          </cell>
          <cell r="AD440">
            <v>2</v>
          </cell>
          <cell r="AE440">
            <v>80993</v>
          </cell>
        </row>
        <row r="441">
          <cell r="A441" t="str">
            <v>SMA</v>
          </cell>
          <cell r="B441">
            <v>2</v>
          </cell>
          <cell r="C441" t="str">
            <v>DRAM</v>
          </cell>
          <cell r="D441">
            <v>22</v>
          </cell>
          <cell r="E441">
            <v>1</v>
          </cell>
          <cell r="F441" t="str">
            <v xml:space="preserve">B </v>
          </cell>
          <cell r="G441">
            <v>7</v>
          </cell>
          <cell r="H441">
            <v>88</v>
          </cell>
          <cell r="I441">
            <v>26919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540987</v>
          </cell>
          <cell r="P441">
            <v>0</v>
          </cell>
          <cell r="Q441">
            <v>0</v>
          </cell>
          <cell r="R441">
            <v>-8804</v>
          </cell>
          <cell r="S441">
            <v>0</v>
          </cell>
          <cell r="T441">
            <v>24377</v>
          </cell>
          <cell r="U441">
            <v>108249</v>
          </cell>
          <cell r="V441">
            <v>0</v>
          </cell>
          <cell r="W441">
            <v>0</v>
          </cell>
          <cell r="X441">
            <v>0</v>
          </cell>
          <cell r="Y441">
            <v>860</v>
          </cell>
          <cell r="Z441">
            <v>540987</v>
          </cell>
          <cell r="AA441">
            <v>557420</v>
          </cell>
          <cell r="AB441" t="str">
            <v>ERLA</v>
          </cell>
          <cell r="AC441">
            <v>1101</v>
          </cell>
          <cell r="AD441">
            <v>2</v>
          </cell>
          <cell r="AE441">
            <v>26919</v>
          </cell>
        </row>
        <row r="442">
          <cell r="A442" t="str">
            <v>SMA</v>
          </cell>
          <cell r="B442">
            <v>2</v>
          </cell>
          <cell r="C442" t="str">
            <v>DRAM</v>
          </cell>
          <cell r="D442">
            <v>22</v>
          </cell>
          <cell r="E442">
            <v>1</v>
          </cell>
          <cell r="F442" t="str">
            <v xml:space="preserve">B </v>
          </cell>
          <cell r="G442">
            <v>8</v>
          </cell>
          <cell r="H442">
            <v>31</v>
          </cell>
          <cell r="I442">
            <v>10440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210082</v>
          </cell>
          <cell r="P442">
            <v>0</v>
          </cell>
          <cell r="Q442">
            <v>0</v>
          </cell>
          <cell r="R442">
            <v>2048</v>
          </cell>
          <cell r="S442">
            <v>0</v>
          </cell>
          <cell r="T442">
            <v>1811</v>
          </cell>
          <cell r="U442">
            <v>42022</v>
          </cell>
          <cell r="V442">
            <v>0</v>
          </cell>
          <cell r="W442">
            <v>0</v>
          </cell>
          <cell r="X442">
            <v>0</v>
          </cell>
          <cell r="Y442">
            <v>258</v>
          </cell>
          <cell r="Z442">
            <v>210082</v>
          </cell>
          <cell r="AA442">
            <v>214199</v>
          </cell>
          <cell r="AB442" t="str">
            <v>ERLA</v>
          </cell>
          <cell r="AC442">
            <v>1101</v>
          </cell>
          <cell r="AD442">
            <v>2</v>
          </cell>
          <cell r="AE442">
            <v>10440</v>
          </cell>
        </row>
        <row r="443">
          <cell r="A443" t="str">
            <v>SMA</v>
          </cell>
          <cell r="B443">
            <v>2</v>
          </cell>
          <cell r="C443" t="str">
            <v>DRAM</v>
          </cell>
          <cell r="D443">
            <v>22</v>
          </cell>
          <cell r="E443">
            <v>1</v>
          </cell>
          <cell r="F443" t="str">
            <v xml:space="preserve">B </v>
          </cell>
          <cell r="G443">
            <v>9</v>
          </cell>
          <cell r="H443">
            <v>49</v>
          </cell>
          <cell r="I443">
            <v>13142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283778</v>
          </cell>
          <cell r="P443">
            <v>0</v>
          </cell>
          <cell r="Q443">
            <v>0</v>
          </cell>
          <cell r="R443">
            <v>3069</v>
          </cell>
          <cell r="S443">
            <v>0</v>
          </cell>
          <cell r="T443">
            <v>9691</v>
          </cell>
          <cell r="U443">
            <v>70967</v>
          </cell>
          <cell r="V443">
            <v>188</v>
          </cell>
          <cell r="W443">
            <v>0</v>
          </cell>
          <cell r="X443">
            <v>0</v>
          </cell>
          <cell r="Y443">
            <v>258</v>
          </cell>
          <cell r="Z443">
            <v>283778</v>
          </cell>
          <cell r="AA443">
            <v>296984</v>
          </cell>
          <cell r="AB443" t="str">
            <v>ERLA</v>
          </cell>
          <cell r="AC443">
            <v>1101</v>
          </cell>
          <cell r="AD443">
            <v>2</v>
          </cell>
          <cell r="AE443">
            <v>13142</v>
          </cell>
        </row>
        <row r="444">
          <cell r="A444" t="str">
            <v>SMA</v>
          </cell>
          <cell r="B444">
            <v>2</v>
          </cell>
          <cell r="C444" t="str">
            <v>DRAM</v>
          </cell>
          <cell r="D444">
            <v>22</v>
          </cell>
          <cell r="E444">
            <v>1</v>
          </cell>
          <cell r="F444" t="str">
            <v xml:space="preserve">B </v>
          </cell>
          <cell r="G444">
            <v>10</v>
          </cell>
          <cell r="H444">
            <v>34</v>
          </cell>
          <cell r="I444">
            <v>12001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317472</v>
          </cell>
          <cell r="P444">
            <v>0</v>
          </cell>
          <cell r="Q444">
            <v>0</v>
          </cell>
          <cell r="R444">
            <v>2709</v>
          </cell>
          <cell r="S444">
            <v>0</v>
          </cell>
          <cell r="T444">
            <v>24542</v>
          </cell>
          <cell r="U444">
            <v>79364</v>
          </cell>
          <cell r="V444">
            <v>0</v>
          </cell>
          <cell r="W444">
            <v>0</v>
          </cell>
          <cell r="X444">
            <v>0</v>
          </cell>
          <cell r="Y444">
            <v>43</v>
          </cell>
          <cell r="Z444">
            <v>317472</v>
          </cell>
          <cell r="AA444">
            <v>344766</v>
          </cell>
          <cell r="AB444" t="str">
            <v>ERLA</v>
          </cell>
          <cell r="AC444">
            <v>1101</v>
          </cell>
          <cell r="AD444">
            <v>2</v>
          </cell>
          <cell r="AE444">
            <v>12001</v>
          </cell>
        </row>
        <row r="445">
          <cell r="A445" t="str">
            <v>SMA</v>
          </cell>
          <cell r="B445">
            <v>2</v>
          </cell>
          <cell r="C445" t="str">
            <v>DRAM</v>
          </cell>
          <cell r="D445">
            <v>22</v>
          </cell>
          <cell r="E445">
            <v>1</v>
          </cell>
          <cell r="F445" t="str">
            <v xml:space="preserve">B </v>
          </cell>
          <cell r="G445">
            <v>11</v>
          </cell>
          <cell r="H445">
            <v>2502</v>
          </cell>
          <cell r="I445">
            <v>57750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326806</v>
          </cell>
          <cell r="P445">
            <v>0</v>
          </cell>
          <cell r="Q445">
            <v>0</v>
          </cell>
          <cell r="R445">
            <v>3336</v>
          </cell>
          <cell r="S445">
            <v>0</v>
          </cell>
          <cell r="T445">
            <v>58523</v>
          </cell>
          <cell r="U445">
            <v>0</v>
          </cell>
          <cell r="V445">
            <v>3854</v>
          </cell>
          <cell r="W445">
            <v>0</v>
          </cell>
          <cell r="X445">
            <v>0</v>
          </cell>
          <cell r="Y445">
            <v>5682</v>
          </cell>
          <cell r="Z445">
            <v>326806</v>
          </cell>
          <cell r="AA445">
            <v>398201</v>
          </cell>
          <cell r="AB445" t="str">
            <v>ERLA</v>
          </cell>
          <cell r="AC445">
            <v>1101</v>
          </cell>
          <cell r="AD445">
            <v>2</v>
          </cell>
          <cell r="AE445">
            <v>39084</v>
          </cell>
        </row>
        <row r="446">
          <cell r="A446" t="str">
            <v>SMA</v>
          </cell>
          <cell r="B446">
            <v>2</v>
          </cell>
          <cell r="C446" t="str">
            <v>DRAM</v>
          </cell>
          <cell r="D446">
            <v>22</v>
          </cell>
          <cell r="E446">
            <v>1</v>
          </cell>
          <cell r="F446" t="str">
            <v xml:space="preserve">B </v>
          </cell>
          <cell r="G446">
            <v>12</v>
          </cell>
          <cell r="H446">
            <v>1518</v>
          </cell>
          <cell r="I446">
            <v>83164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747104</v>
          </cell>
          <cell r="P446">
            <v>0</v>
          </cell>
          <cell r="Q446">
            <v>0</v>
          </cell>
          <cell r="R446">
            <v>103799</v>
          </cell>
          <cell r="S446">
            <v>0</v>
          </cell>
          <cell r="T446">
            <v>24419</v>
          </cell>
          <cell r="U446">
            <v>127070</v>
          </cell>
          <cell r="V446">
            <v>4324</v>
          </cell>
          <cell r="W446">
            <v>0</v>
          </cell>
          <cell r="X446">
            <v>0</v>
          </cell>
          <cell r="Y446">
            <v>6882</v>
          </cell>
          <cell r="Z446">
            <v>747104</v>
          </cell>
          <cell r="AA446">
            <v>886528</v>
          </cell>
          <cell r="AB446" t="str">
            <v>ERLA</v>
          </cell>
          <cell r="AC446">
            <v>1101</v>
          </cell>
          <cell r="AD446">
            <v>2</v>
          </cell>
          <cell r="AE446">
            <v>83164</v>
          </cell>
        </row>
        <row r="447">
          <cell r="A447" t="str">
            <v>SMA</v>
          </cell>
          <cell r="B447">
            <v>2</v>
          </cell>
          <cell r="C447" t="str">
            <v>DRAM</v>
          </cell>
          <cell r="D447">
            <v>22</v>
          </cell>
          <cell r="E447">
            <v>1</v>
          </cell>
          <cell r="F447" t="str">
            <v xml:space="preserve">B </v>
          </cell>
          <cell r="G447">
            <v>13</v>
          </cell>
          <cell r="H447">
            <v>102</v>
          </cell>
          <cell r="I447">
            <v>12469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162157</v>
          </cell>
          <cell r="P447">
            <v>0</v>
          </cell>
          <cell r="Q447">
            <v>0</v>
          </cell>
          <cell r="R447">
            <v>4086</v>
          </cell>
          <cell r="S447">
            <v>0</v>
          </cell>
          <cell r="T447">
            <v>5870</v>
          </cell>
          <cell r="U447">
            <v>27569</v>
          </cell>
          <cell r="V447">
            <v>94</v>
          </cell>
          <cell r="W447">
            <v>0</v>
          </cell>
          <cell r="X447">
            <v>0</v>
          </cell>
          <cell r="Y447">
            <v>602</v>
          </cell>
          <cell r="Z447">
            <v>162157</v>
          </cell>
          <cell r="AA447">
            <v>172809</v>
          </cell>
          <cell r="AB447" t="str">
            <v>ERLA</v>
          </cell>
          <cell r="AC447">
            <v>1101</v>
          </cell>
          <cell r="AD447">
            <v>2</v>
          </cell>
          <cell r="AE447">
            <v>12469</v>
          </cell>
        </row>
        <row r="448">
          <cell r="A448" t="str">
            <v>SMA</v>
          </cell>
          <cell r="B448">
            <v>2</v>
          </cell>
          <cell r="C448" t="str">
            <v>DRAM</v>
          </cell>
          <cell r="D448">
            <v>22</v>
          </cell>
          <cell r="E448">
            <v>1</v>
          </cell>
          <cell r="F448" t="str">
            <v xml:space="preserve">B </v>
          </cell>
          <cell r="G448">
            <v>14</v>
          </cell>
          <cell r="H448">
            <v>8</v>
          </cell>
          <cell r="I448">
            <v>1375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17676</v>
          </cell>
          <cell r="P448">
            <v>0</v>
          </cell>
          <cell r="Q448">
            <v>0</v>
          </cell>
          <cell r="R448">
            <v>107</v>
          </cell>
          <cell r="S448">
            <v>0</v>
          </cell>
          <cell r="T448">
            <v>32</v>
          </cell>
          <cell r="U448">
            <v>3005</v>
          </cell>
          <cell r="V448">
            <v>0</v>
          </cell>
          <cell r="W448">
            <v>0</v>
          </cell>
          <cell r="X448">
            <v>0</v>
          </cell>
          <cell r="Y448">
            <v>43</v>
          </cell>
          <cell r="Z448">
            <v>17676</v>
          </cell>
          <cell r="AA448">
            <v>17858</v>
          </cell>
          <cell r="AB448" t="str">
            <v>ERLA</v>
          </cell>
          <cell r="AC448">
            <v>1101</v>
          </cell>
          <cell r="AD448">
            <v>2</v>
          </cell>
          <cell r="AE448">
            <v>1375</v>
          </cell>
        </row>
        <row r="449">
          <cell r="A449" t="str">
            <v>SMA</v>
          </cell>
          <cell r="B449">
            <v>2</v>
          </cell>
          <cell r="C449" t="str">
            <v>DRAM</v>
          </cell>
          <cell r="D449">
            <v>22</v>
          </cell>
          <cell r="E449">
            <v>1</v>
          </cell>
          <cell r="F449" t="str">
            <v xml:space="preserve">B </v>
          </cell>
          <cell r="G449">
            <v>15</v>
          </cell>
          <cell r="H449">
            <v>35</v>
          </cell>
          <cell r="I449">
            <v>-8549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-203748</v>
          </cell>
          <cell r="P449">
            <v>0</v>
          </cell>
          <cell r="Q449">
            <v>0</v>
          </cell>
          <cell r="R449">
            <v>1204</v>
          </cell>
          <cell r="S449">
            <v>0</v>
          </cell>
          <cell r="T449">
            <v>2269</v>
          </cell>
          <cell r="U449">
            <v>-55143</v>
          </cell>
          <cell r="V449">
            <v>94</v>
          </cell>
          <cell r="W449">
            <v>0</v>
          </cell>
          <cell r="X449">
            <v>0</v>
          </cell>
          <cell r="Y449">
            <v>43</v>
          </cell>
          <cell r="Z449">
            <v>-203748</v>
          </cell>
          <cell r="AA449">
            <v>-200138</v>
          </cell>
          <cell r="AB449" t="str">
            <v>ERLA</v>
          </cell>
          <cell r="AC449">
            <v>1101</v>
          </cell>
          <cell r="AD449">
            <v>2</v>
          </cell>
          <cell r="AE449">
            <v>-8549</v>
          </cell>
        </row>
        <row r="450">
          <cell r="A450" t="str">
            <v>SMA</v>
          </cell>
          <cell r="B450">
            <v>2</v>
          </cell>
          <cell r="C450" t="str">
            <v>DRAM</v>
          </cell>
          <cell r="D450">
            <v>22</v>
          </cell>
          <cell r="E450">
            <v>2</v>
          </cell>
          <cell r="F450" t="str">
            <v>A4</v>
          </cell>
          <cell r="G450">
            <v>22</v>
          </cell>
          <cell r="H450">
            <v>1</v>
          </cell>
          <cell r="I450">
            <v>248285</v>
          </cell>
          <cell r="J450">
            <v>21361</v>
          </cell>
          <cell r="K450">
            <v>226924</v>
          </cell>
          <cell r="L450">
            <v>1308</v>
          </cell>
          <cell r="M450">
            <v>654</v>
          </cell>
          <cell r="N450">
            <v>654</v>
          </cell>
          <cell r="O450">
            <v>1755464</v>
          </cell>
          <cell r="P450">
            <v>1805912</v>
          </cell>
          <cell r="Q450">
            <v>15343</v>
          </cell>
          <cell r="R450">
            <v>0</v>
          </cell>
          <cell r="S450">
            <v>0</v>
          </cell>
          <cell r="T450">
            <v>0</v>
          </cell>
          <cell r="U450">
            <v>894180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3576719</v>
          </cell>
          <cell r="AA450">
            <v>3576719</v>
          </cell>
          <cell r="AB450" t="str">
            <v>ERLA</v>
          </cell>
          <cell r="AC450">
            <v>1101</v>
          </cell>
          <cell r="AD450">
            <v>2</v>
          </cell>
          <cell r="AE450">
            <v>248285</v>
          </cell>
        </row>
        <row r="451">
          <cell r="A451" t="str">
            <v>SMA</v>
          </cell>
          <cell r="B451">
            <v>2</v>
          </cell>
          <cell r="C451" t="str">
            <v>DRAM</v>
          </cell>
          <cell r="D451">
            <v>22</v>
          </cell>
          <cell r="E451">
            <v>2</v>
          </cell>
          <cell r="F451" t="str">
            <v>A4</v>
          </cell>
          <cell r="G451">
            <v>20</v>
          </cell>
          <cell r="H451">
            <v>3</v>
          </cell>
          <cell r="I451">
            <v>27716</v>
          </cell>
          <cell r="J451">
            <v>0</v>
          </cell>
          <cell r="K451">
            <v>0</v>
          </cell>
          <cell r="L451">
            <v>226</v>
          </cell>
          <cell r="M451">
            <v>0</v>
          </cell>
          <cell r="N451">
            <v>0</v>
          </cell>
          <cell r="O451">
            <v>318032</v>
          </cell>
          <cell r="P451">
            <v>176883</v>
          </cell>
          <cell r="Q451">
            <v>31084</v>
          </cell>
          <cell r="R451">
            <v>0</v>
          </cell>
          <cell r="S451">
            <v>0</v>
          </cell>
          <cell r="T451">
            <v>0</v>
          </cell>
          <cell r="U451">
            <v>137370</v>
          </cell>
          <cell r="V451">
            <v>0</v>
          </cell>
          <cell r="W451">
            <v>23480</v>
          </cell>
          <cell r="X451">
            <v>0</v>
          </cell>
          <cell r="Y451">
            <v>0</v>
          </cell>
          <cell r="Z451">
            <v>549479</v>
          </cell>
          <cell r="AA451">
            <v>549479</v>
          </cell>
          <cell r="AB451" t="str">
            <v>ERLA</v>
          </cell>
          <cell r="AC451">
            <v>1101</v>
          </cell>
          <cell r="AD451">
            <v>2</v>
          </cell>
          <cell r="AE451">
            <v>27716</v>
          </cell>
        </row>
        <row r="452">
          <cell r="A452" t="str">
            <v>SMA</v>
          </cell>
          <cell r="B452">
            <v>2</v>
          </cell>
          <cell r="C452" t="str">
            <v>DRAM</v>
          </cell>
          <cell r="D452">
            <v>22</v>
          </cell>
          <cell r="E452">
            <v>2</v>
          </cell>
          <cell r="F452" t="str">
            <v xml:space="preserve">B </v>
          </cell>
          <cell r="G452">
            <v>0</v>
          </cell>
          <cell r="H452">
            <v>474</v>
          </cell>
          <cell r="I452">
            <v>142519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2966961</v>
          </cell>
          <cell r="P452">
            <v>0</v>
          </cell>
          <cell r="Q452">
            <v>0</v>
          </cell>
          <cell r="R452">
            <v>16773</v>
          </cell>
          <cell r="S452">
            <v>364</v>
          </cell>
          <cell r="T452">
            <v>262049</v>
          </cell>
          <cell r="U452">
            <v>734268</v>
          </cell>
          <cell r="V452">
            <v>1510</v>
          </cell>
          <cell r="W452">
            <v>0</v>
          </cell>
          <cell r="X452">
            <v>0</v>
          </cell>
          <cell r="Y452">
            <v>4240</v>
          </cell>
          <cell r="Z452">
            <v>2966961</v>
          </cell>
          <cell r="AA452">
            <v>3251897</v>
          </cell>
          <cell r="AB452" t="str">
            <v>ERLA</v>
          </cell>
          <cell r="AC452">
            <v>1101</v>
          </cell>
          <cell r="AD452">
            <v>2</v>
          </cell>
          <cell r="AE452">
            <v>138070</v>
          </cell>
        </row>
        <row r="453">
          <cell r="A453" t="str">
            <v>SMA</v>
          </cell>
          <cell r="B453">
            <v>2</v>
          </cell>
          <cell r="C453" t="str">
            <v>DRAM</v>
          </cell>
          <cell r="D453">
            <v>22</v>
          </cell>
          <cell r="E453">
            <v>3</v>
          </cell>
          <cell r="F453" t="str">
            <v>A4</v>
          </cell>
          <cell r="G453">
            <v>20</v>
          </cell>
          <cell r="H453">
            <v>3</v>
          </cell>
          <cell r="I453">
            <v>5894</v>
          </cell>
          <cell r="J453">
            <v>0</v>
          </cell>
          <cell r="K453">
            <v>0</v>
          </cell>
          <cell r="L453">
            <v>32</v>
          </cell>
          <cell r="M453">
            <v>0</v>
          </cell>
          <cell r="N453">
            <v>0</v>
          </cell>
          <cell r="O453">
            <v>67633</v>
          </cell>
          <cell r="P453">
            <v>25046</v>
          </cell>
          <cell r="Q453">
            <v>276</v>
          </cell>
          <cell r="R453">
            <v>567</v>
          </cell>
          <cell r="S453">
            <v>0</v>
          </cell>
          <cell r="T453">
            <v>0</v>
          </cell>
          <cell r="U453">
            <v>23240</v>
          </cell>
          <cell r="V453">
            <v>0</v>
          </cell>
          <cell r="W453">
            <v>0</v>
          </cell>
          <cell r="X453">
            <v>0</v>
          </cell>
          <cell r="Y453">
            <v>160</v>
          </cell>
          <cell r="Z453">
            <v>92955</v>
          </cell>
          <cell r="AA453">
            <v>93682</v>
          </cell>
          <cell r="AB453" t="str">
            <v>ERLA</v>
          </cell>
          <cell r="AC453">
            <v>1101</v>
          </cell>
          <cell r="AD453">
            <v>2</v>
          </cell>
          <cell r="AE453">
            <v>5894</v>
          </cell>
        </row>
        <row r="454">
          <cell r="A454" t="str">
            <v>SMA</v>
          </cell>
          <cell r="B454">
            <v>2</v>
          </cell>
          <cell r="C454" t="str">
            <v>DRAM</v>
          </cell>
          <cell r="D454">
            <v>22</v>
          </cell>
          <cell r="E454">
            <v>3</v>
          </cell>
          <cell r="F454" t="str">
            <v xml:space="preserve">B </v>
          </cell>
          <cell r="G454">
            <v>0</v>
          </cell>
          <cell r="H454">
            <v>1673</v>
          </cell>
          <cell r="I454">
            <v>274800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5724496</v>
          </cell>
          <cell r="P454">
            <v>0</v>
          </cell>
          <cell r="Q454">
            <v>0</v>
          </cell>
          <cell r="R454">
            <v>95164</v>
          </cell>
          <cell r="S454">
            <v>71</v>
          </cell>
          <cell r="T454">
            <v>389738</v>
          </cell>
          <cell r="U454">
            <v>1414539</v>
          </cell>
          <cell r="V454">
            <v>1508</v>
          </cell>
          <cell r="W454">
            <v>0</v>
          </cell>
          <cell r="X454">
            <v>0</v>
          </cell>
          <cell r="Y454">
            <v>27360</v>
          </cell>
          <cell r="Z454">
            <v>5724496</v>
          </cell>
          <cell r="AA454">
            <v>6238337</v>
          </cell>
          <cell r="AB454" t="str">
            <v>ERLA</v>
          </cell>
          <cell r="AC454">
            <v>1101</v>
          </cell>
          <cell r="AD454">
            <v>2</v>
          </cell>
          <cell r="AE454">
            <v>262119</v>
          </cell>
        </row>
        <row r="455">
          <cell r="A455" t="str">
            <v>SMA</v>
          </cell>
          <cell r="B455">
            <v>2</v>
          </cell>
          <cell r="C455" t="str">
            <v>DRAM</v>
          </cell>
          <cell r="D455">
            <v>22</v>
          </cell>
          <cell r="E455">
            <v>4</v>
          </cell>
          <cell r="F455" t="str">
            <v>A4</v>
          </cell>
          <cell r="G455">
            <v>20</v>
          </cell>
          <cell r="H455">
            <v>4</v>
          </cell>
          <cell r="I455">
            <v>3352</v>
          </cell>
          <cell r="J455">
            <v>0</v>
          </cell>
          <cell r="K455">
            <v>0</v>
          </cell>
          <cell r="L455">
            <v>33</v>
          </cell>
          <cell r="M455">
            <v>0</v>
          </cell>
          <cell r="N455">
            <v>0</v>
          </cell>
          <cell r="O455">
            <v>25962</v>
          </cell>
          <cell r="P455">
            <v>17424</v>
          </cell>
          <cell r="Q455">
            <v>4097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2112</v>
          </cell>
          <cell r="X455">
            <v>0</v>
          </cell>
          <cell r="Y455">
            <v>0</v>
          </cell>
          <cell r="Z455">
            <v>49595</v>
          </cell>
          <cell r="AA455">
            <v>49595</v>
          </cell>
          <cell r="AB455" t="str">
            <v>ERLA</v>
          </cell>
          <cell r="AC455">
            <v>1101</v>
          </cell>
          <cell r="AD455">
            <v>2</v>
          </cell>
          <cell r="AE455">
            <v>3352</v>
          </cell>
        </row>
        <row r="456">
          <cell r="A456" t="str">
            <v>SMA</v>
          </cell>
          <cell r="B456">
            <v>2</v>
          </cell>
          <cell r="C456" t="str">
            <v>DRAM</v>
          </cell>
          <cell r="D456">
            <v>22</v>
          </cell>
          <cell r="E456">
            <v>4</v>
          </cell>
          <cell r="F456" t="str">
            <v xml:space="preserve">B </v>
          </cell>
          <cell r="G456">
            <v>0</v>
          </cell>
          <cell r="H456">
            <v>2532</v>
          </cell>
          <cell r="I456">
            <v>381765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3678091</v>
          </cell>
          <cell r="P456">
            <v>0</v>
          </cell>
          <cell r="Q456">
            <v>0</v>
          </cell>
          <cell r="R456">
            <v>-120413</v>
          </cell>
          <cell r="S456">
            <v>0</v>
          </cell>
          <cell r="T456">
            <v>393146</v>
          </cell>
          <cell r="U456">
            <v>0</v>
          </cell>
          <cell r="V456">
            <v>217419</v>
          </cell>
          <cell r="W456">
            <v>0</v>
          </cell>
          <cell r="X456">
            <v>0</v>
          </cell>
          <cell r="Y456">
            <v>0</v>
          </cell>
          <cell r="Z456">
            <v>3678091</v>
          </cell>
          <cell r="AA456">
            <v>4168243</v>
          </cell>
          <cell r="AB456" t="str">
            <v>ERLA</v>
          </cell>
          <cell r="AC456">
            <v>1101</v>
          </cell>
          <cell r="AD456">
            <v>2</v>
          </cell>
          <cell r="AE456">
            <v>360928</v>
          </cell>
        </row>
        <row r="457">
          <cell r="A457" t="str">
            <v>SMA</v>
          </cell>
          <cell r="B457">
            <v>2</v>
          </cell>
          <cell r="C457" t="str">
            <v>DRAM</v>
          </cell>
          <cell r="D457">
            <v>22</v>
          </cell>
          <cell r="E457">
            <v>5</v>
          </cell>
          <cell r="F457" t="str">
            <v>A4</v>
          </cell>
          <cell r="G457">
            <v>20</v>
          </cell>
          <cell r="H457">
            <v>1</v>
          </cell>
          <cell r="I457">
            <v>0</v>
          </cell>
          <cell r="J457">
            <v>0</v>
          </cell>
          <cell r="K457">
            <v>0</v>
          </cell>
          <cell r="L457">
            <v>9</v>
          </cell>
          <cell r="M457">
            <v>0</v>
          </cell>
          <cell r="N457">
            <v>0</v>
          </cell>
          <cell r="O457">
            <v>0</v>
          </cell>
          <cell r="P457">
            <v>7044</v>
          </cell>
          <cell r="Q457">
            <v>0</v>
          </cell>
          <cell r="R457">
            <v>630</v>
          </cell>
          <cell r="S457">
            <v>0</v>
          </cell>
          <cell r="T457">
            <v>0</v>
          </cell>
          <cell r="U457">
            <v>1761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7044</v>
          </cell>
          <cell r="AA457">
            <v>7674</v>
          </cell>
          <cell r="AB457" t="str">
            <v>ERLA</v>
          </cell>
          <cell r="AC457">
            <v>1101</v>
          </cell>
          <cell r="AD457">
            <v>2</v>
          </cell>
          <cell r="AE457">
            <v>0</v>
          </cell>
        </row>
        <row r="458">
          <cell r="A458" t="str">
            <v>SMA</v>
          </cell>
          <cell r="B458">
            <v>2</v>
          </cell>
          <cell r="C458" t="str">
            <v>DRAM</v>
          </cell>
          <cell r="D458">
            <v>22</v>
          </cell>
          <cell r="E458">
            <v>5</v>
          </cell>
          <cell r="F458" t="str">
            <v xml:space="preserve">B </v>
          </cell>
          <cell r="G458">
            <v>0</v>
          </cell>
          <cell r="H458">
            <v>451</v>
          </cell>
          <cell r="I458">
            <v>66770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1313764</v>
          </cell>
          <cell r="P458">
            <v>0</v>
          </cell>
          <cell r="Q458">
            <v>0</v>
          </cell>
          <cell r="R458">
            <v>19200</v>
          </cell>
          <cell r="S458">
            <v>0</v>
          </cell>
          <cell r="T458">
            <v>179183</v>
          </cell>
          <cell r="U458">
            <v>271325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1313764</v>
          </cell>
          <cell r="AA458">
            <v>1512147</v>
          </cell>
          <cell r="AB458" t="str">
            <v>ERLA</v>
          </cell>
          <cell r="AC458">
            <v>1101</v>
          </cell>
          <cell r="AD458">
            <v>2</v>
          </cell>
          <cell r="AE458">
            <v>65007</v>
          </cell>
        </row>
        <row r="459">
          <cell r="A459" t="str">
            <v>SMA</v>
          </cell>
          <cell r="B459">
            <v>2</v>
          </cell>
          <cell r="C459" t="str">
            <v>DRAM</v>
          </cell>
          <cell r="D459">
            <v>22</v>
          </cell>
          <cell r="E459">
            <v>6</v>
          </cell>
          <cell r="F459" t="str">
            <v xml:space="preserve">B </v>
          </cell>
          <cell r="G459">
            <v>0</v>
          </cell>
          <cell r="H459">
            <v>38</v>
          </cell>
          <cell r="I459">
            <v>394268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4641846</v>
          </cell>
          <cell r="P459">
            <v>0</v>
          </cell>
          <cell r="Q459">
            <v>0</v>
          </cell>
          <cell r="R459">
            <v>55000</v>
          </cell>
          <cell r="S459">
            <v>0</v>
          </cell>
          <cell r="T459">
            <v>0</v>
          </cell>
          <cell r="U459">
            <v>1160462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4641846</v>
          </cell>
          <cell r="AA459">
            <v>4696846</v>
          </cell>
          <cell r="AB459" t="str">
            <v>ERLA</v>
          </cell>
          <cell r="AC459">
            <v>1101</v>
          </cell>
          <cell r="AD459">
            <v>2</v>
          </cell>
          <cell r="AE459">
            <v>394268</v>
          </cell>
        </row>
        <row r="460">
          <cell r="A460" t="str">
            <v>SMA</v>
          </cell>
          <cell r="B460">
            <v>2</v>
          </cell>
          <cell r="C460" t="str">
            <v>DRAM</v>
          </cell>
          <cell r="D460">
            <v>22</v>
          </cell>
          <cell r="E460">
            <v>7</v>
          </cell>
          <cell r="F460" t="str">
            <v>A4</v>
          </cell>
          <cell r="G460">
            <v>20</v>
          </cell>
          <cell r="H460">
            <v>5</v>
          </cell>
          <cell r="I460">
            <v>85084</v>
          </cell>
          <cell r="J460">
            <v>0</v>
          </cell>
          <cell r="K460">
            <v>0</v>
          </cell>
          <cell r="L460">
            <v>319</v>
          </cell>
          <cell r="M460">
            <v>0</v>
          </cell>
          <cell r="N460">
            <v>0</v>
          </cell>
          <cell r="O460">
            <v>829853</v>
          </cell>
          <cell r="P460">
            <v>211816</v>
          </cell>
          <cell r="Q460">
            <v>34908</v>
          </cell>
          <cell r="R460">
            <v>0</v>
          </cell>
          <cell r="S460">
            <v>0</v>
          </cell>
          <cell r="T460">
            <v>0</v>
          </cell>
          <cell r="U460">
            <v>270473</v>
          </cell>
          <cell r="V460">
            <v>0</v>
          </cell>
          <cell r="W460">
            <v>5312</v>
          </cell>
          <cell r="X460">
            <v>0</v>
          </cell>
          <cell r="Y460">
            <v>0</v>
          </cell>
          <cell r="Z460">
            <v>1081889</v>
          </cell>
          <cell r="AA460">
            <v>1081889</v>
          </cell>
          <cell r="AB460" t="str">
            <v>ERLA</v>
          </cell>
          <cell r="AC460">
            <v>1101</v>
          </cell>
          <cell r="AD460">
            <v>2</v>
          </cell>
          <cell r="AE460">
            <v>85084</v>
          </cell>
        </row>
        <row r="461">
          <cell r="A461" t="str">
            <v>SMA</v>
          </cell>
          <cell r="B461">
            <v>2</v>
          </cell>
          <cell r="C461" t="str">
            <v>DRAM</v>
          </cell>
          <cell r="D461">
            <v>22</v>
          </cell>
          <cell r="E461">
            <v>7</v>
          </cell>
          <cell r="F461" t="str">
            <v xml:space="preserve">B </v>
          </cell>
          <cell r="G461">
            <v>0</v>
          </cell>
          <cell r="H461">
            <v>18</v>
          </cell>
          <cell r="I461">
            <v>19327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341987</v>
          </cell>
          <cell r="P461">
            <v>0</v>
          </cell>
          <cell r="Q461">
            <v>0</v>
          </cell>
          <cell r="R461">
            <v>762</v>
          </cell>
          <cell r="S461">
            <v>0</v>
          </cell>
          <cell r="T461">
            <v>0</v>
          </cell>
          <cell r="U461">
            <v>85497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341987</v>
          </cell>
          <cell r="AA461">
            <v>342749</v>
          </cell>
          <cell r="AB461" t="str">
            <v>ERLA</v>
          </cell>
          <cell r="AC461">
            <v>1101</v>
          </cell>
          <cell r="AD461">
            <v>2</v>
          </cell>
          <cell r="AE461">
            <v>19244</v>
          </cell>
        </row>
        <row r="462">
          <cell r="A462" t="str">
            <v>SMA</v>
          </cell>
          <cell r="B462">
            <v>2</v>
          </cell>
          <cell r="C462" t="str">
            <v>DRAM</v>
          </cell>
          <cell r="D462">
            <v>22</v>
          </cell>
          <cell r="E462">
            <v>8</v>
          </cell>
          <cell r="F462" t="str">
            <v xml:space="preserve">B </v>
          </cell>
          <cell r="G462">
            <v>0</v>
          </cell>
          <cell r="H462">
            <v>5</v>
          </cell>
          <cell r="I462">
            <v>5846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121706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30427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121706</v>
          </cell>
          <cell r="AA462">
            <v>121706</v>
          </cell>
          <cell r="AB462" t="str">
            <v>ERLA</v>
          </cell>
          <cell r="AC462">
            <v>1101</v>
          </cell>
          <cell r="AD462">
            <v>2</v>
          </cell>
          <cell r="AE462">
            <v>5846</v>
          </cell>
        </row>
        <row r="463">
          <cell r="A463" t="str">
            <v>SMA</v>
          </cell>
          <cell r="B463">
            <v>2</v>
          </cell>
          <cell r="C463" t="str">
            <v>DRAM</v>
          </cell>
          <cell r="D463">
            <v>23</v>
          </cell>
          <cell r="E463">
            <v>1</v>
          </cell>
          <cell r="F463" t="str">
            <v xml:space="preserve">B </v>
          </cell>
          <cell r="G463">
            <v>1</v>
          </cell>
          <cell r="H463">
            <v>5132</v>
          </cell>
          <cell r="I463">
            <v>107594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1740737</v>
          </cell>
          <cell r="P463">
            <v>0</v>
          </cell>
          <cell r="Q463">
            <v>0</v>
          </cell>
          <cell r="R463">
            <v>17632</v>
          </cell>
          <cell r="S463">
            <v>0</v>
          </cell>
          <cell r="T463">
            <v>133840</v>
          </cell>
          <cell r="U463">
            <v>0</v>
          </cell>
          <cell r="V463">
            <v>1410</v>
          </cell>
          <cell r="W463">
            <v>0</v>
          </cell>
          <cell r="X463">
            <v>0</v>
          </cell>
          <cell r="Y463">
            <v>92039</v>
          </cell>
          <cell r="Z463">
            <v>1740737</v>
          </cell>
          <cell r="AA463">
            <v>1985658</v>
          </cell>
          <cell r="AB463" t="str">
            <v>ERAR</v>
          </cell>
          <cell r="AC463">
            <v>1101</v>
          </cell>
          <cell r="AD463">
            <v>2</v>
          </cell>
          <cell r="AE463">
            <v>83973</v>
          </cell>
        </row>
        <row r="464">
          <cell r="A464" t="str">
            <v>SMA</v>
          </cell>
          <cell r="B464">
            <v>2</v>
          </cell>
          <cell r="C464" t="str">
            <v>DRAM</v>
          </cell>
          <cell r="D464">
            <v>23</v>
          </cell>
          <cell r="E464">
            <v>1</v>
          </cell>
          <cell r="F464" t="str">
            <v xml:space="preserve">B </v>
          </cell>
          <cell r="G464">
            <v>2</v>
          </cell>
          <cell r="H464">
            <v>3239</v>
          </cell>
          <cell r="I464">
            <v>132419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2568192</v>
          </cell>
          <cell r="P464">
            <v>0</v>
          </cell>
          <cell r="Q464">
            <v>0</v>
          </cell>
          <cell r="R464">
            <v>17916</v>
          </cell>
          <cell r="S464">
            <v>0</v>
          </cell>
          <cell r="T464">
            <v>31035</v>
          </cell>
          <cell r="U464">
            <v>436460</v>
          </cell>
          <cell r="V464">
            <v>940</v>
          </cell>
          <cell r="W464">
            <v>0</v>
          </cell>
          <cell r="X464">
            <v>0</v>
          </cell>
          <cell r="Y464">
            <v>132902</v>
          </cell>
          <cell r="Z464">
            <v>2568192</v>
          </cell>
          <cell r="AA464">
            <v>2750985</v>
          </cell>
          <cell r="AB464" t="str">
            <v>ERAR</v>
          </cell>
          <cell r="AC464">
            <v>1101</v>
          </cell>
          <cell r="AD464">
            <v>2</v>
          </cell>
          <cell r="AE464">
            <v>132419</v>
          </cell>
        </row>
        <row r="465">
          <cell r="A465" t="str">
            <v>SMA</v>
          </cell>
          <cell r="B465">
            <v>2</v>
          </cell>
          <cell r="C465" t="str">
            <v>DRAM</v>
          </cell>
          <cell r="D465">
            <v>23</v>
          </cell>
          <cell r="E465">
            <v>1</v>
          </cell>
          <cell r="F465" t="str">
            <v xml:space="preserve">B </v>
          </cell>
          <cell r="G465">
            <v>3</v>
          </cell>
          <cell r="H465">
            <v>8985</v>
          </cell>
          <cell r="I465">
            <v>653834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12680537</v>
          </cell>
          <cell r="P465">
            <v>0</v>
          </cell>
          <cell r="Q465">
            <v>0</v>
          </cell>
          <cell r="R465">
            <v>83473</v>
          </cell>
          <cell r="S465">
            <v>0</v>
          </cell>
          <cell r="T465">
            <v>86484</v>
          </cell>
          <cell r="U465">
            <v>2155685</v>
          </cell>
          <cell r="V465">
            <v>2727</v>
          </cell>
          <cell r="W465">
            <v>0</v>
          </cell>
          <cell r="X465">
            <v>0</v>
          </cell>
          <cell r="Y465">
            <v>441320</v>
          </cell>
          <cell r="Z465">
            <v>12680537</v>
          </cell>
          <cell r="AA465">
            <v>13294541</v>
          </cell>
          <cell r="AB465" t="str">
            <v>ERAR</v>
          </cell>
          <cell r="AC465">
            <v>1101</v>
          </cell>
          <cell r="AD465">
            <v>2</v>
          </cell>
          <cell r="AE465">
            <v>652130</v>
          </cell>
        </row>
        <row r="466">
          <cell r="A466" t="str">
            <v>SMA</v>
          </cell>
          <cell r="B466">
            <v>2</v>
          </cell>
          <cell r="C466" t="str">
            <v>DRAM</v>
          </cell>
          <cell r="D466">
            <v>23</v>
          </cell>
          <cell r="E466">
            <v>1</v>
          </cell>
          <cell r="F466" t="str">
            <v xml:space="preserve">B </v>
          </cell>
          <cell r="G466">
            <v>4</v>
          </cell>
          <cell r="H466">
            <v>2358</v>
          </cell>
          <cell r="I466">
            <v>280865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5447919</v>
          </cell>
          <cell r="P466">
            <v>0</v>
          </cell>
          <cell r="Q466">
            <v>0</v>
          </cell>
          <cell r="R466">
            <v>49405</v>
          </cell>
          <cell r="S466">
            <v>0</v>
          </cell>
          <cell r="T466">
            <v>52333</v>
          </cell>
          <cell r="U466">
            <v>926178</v>
          </cell>
          <cell r="V466">
            <v>658</v>
          </cell>
          <cell r="W466">
            <v>0</v>
          </cell>
          <cell r="X466">
            <v>0</v>
          </cell>
          <cell r="Y466">
            <v>179388</v>
          </cell>
          <cell r="Z466">
            <v>5447919</v>
          </cell>
          <cell r="AA466">
            <v>5729703</v>
          </cell>
          <cell r="AB466" t="str">
            <v>ERAR</v>
          </cell>
          <cell r="AC466">
            <v>1101</v>
          </cell>
          <cell r="AD466">
            <v>2</v>
          </cell>
          <cell r="AE466">
            <v>280865</v>
          </cell>
        </row>
        <row r="467">
          <cell r="A467" t="str">
            <v>SMA</v>
          </cell>
          <cell r="B467">
            <v>2</v>
          </cell>
          <cell r="C467" t="str">
            <v>DRAM</v>
          </cell>
          <cell r="D467">
            <v>23</v>
          </cell>
          <cell r="E467">
            <v>1</v>
          </cell>
          <cell r="F467" t="str">
            <v xml:space="preserve">B </v>
          </cell>
          <cell r="G467">
            <v>5</v>
          </cell>
          <cell r="H467">
            <v>778</v>
          </cell>
          <cell r="I467">
            <v>131819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2556574</v>
          </cell>
          <cell r="P467">
            <v>0</v>
          </cell>
          <cell r="Q467">
            <v>0</v>
          </cell>
          <cell r="R467">
            <v>26268</v>
          </cell>
          <cell r="S467">
            <v>0</v>
          </cell>
          <cell r="T467">
            <v>25224</v>
          </cell>
          <cell r="U467">
            <v>434633</v>
          </cell>
          <cell r="V467">
            <v>377</v>
          </cell>
          <cell r="W467">
            <v>0</v>
          </cell>
          <cell r="X467">
            <v>0</v>
          </cell>
          <cell r="Y467">
            <v>239540</v>
          </cell>
          <cell r="Z467">
            <v>2556574</v>
          </cell>
          <cell r="AA467">
            <v>2847983</v>
          </cell>
          <cell r="AB467" t="str">
            <v>ERAR</v>
          </cell>
          <cell r="AC467">
            <v>1101</v>
          </cell>
          <cell r="AD467">
            <v>2</v>
          </cell>
          <cell r="AE467">
            <v>131819</v>
          </cell>
        </row>
        <row r="468">
          <cell r="A468" t="str">
            <v>SMA</v>
          </cell>
          <cell r="B468">
            <v>2</v>
          </cell>
          <cell r="C468" t="str">
            <v>DRAM</v>
          </cell>
          <cell r="D468">
            <v>23</v>
          </cell>
          <cell r="E468">
            <v>1</v>
          </cell>
          <cell r="F468" t="str">
            <v xml:space="preserve">B </v>
          </cell>
          <cell r="G468">
            <v>6</v>
          </cell>
          <cell r="H468">
            <v>472</v>
          </cell>
          <cell r="I468">
            <v>110191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2137974</v>
          </cell>
          <cell r="P468">
            <v>0</v>
          </cell>
          <cell r="Q468">
            <v>0</v>
          </cell>
          <cell r="R468">
            <v>21273</v>
          </cell>
          <cell r="S468">
            <v>0</v>
          </cell>
          <cell r="T468">
            <v>11129</v>
          </cell>
          <cell r="U468">
            <v>363548</v>
          </cell>
          <cell r="V468">
            <v>94</v>
          </cell>
          <cell r="W468">
            <v>0</v>
          </cell>
          <cell r="X468">
            <v>0</v>
          </cell>
          <cell r="Y468">
            <v>144366</v>
          </cell>
          <cell r="Z468">
            <v>2137974</v>
          </cell>
          <cell r="AA468">
            <v>2314836</v>
          </cell>
          <cell r="AB468" t="str">
            <v>ERAR</v>
          </cell>
          <cell r="AC468">
            <v>1101</v>
          </cell>
          <cell r="AD468">
            <v>2</v>
          </cell>
          <cell r="AE468">
            <v>110191</v>
          </cell>
        </row>
        <row r="469">
          <cell r="A469" t="str">
            <v>SMA</v>
          </cell>
          <cell r="B469">
            <v>2</v>
          </cell>
          <cell r="C469" t="str">
            <v>DRAM</v>
          </cell>
          <cell r="D469">
            <v>23</v>
          </cell>
          <cell r="E469">
            <v>1</v>
          </cell>
          <cell r="F469" t="str">
            <v xml:space="preserve">B </v>
          </cell>
          <cell r="G469">
            <v>7</v>
          </cell>
          <cell r="H469">
            <v>125</v>
          </cell>
          <cell r="I469">
            <v>41368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833302</v>
          </cell>
          <cell r="P469">
            <v>0</v>
          </cell>
          <cell r="Q469">
            <v>0</v>
          </cell>
          <cell r="R469">
            <v>8256</v>
          </cell>
          <cell r="S469">
            <v>0</v>
          </cell>
          <cell r="T469">
            <v>7232</v>
          </cell>
          <cell r="U469">
            <v>166708</v>
          </cell>
          <cell r="V469">
            <v>0</v>
          </cell>
          <cell r="W469">
            <v>0</v>
          </cell>
          <cell r="X469">
            <v>0</v>
          </cell>
          <cell r="Y469">
            <v>39091</v>
          </cell>
          <cell r="Z469">
            <v>833302</v>
          </cell>
          <cell r="AA469">
            <v>887881</v>
          </cell>
          <cell r="AB469" t="str">
            <v>ERAR</v>
          </cell>
          <cell r="AC469">
            <v>1101</v>
          </cell>
          <cell r="AD469">
            <v>2</v>
          </cell>
          <cell r="AE469">
            <v>41368</v>
          </cell>
        </row>
        <row r="470">
          <cell r="A470" t="str">
            <v>SMA</v>
          </cell>
          <cell r="B470">
            <v>2</v>
          </cell>
          <cell r="C470" t="str">
            <v>DRAM</v>
          </cell>
          <cell r="D470">
            <v>23</v>
          </cell>
          <cell r="E470">
            <v>1</v>
          </cell>
          <cell r="F470" t="str">
            <v xml:space="preserve">B </v>
          </cell>
          <cell r="G470">
            <v>8</v>
          </cell>
          <cell r="H470">
            <v>46</v>
          </cell>
          <cell r="I470">
            <v>19002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382378</v>
          </cell>
          <cell r="P470">
            <v>0</v>
          </cell>
          <cell r="Q470">
            <v>0</v>
          </cell>
          <cell r="R470">
            <v>3825</v>
          </cell>
          <cell r="S470">
            <v>0</v>
          </cell>
          <cell r="T470">
            <v>2971</v>
          </cell>
          <cell r="U470">
            <v>76484</v>
          </cell>
          <cell r="V470">
            <v>0</v>
          </cell>
          <cell r="W470">
            <v>0</v>
          </cell>
          <cell r="X470">
            <v>0</v>
          </cell>
          <cell r="Y470">
            <v>15956</v>
          </cell>
          <cell r="Z470">
            <v>382378</v>
          </cell>
          <cell r="AA470">
            <v>405130</v>
          </cell>
          <cell r="AB470" t="str">
            <v>ERAR</v>
          </cell>
          <cell r="AC470">
            <v>1101</v>
          </cell>
          <cell r="AD470">
            <v>2</v>
          </cell>
          <cell r="AE470">
            <v>19002</v>
          </cell>
        </row>
        <row r="471">
          <cell r="A471" t="str">
            <v>SMA</v>
          </cell>
          <cell r="B471">
            <v>2</v>
          </cell>
          <cell r="C471" t="str">
            <v>DRAM</v>
          </cell>
          <cell r="D471">
            <v>23</v>
          </cell>
          <cell r="E471">
            <v>1</v>
          </cell>
          <cell r="F471" t="str">
            <v xml:space="preserve">B </v>
          </cell>
          <cell r="G471">
            <v>9</v>
          </cell>
          <cell r="H471">
            <v>37</v>
          </cell>
          <cell r="I471">
            <v>19903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427181</v>
          </cell>
          <cell r="P471">
            <v>0</v>
          </cell>
          <cell r="Q471">
            <v>0</v>
          </cell>
          <cell r="R471">
            <v>3828</v>
          </cell>
          <cell r="S471">
            <v>0</v>
          </cell>
          <cell r="T471">
            <v>3301</v>
          </cell>
          <cell r="U471">
            <v>106804</v>
          </cell>
          <cell r="V471">
            <v>-94</v>
          </cell>
          <cell r="W471">
            <v>0</v>
          </cell>
          <cell r="X471">
            <v>0</v>
          </cell>
          <cell r="Y471">
            <v>11298</v>
          </cell>
          <cell r="Z471">
            <v>427181</v>
          </cell>
          <cell r="AA471">
            <v>445514</v>
          </cell>
          <cell r="AB471" t="str">
            <v>ERAR</v>
          </cell>
          <cell r="AC471">
            <v>1101</v>
          </cell>
          <cell r="AD471">
            <v>2</v>
          </cell>
          <cell r="AE471">
            <v>19903</v>
          </cell>
        </row>
        <row r="472">
          <cell r="A472" t="str">
            <v>SMA</v>
          </cell>
          <cell r="B472">
            <v>2</v>
          </cell>
          <cell r="C472" t="str">
            <v>DRAM</v>
          </cell>
          <cell r="D472">
            <v>23</v>
          </cell>
          <cell r="E472">
            <v>1</v>
          </cell>
          <cell r="F472" t="str">
            <v xml:space="preserve">B </v>
          </cell>
          <cell r="G472">
            <v>10</v>
          </cell>
          <cell r="H472">
            <v>10</v>
          </cell>
          <cell r="I472">
            <v>13123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281619</v>
          </cell>
          <cell r="P472">
            <v>0</v>
          </cell>
          <cell r="Q472">
            <v>0</v>
          </cell>
          <cell r="R472">
            <v>58475</v>
          </cell>
          <cell r="S472">
            <v>0</v>
          </cell>
          <cell r="T472">
            <v>-110</v>
          </cell>
          <cell r="U472">
            <v>70404</v>
          </cell>
          <cell r="V472">
            <v>0</v>
          </cell>
          <cell r="W472">
            <v>0</v>
          </cell>
          <cell r="X472">
            <v>0</v>
          </cell>
          <cell r="Y472">
            <v>443</v>
          </cell>
          <cell r="Z472">
            <v>281619</v>
          </cell>
          <cell r="AA472">
            <v>340427</v>
          </cell>
          <cell r="AB472" t="str">
            <v>ERAR</v>
          </cell>
          <cell r="AC472">
            <v>1101</v>
          </cell>
          <cell r="AD472">
            <v>2</v>
          </cell>
          <cell r="AE472">
            <v>13123</v>
          </cell>
        </row>
        <row r="473">
          <cell r="A473" t="str">
            <v>SMA</v>
          </cell>
          <cell r="B473">
            <v>2</v>
          </cell>
          <cell r="C473" t="str">
            <v>DRAM</v>
          </cell>
          <cell r="D473">
            <v>23</v>
          </cell>
          <cell r="E473">
            <v>1</v>
          </cell>
          <cell r="F473" t="str">
            <v xml:space="preserve">B </v>
          </cell>
          <cell r="G473">
            <v>11</v>
          </cell>
          <cell r="H473">
            <v>3616</v>
          </cell>
          <cell r="I473">
            <v>79096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446086</v>
          </cell>
          <cell r="P473">
            <v>0</v>
          </cell>
          <cell r="Q473">
            <v>0</v>
          </cell>
          <cell r="R473">
            <v>4773</v>
          </cell>
          <cell r="S473">
            <v>0</v>
          </cell>
          <cell r="T473">
            <v>40165</v>
          </cell>
          <cell r="U473">
            <v>0</v>
          </cell>
          <cell r="V473">
            <v>1411</v>
          </cell>
          <cell r="W473">
            <v>0</v>
          </cell>
          <cell r="X473">
            <v>0</v>
          </cell>
          <cell r="Y473">
            <v>74420</v>
          </cell>
          <cell r="Z473">
            <v>446086</v>
          </cell>
          <cell r="AA473">
            <v>566855</v>
          </cell>
          <cell r="AB473" t="str">
            <v>ERAR</v>
          </cell>
          <cell r="AC473">
            <v>1101</v>
          </cell>
          <cell r="AD473">
            <v>2</v>
          </cell>
          <cell r="AE473">
            <v>59947</v>
          </cell>
        </row>
        <row r="474">
          <cell r="A474" t="str">
            <v>SMA</v>
          </cell>
          <cell r="B474">
            <v>2</v>
          </cell>
          <cell r="C474" t="str">
            <v>DRAM</v>
          </cell>
          <cell r="D474">
            <v>23</v>
          </cell>
          <cell r="E474">
            <v>1</v>
          </cell>
          <cell r="F474" t="str">
            <v xml:space="preserve">B </v>
          </cell>
          <cell r="G474">
            <v>12</v>
          </cell>
          <cell r="H474">
            <v>2834</v>
          </cell>
          <cell r="I474">
            <v>156705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1412161</v>
          </cell>
          <cell r="P474">
            <v>0</v>
          </cell>
          <cell r="Q474">
            <v>0</v>
          </cell>
          <cell r="R474">
            <v>14015</v>
          </cell>
          <cell r="S474">
            <v>0</v>
          </cell>
          <cell r="T474">
            <v>22644</v>
          </cell>
          <cell r="U474">
            <v>240235</v>
          </cell>
          <cell r="V474">
            <v>2256</v>
          </cell>
          <cell r="W474">
            <v>0</v>
          </cell>
          <cell r="X474">
            <v>0</v>
          </cell>
          <cell r="Y474">
            <v>139044</v>
          </cell>
          <cell r="Z474">
            <v>1412161</v>
          </cell>
          <cell r="AA474">
            <v>1590120</v>
          </cell>
          <cell r="AB474" t="str">
            <v>ERAR</v>
          </cell>
          <cell r="AC474">
            <v>1101</v>
          </cell>
          <cell r="AD474">
            <v>2</v>
          </cell>
          <cell r="AE474">
            <v>156705</v>
          </cell>
        </row>
        <row r="475">
          <cell r="A475" t="str">
            <v>SMA</v>
          </cell>
          <cell r="B475">
            <v>2</v>
          </cell>
          <cell r="C475" t="str">
            <v>DRAM</v>
          </cell>
          <cell r="D475">
            <v>23</v>
          </cell>
          <cell r="E475">
            <v>1</v>
          </cell>
          <cell r="F475" t="str">
            <v xml:space="preserve">B </v>
          </cell>
          <cell r="G475">
            <v>13</v>
          </cell>
          <cell r="H475">
            <v>178</v>
          </cell>
          <cell r="I475">
            <v>20233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254830</v>
          </cell>
          <cell r="P475">
            <v>0</v>
          </cell>
          <cell r="Q475">
            <v>0</v>
          </cell>
          <cell r="R475">
            <v>2330</v>
          </cell>
          <cell r="S475">
            <v>0</v>
          </cell>
          <cell r="T475">
            <v>977</v>
          </cell>
          <cell r="U475">
            <v>43329</v>
          </cell>
          <cell r="V475">
            <v>282</v>
          </cell>
          <cell r="W475">
            <v>0</v>
          </cell>
          <cell r="X475">
            <v>0</v>
          </cell>
          <cell r="Y475">
            <v>12222</v>
          </cell>
          <cell r="Z475">
            <v>254830</v>
          </cell>
          <cell r="AA475">
            <v>270641</v>
          </cell>
          <cell r="AB475" t="str">
            <v>ERAR</v>
          </cell>
          <cell r="AC475">
            <v>1101</v>
          </cell>
          <cell r="AD475">
            <v>2</v>
          </cell>
          <cell r="AE475">
            <v>20233</v>
          </cell>
        </row>
        <row r="476">
          <cell r="A476" t="str">
            <v>SMA</v>
          </cell>
          <cell r="B476">
            <v>2</v>
          </cell>
          <cell r="C476" t="str">
            <v>DRAM</v>
          </cell>
          <cell r="D476">
            <v>23</v>
          </cell>
          <cell r="E476">
            <v>1</v>
          </cell>
          <cell r="F476" t="str">
            <v xml:space="preserve">B </v>
          </cell>
          <cell r="G476">
            <v>14</v>
          </cell>
          <cell r="H476">
            <v>16</v>
          </cell>
          <cell r="I476">
            <v>2314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28889</v>
          </cell>
          <cell r="P476">
            <v>0</v>
          </cell>
          <cell r="Q476">
            <v>0</v>
          </cell>
          <cell r="R476">
            <v>314</v>
          </cell>
          <cell r="S476">
            <v>0</v>
          </cell>
          <cell r="T476">
            <v>0</v>
          </cell>
          <cell r="U476">
            <v>4911</v>
          </cell>
          <cell r="V476">
            <v>188</v>
          </cell>
          <cell r="W476">
            <v>0</v>
          </cell>
          <cell r="X476">
            <v>0</v>
          </cell>
          <cell r="Y476">
            <v>1092</v>
          </cell>
          <cell r="Z476">
            <v>28889</v>
          </cell>
          <cell r="AA476">
            <v>30483</v>
          </cell>
          <cell r="AB476" t="str">
            <v>ERAR</v>
          </cell>
          <cell r="AC476">
            <v>1101</v>
          </cell>
          <cell r="AD476">
            <v>2</v>
          </cell>
          <cell r="AE476">
            <v>2314</v>
          </cell>
        </row>
        <row r="477">
          <cell r="A477" t="str">
            <v>SMA</v>
          </cell>
          <cell r="B477">
            <v>2</v>
          </cell>
          <cell r="C477" t="str">
            <v>DRAM</v>
          </cell>
          <cell r="D477">
            <v>23</v>
          </cell>
          <cell r="E477">
            <v>1</v>
          </cell>
          <cell r="F477" t="str">
            <v xml:space="preserve">B </v>
          </cell>
          <cell r="G477">
            <v>15</v>
          </cell>
          <cell r="H477">
            <v>18</v>
          </cell>
          <cell r="I477">
            <v>-10466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-245142</v>
          </cell>
          <cell r="P477">
            <v>0</v>
          </cell>
          <cell r="Q477">
            <v>0</v>
          </cell>
          <cell r="R477">
            <v>82</v>
          </cell>
          <cell r="S477">
            <v>0</v>
          </cell>
          <cell r="T477">
            <v>32</v>
          </cell>
          <cell r="U477">
            <v>-65085</v>
          </cell>
          <cell r="V477">
            <v>189</v>
          </cell>
          <cell r="W477">
            <v>0</v>
          </cell>
          <cell r="X477">
            <v>0</v>
          </cell>
          <cell r="Y477">
            <v>2431</v>
          </cell>
          <cell r="Z477">
            <v>-245142</v>
          </cell>
          <cell r="AA477">
            <v>-242408</v>
          </cell>
          <cell r="AB477" t="str">
            <v>ERAR</v>
          </cell>
          <cell r="AC477">
            <v>1101</v>
          </cell>
          <cell r="AD477">
            <v>2</v>
          </cell>
          <cell r="AE477">
            <v>-10466</v>
          </cell>
        </row>
        <row r="478">
          <cell r="A478" t="str">
            <v>SMA</v>
          </cell>
          <cell r="B478">
            <v>2</v>
          </cell>
          <cell r="C478" t="str">
            <v>DRAM</v>
          </cell>
          <cell r="D478">
            <v>23</v>
          </cell>
          <cell r="E478">
            <v>2</v>
          </cell>
          <cell r="F478" t="str">
            <v>A4</v>
          </cell>
          <cell r="G478">
            <v>20</v>
          </cell>
          <cell r="H478">
            <v>8</v>
          </cell>
          <cell r="I478">
            <v>126547</v>
          </cell>
          <cell r="J478">
            <v>0</v>
          </cell>
          <cell r="K478">
            <v>0</v>
          </cell>
          <cell r="L478">
            <v>606</v>
          </cell>
          <cell r="M478">
            <v>0</v>
          </cell>
          <cell r="N478">
            <v>0</v>
          </cell>
          <cell r="O478">
            <v>1452087</v>
          </cell>
          <cell r="P478">
            <v>474294</v>
          </cell>
          <cell r="Q478">
            <v>232455</v>
          </cell>
          <cell r="R478">
            <v>23979</v>
          </cell>
          <cell r="S478">
            <v>0</v>
          </cell>
          <cell r="T478">
            <v>58296</v>
          </cell>
          <cell r="U478">
            <v>555754</v>
          </cell>
          <cell r="V478">
            <v>0</v>
          </cell>
          <cell r="W478">
            <v>64179</v>
          </cell>
          <cell r="X478">
            <v>0</v>
          </cell>
          <cell r="Y478">
            <v>5658</v>
          </cell>
          <cell r="Z478">
            <v>2223015</v>
          </cell>
          <cell r="AA478">
            <v>2310948</v>
          </cell>
          <cell r="AB478" t="str">
            <v>ERAR</v>
          </cell>
          <cell r="AC478">
            <v>1101</v>
          </cell>
          <cell r="AD478">
            <v>2</v>
          </cell>
          <cell r="AE478">
            <v>126547</v>
          </cell>
        </row>
        <row r="479">
          <cell r="A479" t="str">
            <v>SMA</v>
          </cell>
          <cell r="B479">
            <v>2</v>
          </cell>
          <cell r="C479" t="str">
            <v>DRAM</v>
          </cell>
          <cell r="D479">
            <v>23</v>
          </cell>
          <cell r="E479">
            <v>2</v>
          </cell>
          <cell r="F479" t="str">
            <v xml:space="preserve">B </v>
          </cell>
          <cell r="G479">
            <v>0</v>
          </cell>
          <cell r="H479">
            <v>56</v>
          </cell>
          <cell r="I479">
            <v>34976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728140</v>
          </cell>
          <cell r="P479">
            <v>0</v>
          </cell>
          <cell r="Q479">
            <v>0</v>
          </cell>
          <cell r="R479">
            <v>4282</v>
          </cell>
          <cell r="S479">
            <v>0</v>
          </cell>
          <cell r="T479">
            <v>2104</v>
          </cell>
          <cell r="U479">
            <v>179503</v>
          </cell>
          <cell r="V479">
            <v>0</v>
          </cell>
          <cell r="W479">
            <v>0</v>
          </cell>
          <cell r="X479">
            <v>0</v>
          </cell>
          <cell r="Y479">
            <v>14199</v>
          </cell>
          <cell r="Z479">
            <v>728140</v>
          </cell>
          <cell r="AA479">
            <v>748725</v>
          </cell>
          <cell r="AB479" t="str">
            <v>ERAR</v>
          </cell>
          <cell r="AC479">
            <v>1101</v>
          </cell>
          <cell r="AD479">
            <v>2</v>
          </cell>
          <cell r="AE479">
            <v>34146</v>
          </cell>
        </row>
        <row r="480">
          <cell r="A480" t="str">
            <v>SMA</v>
          </cell>
          <cell r="B480">
            <v>2</v>
          </cell>
          <cell r="C480" t="str">
            <v>DRAM</v>
          </cell>
          <cell r="D480">
            <v>23</v>
          </cell>
          <cell r="E480">
            <v>3</v>
          </cell>
          <cell r="F480" t="str">
            <v>A4</v>
          </cell>
          <cell r="G480">
            <v>21</v>
          </cell>
          <cell r="H480">
            <v>1</v>
          </cell>
          <cell r="I480">
            <v>12914</v>
          </cell>
          <cell r="J480">
            <v>993</v>
          </cell>
          <cell r="K480">
            <v>11921</v>
          </cell>
          <cell r="L480">
            <v>60</v>
          </cell>
          <cell r="M480">
            <v>60</v>
          </cell>
          <cell r="N480">
            <v>0</v>
          </cell>
          <cell r="O480">
            <v>138018</v>
          </cell>
          <cell r="P480">
            <v>41440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44865</v>
          </cell>
          <cell r="V480">
            <v>0</v>
          </cell>
          <cell r="W480">
            <v>0</v>
          </cell>
          <cell r="X480">
            <v>0</v>
          </cell>
          <cell r="Y480">
            <v>1122</v>
          </cell>
          <cell r="Z480">
            <v>179458</v>
          </cell>
          <cell r="AA480">
            <v>180580</v>
          </cell>
          <cell r="AB480" t="str">
            <v>ERAR</v>
          </cell>
          <cell r="AC480">
            <v>1101</v>
          </cell>
          <cell r="AD480">
            <v>2</v>
          </cell>
          <cell r="AE480">
            <v>12914</v>
          </cell>
        </row>
        <row r="481">
          <cell r="A481" t="str">
            <v>SMA</v>
          </cell>
          <cell r="B481">
            <v>2</v>
          </cell>
          <cell r="C481" t="str">
            <v>DRAM</v>
          </cell>
          <cell r="D481">
            <v>23</v>
          </cell>
          <cell r="E481">
            <v>3</v>
          </cell>
          <cell r="F481" t="str">
            <v>A4</v>
          </cell>
          <cell r="G481">
            <v>20</v>
          </cell>
          <cell r="H481">
            <v>10</v>
          </cell>
          <cell r="I481">
            <v>143033</v>
          </cell>
          <cell r="J481">
            <v>0</v>
          </cell>
          <cell r="K481">
            <v>0</v>
          </cell>
          <cell r="L481">
            <v>387</v>
          </cell>
          <cell r="M481">
            <v>0</v>
          </cell>
          <cell r="N481">
            <v>0</v>
          </cell>
          <cell r="O481">
            <v>1641254</v>
          </cell>
          <cell r="P481">
            <v>302892</v>
          </cell>
          <cell r="Q481">
            <v>59185</v>
          </cell>
          <cell r="R481">
            <v>8769</v>
          </cell>
          <cell r="S481">
            <v>0</v>
          </cell>
          <cell r="T481">
            <v>0</v>
          </cell>
          <cell r="U481">
            <v>503768</v>
          </cell>
          <cell r="V481">
            <v>0</v>
          </cell>
          <cell r="W481">
            <v>11739</v>
          </cell>
          <cell r="X481">
            <v>0</v>
          </cell>
          <cell r="Y481">
            <v>9000</v>
          </cell>
          <cell r="Z481">
            <v>2015070</v>
          </cell>
          <cell r="AA481">
            <v>2032839</v>
          </cell>
          <cell r="AB481" t="str">
            <v>ERAR</v>
          </cell>
          <cell r="AC481">
            <v>1101</v>
          </cell>
          <cell r="AD481">
            <v>2</v>
          </cell>
          <cell r="AE481">
            <v>143033</v>
          </cell>
        </row>
        <row r="482">
          <cell r="A482" t="str">
            <v>SMA</v>
          </cell>
          <cell r="B482">
            <v>2</v>
          </cell>
          <cell r="C482" t="str">
            <v>DRAM</v>
          </cell>
          <cell r="D482">
            <v>23</v>
          </cell>
          <cell r="E482">
            <v>3</v>
          </cell>
          <cell r="F482" t="str">
            <v xml:space="preserve">B </v>
          </cell>
          <cell r="G482">
            <v>0</v>
          </cell>
          <cell r="H482">
            <v>2716</v>
          </cell>
          <cell r="I482">
            <v>512749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10713295</v>
          </cell>
          <cell r="P482">
            <v>0</v>
          </cell>
          <cell r="Q482">
            <v>0</v>
          </cell>
          <cell r="R482">
            <v>120874</v>
          </cell>
          <cell r="S482">
            <v>0</v>
          </cell>
          <cell r="T482">
            <v>238878</v>
          </cell>
          <cell r="U482">
            <v>2631445</v>
          </cell>
          <cell r="V482">
            <v>2167</v>
          </cell>
          <cell r="W482">
            <v>0</v>
          </cell>
          <cell r="X482">
            <v>0</v>
          </cell>
          <cell r="Y482">
            <v>466849</v>
          </cell>
          <cell r="Z482">
            <v>10713295</v>
          </cell>
          <cell r="AA482">
            <v>11542063</v>
          </cell>
          <cell r="AB482" t="str">
            <v>ERAR</v>
          </cell>
          <cell r="AC482">
            <v>1101</v>
          </cell>
          <cell r="AD482">
            <v>2</v>
          </cell>
          <cell r="AE482">
            <v>489882</v>
          </cell>
        </row>
        <row r="483">
          <cell r="A483" t="str">
            <v>SMA</v>
          </cell>
          <cell r="B483">
            <v>2</v>
          </cell>
          <cell r="C483" t="str">
            <v>DRAM</v>
          </cell>
          <cell r="D483">
            <v>23</v>
          </cell>
          <cell r="E483">
            <v>4</v>
          </cell>
          <cell r="F483" t="str">
            <v>A4</v>
          </cell>
          <cell r="G483">
            <v>20</v>
          </cell>
          <cell r="H483">
            <v>1</v>
          </cell>
          <cell r="I483">
            <v>820</v>
          </cell>
          <cell r="J483">
            <v>0</v>
          </cell>
          <cell r="K483">
            <v>0</v>
          </cell>
          <cell r="L483">
            <v>8</v>
          </cell>
          <cell r="M483">
            <v>0</v>
          </cell>
          <cell r="N483">
            <v>0</v>
          </cell>
          <cell r="O483">
            <v>6351</v>
          </cell>
          <cell r="P483">
            <v>4224</v>
          </cell>
          <cell r="Q483">
            <v>542</v>
          </cell>
          <cell r="R483">
            <v>216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528</v>
          </cell>
          <cell r="X483">
            <v>0</v>
          </cell>
          <cell r="Y483">
            <v>0</v>
          </cell>
          <cell r="Z483">
            <v>11645</v>
          </cell>
          <cell r="AA483">
            <v>11861</v>
          </cell>
          <cell r="AB483" t="str">
            <v>ERAR</v>
          </cell>
          <cell r="AC483">
            <v>1101</v>
          </cell>
          <cell r="AD483">
            <v>2</v>
          </cell>
          <cell r="AE483">
            <v>820</v>
          </cell>
        </row>
        <row r="484">
          <cell r="A484" t="str">
            <v>SMA</v>
          </cell>
          <cell r="B484">
            <v>2</v>
          </cell>
          <cell r="C484" t="str">
            <v>DRAM</v>
          </cell>
          <cell r="D484">
            <v>23</v>
          </cell>
          <cell r="E484">
            <v>4</v>
          </cell>
          <cell r="F484" t="str">
            <v xml:space="preserve">B </v>
          </cell>
          <cell r="G484">
            <v>0</v>
          </cell>
          <cell r="H484">
            <v>8561</v>
          </cell>
          <cell r="I484">
            <v>542910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5327493</v>
          </cell>
          <cell r="P484">
            <v>0</v>
          </cell>
          <cell r="Q484">
            <v>0</v>
          </cell>
          <cell r="R484">
            <v>44</v>
          </cell>
          <cell r="S484">
            <v>0</v>
          </cell>
          <cell r="T484">
            <v>245657</v>
          </cell>
          <cell r="U484">
            <v>0</v>
          </cell>
          <cell r="V484">
            <v>226273</v>
          </cell>
          <cell r="W484">
            <v>0</v>
          </cell>
          <cell r="X484">
            <v>0</v>
          </cell>
          <cell r="Y484">
            <v>0</v>
          </cell>
          <cell r="Z484">
            <v>5327493</v>
          </cell>
          <cell r="AA484">
            <v>5799467</v>
          </cell>
          <cell r="AB484" t="str">
            <v>ERAR</v>
          </cell>
          <cell r="AC484">
            <v>1101</v>
          </cell>
          <cell r="AD484">
            <v>2</v>
          </cell>
          <cell r="AE484">
            <v>471094</v>
          </cell>
        </row>
        <row r="485">
          <cell r="A485" t="str">
            <v>SMA</v>
          </cell>
          <cell r="B485">
            <v>2</v>
          </cell>
          <cell r="C485" t="str">
            <v>DRAM</v>
          </cell>
          <cell r="D485">
            <v>23</v>
          </cell>
          <cell r="E485">
            <v>5</v>
          </cell>
          <cell r="F485" t="str">
            <v>A4</v>
          </cell>
          <cell r="G485">
            <v>21</v>
          </cell>
          <cell r="H485">
            <v>1</v>
          </cell>
          <cell r="I485">
            <v>9070</v>
          </cell>
          <cell r="J485">
            <v>683</v>
          </cell>
          <cell r="K485">
            <v>8387</v>
          </cell>
          <cell r="L485">
            <v>46</v>
          </cell>
          <cell r="M485">
            <v>46</v>
          </cell>
          <cell r="N485">
            <v>0</v>
          </cell>
          <cell r="O485">
            <v>96142</v>
          </cell>
          <cell r="P485">
            <v>31771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31978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127913</v>
          </cell>
          <cell r="AA485">
            <v>127913</v>
          </cell>
          <cell r="AB485" t="str">
            <v>ERAR</v>
          </cell>
          <cell r="AC485">
            <v>1101</v>
          </cell>
          <cell r="AD485">
            <v>2</v>
          </cell>
          <cell r="AE485">
            <v>9070</v>
          </cell>
        </row>
        <row r="486">
          <cell r="A486" t="str">
            <v>SMA</v>
          </cell>
          <cell r="B486">
            <v>2</v>
          </cell>
          <cell r="C486" t="str">
            <v>DRAM</v>
          </cell>
          <cell r="D486">
            <v>23</v>
          </cell>
          <cell r="E486">
            <v>5</v>
          </cell>
          <cell r="F486" t="str">
            <v>A4</v>
          </cell>
          <cell r="G486">
            <v>20</v>
          </cell>
          <cell r="H486">
            <v>6</v>
          </cell>
          <cell r="I486">
            <v>53074</v>
          </cell>
          <cell r="J486">
            <v>0</v>
          </cell>
          <cell r="K486">
            <v>0</v>
          </cell>
          <cell r="L486">
            <v>188</v>
          </cell>
          <cell r="M486">
            <v>0</v>
          </cell>
          <cell r="N486">
            <v>0</v>
          </cell>
          <cell r="O486">
            <v>474045</v>
          </cell>
          <cell r="P486">
            <v>119161</v>
          </cell>
          <cell r="Q486">
            <v>10898</v>
          </cell>
          <cell r="R486">
            <v>5760</v>
          </cell>
          <cell r="S486">
            <v>0</v>
          </cell>
          <cell r="T486">
            <v>0</v>
          </cell>
          <cell r="U486">
            <v>28370</v>
          </cell>
          <cell r="V486">
            <v>0</v>
          </cell>
          <cell r="W486">
            <v>4305</v>
          </cell>
          <cell r="X486">
            <v>0</v>
          </cell>
          <cell r="Y486">
            <v>0</v>
          </cell>
          <cell r="Z486">
            <v>608409</v>
          </cell>
          <cell r="AA486">
            <v>614169</v>
          </cell>
          <cell r="AB486" t="str">
            <v>ERAR</v>
          </cell>
          <cell r="AC486">
            <v>1101</v>
          </cell>
          <cell r="AD486">
            <v>2</v>
          </cell>
          <cell r="AE486">
            <v>53074</v>
          </cell>
        </row>
        <row r="487">
          <cell r="A487" t="str">
            <v>SMA</v>
          </cell>
          <cell r="B487">
            <v>2</v>
          </cell>
          <cell r="C487" t="str">
            <v>DRAM</v>
          </cell>
          <cell r="D487">
            <v>23</v>
          </cell>
          <cell r="E487">
            <v>5</v>
          </cell>
          <cell r="F487" t="str">
            <v xml:space="preserve">B </v>
          </cell>
          <cell r="G487">
            <v>0</v>
          </cell>
          <cell r="H487">
            <v>470</v>
          </cell>
          <cell r="I487">
            <v>133789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2510075</v>
          </cell>
          <cell r="P487">
            <v>0</v>
          </cell>
          <cell r="Q487">
            <v>0</v>
          </cell>
          <cell r="R487">
            <v>12286</v>
          </cell>
          <cell r="S487">
            <v>0</v>
          </cell>
          <cell r="T487">
            <v>231649</v>
          </cell>
          <cell r="U487">
            <v>419779</v>
          </cell>
          <cell r="V487">
            <v>660</v>
          </cell>
          <cell r="W487">
            <v>0</v>
          </cell>
          <cell r="X487">
            <v>0</v>
          </cell>
          <cell r="Y487">
            <v>0</v>
          </cell>
          <cell r="Z487">
            <v>2510075</v>
          </cell>
          <cell r="AA487">
            <v>2754670</v>
          </cell>
          <cell r="AB487" t="str">
            <v>ERAR</v>
          </cell>
          <cell r="AC487">
            <v>1101</v>
          </cell>
          <cell r="AD487">
            <v>2</v>
          </cell>
          <cell r="AE487">
            <v>130432</v>
          </cell>
        </row>
        <row r="488">
          <cell r="A488" t="str">
            <v>SMA</v>
          </cell>
          <cell r="B488">
            <v>2</v>
          </cell>
          <cell r="C488" t="str">
            <v>DRAM</v>
          </cell>
          <cell r="D488">
            <v>23</v>
          </cell>
          <cell r="E488">
            <v>6</v>
          </cell>
          <cell r="F488" t="str">
            <v xml:space="preserve">B </v>
          </cell>
          <cell r="G488">
            <v>0</v>
          </cell>
          <cell r="H488">
            <v>24</v>
          </cell>
          <cell r="I488">
            <v>389726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4588374</v>
          </cell>
          <cell r="P488">
            <v>0</v>
          </cell>
          <cell r="Q488">
            <v>0</v>
          </cell>
          <cell r="R488">
            <v>9212</v>
          </cell>
          <cell r="S488">
            <v>0</v>
          </cell>
          <cell r="T488">
            <v>0</v>
          </cell>
          <cell r="U488">
            <v>1147093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4588374</v>
          </cell>
          <cell r="AA488">
            <v>4597586</v>
          </cell>
          <cell r="AB488" t="str">
            <v>ERAR</v>
          </cell>
          <cell r="AC488">
            <v>1101</v>
          </cell>
          <cell r="AD488">
            <v>2</v>
          </cell>
          <cell r="AE488">
            <v>389726</v>
          </cell>
        </row>
        <row r="489">
          <cell r="A489" t="str">
            <v>SMA</v>
          </cell>
          <cell r="B489">
            <v>2</v>
          </cell>
          <cell r="C489" t="str">
            <v>DRAM</v>
          </cell>
          <cell r="D489">
            <v>23</v>
          </cell>
          <cell r="E489">
            <v>7</v>
          </cell>
          <cell r="F489" t="str">
            <v>A4</v>
          </cell>
          <cell r="G489">
            <v>22</v>
          </cell>
          <cell r="H489">
            <v>2</v>
          </cell>
          <cell r="I489">
            <v>279708</v>
          </cell>
          <cell r="J489">
            <v>26868</v>
          </cell>
          <cell r="K489">
            <v>252840</v>
          </cell>
          <cell r="L489">
            <v>1702</v>
          </cell>
          <cell r="M489">
            <v>880</v>
          </cell>
          <cell r="N489">
            <v>516</v>
          </cell>
          <cell r="O489">
            <v>1697750</v>
          </cell>
          <cell r="P489">
            <v>3326114</v>
          </cell>
          <cell r="Q489">
            <v>366326</v>
          </cell>
          <cell r="R489">
            <v>0</v>
          </cell>
          <cell r="S489">
            <v>0</v>
          </cell>
          <cell r="T489">
            <v>0</v>
          </cell>
          <cell r="U489">
            <v>1458574</v>
          </cell>
          <cell r="V489">
            <v>0</v>
          </cell>
          <cell r="W489">
            <v>444107</v>
          </cell>
          <cell r="X489">
            <v>0</v>
          </cell>
          <cell r="Y489">
            <v>0</v>
          </cell>
          <cell r="Z489">
            <v>5834297</v>
          </cell>
          <cell r="AA489">
            <v>5834297</v>
          </cell>
          <cell r="AB489" t="str">
            <v>ERAR</v>
          </cell>
          <cell r="AC489">
            <v>1101</v>
          </cell>
          <cell r="AD489">
            <v>2</v>
          </cell>
          <cell r="AE489">
            <v>279708</v>
          </cell>
        </row>
        <row r="490">
          <cell r="A490" t="str">
            <v>SMA</v>
          </cell>
          <cell r="B490">
            <v>2</v>
          </cell>
          <cell r="C490" t="str">
            <v>DRAM</v>
          </cell>
          <cell r="D490">
            <v>23</v>
          </cell>
          <cell r="E490">
            <v>7</v>
          </cell>
          <cell r="F490" t="str">
            <v>A4</v>
          </cell>
          <cell r="G490">
            <v>20</v>
          </cell>
          <cell r="H490">
            <v>10</v>
          </cell>
          <cell r="I490">
            <v>234264</v>
          </cell>
          <cell r="J490">
            <v>0</v>
          </cell>
          <cell r="K490">
            <v>0</v>
          </cell>
          <cell r="L490">
            <v>669</v>
          </cell>
          <cell r="M490">
            <v>0</v>
          </cell>
          <cell r="N490">
            <v>0</v>
          </cell>
          <cell r="O490">
            <v>2284857</v>
          </cell>
          <cell r="P490">
            <v>457496</v>
          </cell>
          <cell r="Q490">
            <v>248365</v>
          </cell>
          <cell r="R490">
            <v>0</v>
          </cell>
          <cell r="S490">
            <v>0</v>
          </cell>
          <cell r="T490">
            <v>0</v>
          </cell>
          <cell r="U490">
            <v>762952</v>
          </cell>
          <cell r="V490">
            <v>0</v>
          </cell>
          <cell r="W490">
            <v>61088</v>
          </cell>
          <cell r="X490">
            <v>0</v>
          </cell>
          <cell r="Y490">
            <v>0</v>
          </cell>
          <cell r="Z490">
            <v>3051806</v>
          </cell>
          <cell r="AA490">
            <v>3051806</v>
          </cell>
          <cell r="AB490" t="str">
            <v>ERAR</v>
          </cell>
          <cell r="AC490">
            <v>1101</v>
          </cell>
          <cell r="AD490">
            <v>2</v>
          </cell>
          <cell r="AE490">
            <v>234264</v>
          </cell>
        </row>
        <row r="491">
          <cell r="A491" t="str">
            <v>SMA</v>
          </cell>
          <cell r="B491">
            <v>2</v>
          </cell>
          <cell r="C491" t="str">
            <v>DRAM</v>
          </cell>
          <cell r="D491">
            <v>23</v>
          </cell>
          <cell r="E491">
            <v>7</v>
          </cell>
          <cell r="F491" t="str">
            <v xml:space="preserve">B </v>
          </cell>
          <cell r="G491">
            <v>0</v>
          </cell>
          <cell r="H491">
            <v>9</v>
          </cell>
          <cell r="I491">
            <v>24873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440118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110029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440118</v>
          </cell>
          <cell r="AA491">
            <v>440118</v>
          </cell>
          <cell r="AB491" t="str">
            <v>ERAR</v>
          </cell>
          <cell r="AC491">
            <v>1101</v>
          </cell>
          <cell r="AD491">
            <v>2</v>
          </cell>
          <cell r="AE491">
            <v>24744</v>
          </cell>
        </row>
        <row r="492">
          <cell r="A492" t="str">
            <v>SMA</v>
          </cell>
          <cell r="B492">
            <v>2</v>
          </cell>
          <cell r="C492" t="str">
            <v>DRAM</v>
          </cell>
          <cell r="D492">
            <v>23</v>
          </cell>
          <cell r="E492">
            <v>8</v>
          </cell>
          <cell r="F492" t="str">
            <v xml:space="preserve">B </v>
          </cell>
          <cell r="G492">
            <v>0</v>
          </cell>
          <cell r="H492">
            <v>6</v>
          </cell>
          <cell r="I492">
            <v>7903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164529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41132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164529</v>
          </cell>
          <cell r="AA492">
            <v>164529</v>
          </cell>
          <cell r="AB492" t="str">
            <v>ERAR</v>
          </cell>
          <cell r="AC492">
            <v>1101</v>
          </cell>
          <cell r="AD492">
            <v>2</v>
          </cell>
          <cell r="AE492">
            <v>7873</v>
          </cell>
        </row>
        <row r="493">
          <cell r="A493" t="str">
            <v>SMA</v>
          </cell>
          <cell r="B493">
            <v>2</v>
          </cell>
          <cell r="C493" t="str">
            <v>DRAM</v>
          </cell>
          <cell r="D493">
            <v>24</v>
          </cell>
          <cell r="E493">
            <v>1</v>
          </cell>
          <cell r="F493" t="str">
            <v xml:space="preserve">B </v>
          </cell>
          <cell r="G493">
            <v>1</v>
          </cell>
          <cell r="H493">
            <v>6930</v>
          </cell>
          <cell r="I493">
            <v>140092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2271320</v>
          </cell>
          <cell r="P493">
            <v>0</v>
          </cell>
          <cell r="Q493">
            <v>0</v>
          </cell>
          <cell r="R493">
            <v>21015</v>
          </cell>
          <cell r="S493">
            <v>0</v>
          </cell>
          <cell r="T493">
            <v>114093</v>
          </cell>
          <cell r="U493">
            <v>330</v>
          </cell>
          <cell r="V493">
            <v>7802</v>
          </cell>
          <cell r="W493">
            <v>0</v>
          </cell>
          <cell r="X493">
            <v>0</v>
          </cell>
          <cell r="Y493">
            <v>227292</v>
          </cell>
          <cell r="Z493">
            <v>2271320</v>
          </cell>
          <cell r="AA493">
            <v>2641522</v>
          </cell>
          <cell r="AB493" t="str">
            <v>ERPQ</v>
          </cell>
          <cell r="AC493">
            <v>1101</v>
          </cell>
          <cell r="AD493">
            <v>2</v>
          </cell>
          <cell r="AE493">
            <v>108738</v>
          </cell>
        </row>
        <row r="494">
          <cell r="A494" t="str">
            <v>SMA</v>
          </cell>
          <cell r="B494">
            <v>2</v>
          </cell>
          <cell r="C494" t="str">
            <v>DRAM</v>
          </cell>
          <cell r="D494">
            <v>24</v>
          </cell>
          <cell r="E494">
            <v>1</v>
          </cell>
          <cell r="F494" t="str">
            <v xml:space="preserve">B </v>
          </cell>
          <cell r="G494">
            <v>2</v>
          </cell>
          <cell r="H494">
            <v>3231</v>
          </cell>
          <cell r="I494">
            <v>131326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2547059</v>
          </cell>
          <cell r="P494">
            <v>0</v>
          </cell>
          <cell r="Q494">
            <v>0</v>
          </cell>
          <cell r="R494">
            <v>25718</v>
          </cell>
          <cell r="S494">
            <v>0</v>
          </cell>
          <cell r="T494">
            <v>21946</v>
          </cell>
          <cell r="U494">
            <v>432889</v>
          </cell>
          <cell r="V494">
            <v>4044</v>
          </cell>
          <cell r="W494">
            <v>0</v>
          </cell>
          <cell r="X494">
            <v>0</v>
          </cell>
          <cell r="Y494">
            <v>190705</v>
          </cell>
          <cell r="Z494">
            <v>2547059</v>
          </cell>
          <cell r="AA494">
            <v>2789472</v>
          </cell>
          <cell r="AB494" t="str">
            <v>ERPQ</v>
          </cell>
          <cell r="AC494">
            <v>1101</v>
          </cell>
          <cell r="AD494">
            <v>2</v>
          </cell>
          <cell r="AE494">
            <v>131326</v>
          </cell>
        </row>
        <row r="495">
          <cell r="A495" t="str">
            <v>SMA</v>
          </cell>
          <cell r="B495">
            <v>2</v>
          </cell>
          <cell r="C495" t="str">
            <v>DRAM</v>
          </cell>
          <cell r="D495">
            <v>24</v>
          </cell>
          <cell r="E495">
            <v>1</v>
          </cell>
          <cell r="F495" t="str">
            <v xml:space="preserve">B </v>
          </cell>
          <cell r="G495">
            <v>3</v>
          </cell>
          <cell r="H495">
            <v>6039</v>
          </cell>
          <cell r="I495">
            <v>426211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8266193</v>
          </cell>
          <cell r="P495">
            <v>0</v>
          </cell>
          <cell r="Q495">
            <v>0</v>
          </cell>
          <cell r="R495">
            <v>125768</v>
          </cell>
          <cell r="S495">
            <v>0</v>
          </cell>
          <cell r="T495">
            <v>63028</v>
          </cell>
          <cell r="U495">
            <v>1405430</v>
          </cell>
          <cell r="V495">
            <v>3761</v>
          </cell>
          <cell r="W495">
            <v>0</v>
          </cell>
          <cell r="X495">
            <v>0</v>
          </cell>
          <cell r="Y495">
            <v>579365</v>
          </cell>
          <cell r="Z495">
            <v>8266193</v>
          </cell>
          <cell r="AA495">
            <v>9038115</v>
          </cell>
          <cell r="AB495" t="str">
            <v>ERPQ</v>
          </cell>
          <cell r="AC495">
            <v>1101</v>
          </cell>
          <cell r="AD495">
            <v>2</v>
          </cell>
          <cell r="AE495">
            <v>425211</v>
          </cell>
        </row>
        <row r="496">
          <cell r="A496" t="str">
            <v>SMA</v>
          </cell>
          <cell r="B496">
            <v>2</v>
          </cell>
          <cell r="C496" t="str">
            <v>DRAM</v>
          </cell>
          <cell r="D496">
            <v>24</v>
          </cell>
          <cell r="E496">
            <v>1</v>
          </cell>
          <cell r="F496" t="str">
            <v xml:space="preserve">B </v>
          </cell>
          <cell r="G496">
            <v>4</v>
          </cell>
          <cell r="H496">
            <v>1211</v>
          </cell>
          <cell r="I496">
            <v>143094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2775480</v>
          </cell>
          <cell r="P496">
            <v>0</v>
          </cell>
          <cell r="Q496">
            <v>0</v>
          </cell>
          <cell r="R496">
            <v>59805</v>
          </cell>
          <cell r="S496">
            <v>0</v>
          </cell>
          <cell r="T496">
            <v>23370</v>
          </cell>
          <cell r="U496">
            <v>471828</v>
          </cell>
          <cell r="V496">
            <v>376</v>
          </cell>
          <cell r="W496">
            <v>0</v>
          </cell>
          <cell r="X496">
            <v>0</v>
          </cell>
          <cell r="Y496">
            <v>173278</v>
          </cell>
          <cell r="Z496">
            <v>2775480</v>
          </cell>
          <cell r="AA496">
            <v>3032309</v>
          </cell>
          <cell r="AB496" t="str">
            <v>ERPQ</v>
          </cell>
          <cell r="AC496">
            <v>1101</v>
          </cell>
          <cell r="AD496">
            <v>2</v>
          </cell>
          <cell r="AE496">
            <v>143094</v>
          </cell>
        </row>
        <row r="497">
          <cell r="A497" t="str">
            <v>SMA</v>
          </cell>
          <cell r="B497">
            <v>2</v>
          </cell>
          <cell r="C497" t="str">
            <v>DRAM</v>
          </cell>
          <cell r="D497">
            <v>24</v>
          </cell>
          <cell r="E497">
            <v>1</v>
          </cell>
          <cell r="F497" t="str">
            <v xml:space="preserve">B </v>
          </cell>
          <cell r="G497">
            <v>5</v>
          </cell>
          <cell r="H497">
            <v>376</v>
          </cell>
          <cell r="I497">
            <v>62533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1214430</v>
          </cell>
          <cell r="P497">
            <v>0</v>
          </cell>
          <cell r="Q497">
            <v>0</v>
          </cell>
          <cell r="R497">
            <v>12217</v>
          </cell>
          <cell r="S497">
            <v>0</v>
          </cell>
          <cell r="T497">
            <v>7429</v>
          </cell>
          <cell r="U497">
            <v>206456</v>
          </cell>
          <cell r="V497">
            <v>189</v>
          </cell>
          <cell r="W497">
            <v>0</v>
          </cell>
          <cell r="X497">
            <v>0</v>
          </cell>
          <cell r="Y497">
            <v>114016</v>
          </cell>
          <cell r="Z497">
            <v>1214430</v>
          </cell>
          <cell r="AA497">
            <v>1348281</v>
          </cell>
          <cell r="AB497" t="str">
            <v>ERPQ</v>
          </cell>
          <cell r="AC497">
            <v>1101</v>
          </cell>
          <cell r="AD497">
            <v>2</v>
          </cell>
          <cell r="AE497">
            <v>62533</v>
          </cell>
        </row>
        <row r="498">
          <cell r="A498" t="str">
            <v>SMA</v>
          </cell>
          <cell r="B498">
            <v>2</v>
          </cell>
          <cell r="C498" t="str">
            <v>DRAM</v>
          </cell>
          <cell r="D498">
            <v>24</v>
          </cell>
          <cell r="E498">
            <v>1</v>
          </cell>
          <cell r="F498" t="str">
            <v xml:space="preserve">B </v>
          </cell>
          <cell r="G498">
            <v>6</v>
          </cell>
          <cell r="H498">
            <v>221</v>
          </cell>
          <cell r="I498">
            <v>51204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993189</v>
          </cell>
          <cell r="P498">
            <v>0</v>
          </cell>
          <cell r="Q498">
            <v>0</v>
          </cell>
          <cell r="R498">
            <v>9622</v>
          </cell>
          <cell r="S498">
            <v>0</v>
          </cell>
          <cell r="T498">
            <v>18919</v>
          </cell>
          <cell r="U498">
            <v>168887</v>
          </cell>
          <cell r="V498">
            <v>0</v>
          </cell>
          <cell r="W498">
            <v>0</v>
          </cell>
          <cell r="X498">
            <v>0</v>
          </cell>
          <cell r="Y498">
            <v>67126</v>
          </cell>
          <cell r="Z498">
            <v>993189</v>
          </cell>
          <cell r="AA498">
            <v>1088856</v>
          </cell>
          <cell r="AB498" t="str">
            <v>ERPQ</v>
          </cell>
          <cell r="AC498">
            <v>1101</v>
          </cell>
          <cell r="AD498">
            <v>2</v>
          </cell>
          <cell r="AE498">
            <v>51204</v>
          </cell>
        </row>
        <row r="499">
          <cell r="A499" t="str">
            <v>SMA</v>
          </cell>
          <cell r="B499">
            <v>2</v>
          </cell>
          <cell r="C499" t="str">
            <v>DRAM</v>
          </cell>
          <cell r="D499">
            <v>24</v>
          </cell>
          <cell r="E499">
            <v>1</v>
          </cell>
          <cell r="F499" t="str">
            <v xml:space="preserve">B </v>
          </cell>
          <cell r="G499">
            <v>7</v>
          </cell>
          <cell r="H499">
            <v>58</v>
          </cell>
          <cell r="I499">
            <v>18841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379167</v>
          </cell>
          <cell r="P499">
            <v>0</v>
          </cell>
          <cell r="Q499">
            <v>0</v>
          </cell>
          <cell r="R499">
            <v>4723</v>
          </cell>
          <cell r="S499">
            <v>0</v>
          </cell>
          <cell r="T499">
            <v>206</v>
          </cell>
          <cell r="U499">
            <v>75856</v>
          </cell>
          <cell r="V499">
            <v>0</v>
          </cell>
          <cell r="W499">
            <v>0</v>
          </cell>
          <cell r="X499">
            <v>0</v>
          </cell>
          <cell r="Y499">
            <v>43172</v>
          </cell>
          <cell r="Z499">
            <v>379167</v>
          </cell>
          <cell r="AA499">
            <v>427268</v>
          </cell>
          <cell r="AB499" t="str">
            <v>ERPQ</v>
          </cell>
          <cell r="AC499">
            <v>1101</v>
          </cell>
          <cell r="AD499">
            <v>2</v>
          </cell>
          <cell r="AE499">
            <v>18841</v>
          </cell>
        </row>
        <row r="500">
          <cell r="A500" t="str">
            <v>SMA</v>
          </cell>
          <cell r="B500">
            <v>2</v>
          </cell>
          <cell r="C500" t="str">
            <v>DRAM</v>
          </cell>
          <cell r="D500">
            <v>24</v>
          </cell>
          <cell r="E500">
            <v>1</v>
          </cell>
          <cell r="F500" t="str">
            <v xml:space="preserve">B </v>
          </cell>
          <cell r="G500">
            <v>8</v>
          </cell>
          <cell r="H500">
            <v>21</v>
          </cell>
          <cell r="I500">
            <v>9038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181876</v>
          </cell>
          <cell r="P500">
            <v>0</v>
          </cell>
          <cell r="Q500">
            <v>0</v>
          </cell>
          <cell r="R500">
            <v>1383</v>
          </cell>
          <cell r="S500">
            <v>0</v>
          </cell>
          <cell r="T500">
            <v>220</v>
          </cell>
          <cell r="U500">
            <v>36382</v>
          </cell>
          <cell r="V500">
            <v>0</v>
          </cell>
          <cell r="W500">
            <v>0</v>
          </cell>
          <cell r="X500">
            <v>0</v>
          </cell>
          <cell r="Y500">
            <v>14558</v>
          </cell>
          <cell r="Z500">
            <v>181876</v>
          </cell>
          <cell r="AA500">
            <v>198037</v>
          </cell>
          <cell r="AB500" t="str">
            <v>ERPQ</v>
          </cell>
          <cell r="AC500">
            <v>1101</v>
          </cell>
          <cell r="AD500">
            <v>2</v>
          </cell>
          <cell r="AE500">
            <v>9038</v>
          </cell>
        </row>
        <row r="501">
          <cell r="A501" t="str">
            <v>SMA</v>
          </cell>
          <cell r="B501">
            <v>2</v>
          </cell>
          <cell r="C501" t="str">
            <v>DRAM</v>
          </cell>
          <cell r="D501">
            <v>24</v>
          </cell>
          <cell r="E501">
            <v>1</v>
          </cell>
          <cell r="F501" t="str">
            <v xml:space="preserve">B </v>
          </cell>
          <cell r="G501">
            <v>9</v>
          </cell>
          <cell r="H501">
            <v>19</v>
          </cell>
          <cell r="I501">
            <v>9206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197582</v>
          </cell>
          <cell r="P501">
            <v>0</v>
          </cell>
          <cell r="Q501">
            <v>0</v>
          </cell>
          <cell r="R501">
            <v>7210</v>
          </cell>
          <cell r="S501">
            <v>0</v>
          </cell>
          <cell r="T501">
            <v>1441</v>
          </cell>
          <cell r="U501">
            <v>49403</v>
          </cell>
          <cell r="V501">
            <v>94</v>
          </cell>
          <cell r="W501">
            <v>0</v>
          </cell>
          <cell r="X501">
            <v>0</v>
          </cell>
          <cell r="Y501">
            <v>8394</v>
          </cell>
          <cell r="Z501">
            <v>197582</v>
          </cell>
          <cell r="AA501">
            <v>214721</v>
          </cell>
          <cell r="AB501" t="str">
            <v>ERPQ</v>
          </cell>
          <cell r="AC501">
            <v>1101</v>
          </cell>
          <cell r="AD501">
            <v>2</v>
          </cell>
          <cell r="AE501">
            <v>9206</v>
          </cell>
        </row>
        <row r="502">
          <cell r="A502" t="str">
            <v>SMA</v>
          </cell>
          <cell r="B502">
            <v>2</v>
          </cell>
          <cell r="C502" t="str">
            <v>DRAM</v>
          </cell>
          <cell r="D502">
            <v>24</v>
          </cell>
          <cell r="E502">
            <v>1</v>
          </cell>
          <cell r="F502" t="str">
            <v xml:space="preserve">B </v>
          </cell>
          <cell r="G502">
            <v>10</v>
          </cell>
          <cell r="H502">
            <v>10</v>
          </cell>
          <cell r="I502">
            <v>15181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325798</v>
          </cell>
          <cell r="P502">
            <v>0</v>
          </cell>
          <cell r="Q502">
            <v>0</v>
          </cell>
          <cell r="R502">
            <v>1201</v>
          </cell>
          <cell r="S502">
            <v>0</v>
          </cell>
          <cell r="T502">
            <v>20412</v>
          </cell>
          <cell r="U502">
            <v>81455</v>
          </cell>
          <cell r="V502">
            <v>0</v>
          </cell>
          <cell r="W502">
            <v>0</v>
          </cell>
          <cell r="X502">
            <v>0</v>
          </cell>
          <cell r="Y502">
            <v>9214</v>
          </cell>
          <cell r="Z502">
            <v>325798</v>
          </cell>
          <cell r="AA502">
            <v>356625</v>
          </cell>
          <cell r="AB502" t="str">
            <v>ERPQ</v>
          </cell>
          <cell r="AC502">
            <v>1101</v>
          </cell>
          <cell r="AD502">
            <v>2</v>
          </cell>
          <cell r="AE502">
            <v>15181</v>
          </cell>
        </row>
        <row r="503">
          <cell r="A503" t="str">
            <v>SMA</v>
          </cell>
          <cell r="B503">
            <v>2</v>
          </cell>
          <cell r="C503" t="str">
            <v>DRAM</v>
          </cell>
          <cell r="D503">
            <v>24</v>
          </cell>
          <cell r="E503">
            <v>1</v>
          </cell>
          <cell r="F503" t="str">
            <v xml:space="preserve">B </v>
          </cell>
          <cell r="G503">
            <v>11</v>
          </cell>
          <cell r="H503">
            <v>3540</v>
          </cell>
          <cell r="I503">
            <v>77617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437612</v>
          </cell>
          <cell r="P503">
            <v>0</v>
          </cell>
          <cell r="Q503">
            <v>0</v>
          </cell>
          <cell r="R503">
            <v>5015</v>
          </cell>
          <cell r="S503">
            <v>0</v>
          </cell>
          <cell r="T503">
            <v>32238</v>
          </cell>
          <cell r="U503">
            <v>0</v>
          </cell>
          <cell r="V503">
            <v>22655</v>
          </cell>
          <cell r="W503">
            <v>0</v>
          </cell>
          <cell r="X503">
            <v>0</v>
          </cell>
          <cell r="Y503">
            <v>95672</v>
          </cell>
          <cell r="Z503">
            <v>437612</v>
          </cell>
          <cell r="AA503">
            <v>593192</v>
          </cell>
          <cell r="AB503" t="str">
            <v>ERPQ</v>
          </cell>
          <cell r="AC503">
            <v>1101</v>
          </cell>
          <cell r="AD503">
            <v>2</v>
          </cell>
          <cell r="AE503">
            <v>55053</v>
          </cell>
        </row>
        <row r="504">
          <cell r="A504" t="str">
            <v>SMA</v>
          </cell>
          <cell r="B504">
            <v>2</v>
          </cell>
          <cell r="C504" t="str">
            <v>DRAM</v>
          </cell>
          <cell r="D504">
            <v>24</v>
          </cell>
          <cell r="E504">
            <v>1</v>
          </cell>
          <cell r="F504" t="str">
            <v xml:space="preserve">B </v>
          </cell>
          <cell r="G504">
            <v>12</v>
          </cell>
          <cell r="H504">
            <v>2452</v>
          </cell>
          <cell r="I504">
            <v>134142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1205062</v>
          </cell>
          <cell r="P504">
            <v>0</v>
          </cell>
          <cell r="Q504">
            <v>0</v>
          </cell>
          <cell r="R504">
            <v>13846</v>
          </cell>
          <cell r="S504">
            <v>0</v>
          </cell>
          <cell r="T504">
            <v>18196</v>
          </cell>
          <cell r="U504">
            <v>204962</v>
          </cell>
          <cell r="V504">
            <v>11092</v>
          </cell>
          <cell r="W504">
            <v>0</v>
          </cell>
          <cell r="X504">
            <v>0</v>
          </cell>
          <cell r="Y504">
            <v>174780</v>
          </cell>
          <cell r="Z504">
            <v>1205062</v>
          </cell>
          <cell r="AA504">
            <v>1422976</v>
          </cell>
          <cell r="AB504" t="str">
            <v>ERPQ</v>
          </cell>
          <cell r="AC504">
            <v>1101</v>
          </cell>
          <cell r="AD504">
            <v>2</v>
          </cell>
          <cell r="AE504">
            <v>134142</v>
          </cell>
        </row>
        <row r="505">
          <cell r="A505" t="str">
            <v>SMA</v>
          </cell>
          <cell r="B505">
            <v>2</v>
          </cell>
          <cell r="C505" t="str">
            <v>DRAM</v>
          </cell>
          <cell r="D505">
            <v>24</v>
          </cell>
          <cell r="E505">
            <v>1</v>
          </cell>
          <cell r="F505" t="str">
            <v xml:space="preserve">B </v>
          </cell>
          <cell r="G505">
            <v>13</v>
          </cell>
          <cell r="H505">
            <v>87</v>
          </cell>
          <cell r="I505">
            <v>9834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115107</v>
          </cell>
          <cell r="P505">
            <v>0</v>
          </cell>
          <cell r="Q505">
            <v>0</v>
          </cell>
          <cell r="R505">
            <v>2248</v>
          </cell>
          <cell r="S505">
            <v>0</v>
          </cell>
          <cell r="T505">
            <v>327</v>
          </cell>
          <cell r="U505">
            <v>19568</v>
          </cell>
          <cell r="V505">
            <v>376</v>
          </cell>
          <cell r="W505">
            <v>0</v>
          </cell>
          <cell r="X505">
            <v>0</v>
          </cell>
          <cell r="Y505">
            <v>12114</v>
          </cell>
          <cell r="Z505">
            <v>115107</v>
          </cell>
          <cell r="AA505">
            <v>130172</v>
          </cell>
          <cell r="AB505" t="str">
            <v>ERPQ</v>
          </cell>
          <cell r="AC505">
            <v>1101</v>
          </cell>
          <cell r="AD505">
            <v>2</v>
          </cell>
          <cell r="AE505">
            <v>9834</v>
          </cell>
        </row>
        <row r="506">
          <cell r="A506" t="str">
            <v>SMA</v>
          </cell>
          <cell r="B506">
            <v>2</v>
          </cell>
          <cell r="C506" t="str">
            <v>DRAM</v>
          </cell>
          <cell r="D506">
            <v>24</v>
          </cell>
          <cell r="E506">
            <v>1</v>
          </cell>
          <cell r="F506" t="str">
            <v xml:space="preserve">B </v>
          </cell>
          <cell r="G506">
            <v>14</v>
          </cell>
          <cell r="H506">
            <v>7</v>
          </cell>
          <cell r="I506">
            <v>919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11829</v>
          </cell>
          <cell r="P506">
            <v>0</v>
          </cell>
          <cell r="Q506">
            <v>0</v>
          </cell>
          <cell r="R506">
            <v>127</v>
          </cell>
          <cell r="S506">
            <v>0</v>
          </cell>
          <cell r="T506">
            <v>0</v>
          </cell>
          <cell r="U506">
            <v>2011</v>
          </cell>
          <cell r="V506">
            <v>0</v>
          </cell>
          <cell r="W506">
            <v>0</v>
          </cell>
          <cell r="X506">
            <v>0</v>
          </cell>
          <cell r="Y506">
            <v>1698</v>
          </cell>
          <cell r="Z506">
            <v>11829</v>
          </cell>
          <cell r="AA506">
            <v>13654</v>
          </cell>
          <cell r="AB506" t="str">
            <v>ERPQ</v>
          </cell>
          <cell r="AC506">
            <v>1101</v>
          </cell>
          <cell r="AD506">
            <v>2</v>
          </cell>
          <cell r="AE506">
            <v>919</v>
          </cell>
        </row>
        <row r="507">
          <cell r="A507" t="str">
            <v>SMA</v>
          </cell>
          <cell r="B507">
            <v>2</v>
          </cell>
          <cell r="C507" t="str">
            <v>DRAM</v>
          </cell>
          <cell r="D507">
            <v>24</v>
          </cell>
          <cell r="E507">
            <v>1</v>
          </cell>
          <cell r="F507" t="str">
            <v xml:space="preserve">B </v>
          </cell>
          <cell r="G507">
            <v>15</v>
          </cell>
          <cell r="H507">
            <v>12</v>
          </cell>
          <cell r="I507">
            <v>5280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100025</v>
          </cell>
          <cell r="P507">
            <v>0</v>
          </cell>
          <cell r="Q507">
            <v>0</v>
          </cell>
          <cell r="R507">
            <v>599</v>
          </cell>
          <cell r="S507">
            <v>0</v>
          </cell>
          <cell r="T507">
            <v>625</v>
          </cell>
          <cell r="U507">
            <v>23339</v>
          </cell>
          <cell r="V507">
            <v>188</v>
          </cell>
          <cell r="W507">
            <v>0</v>
          </cell>
          <cell r="X507">
            <v>0</v>
          </cell>
          <cell r="Y507">
            <v>3433</v>
          </cell>
          <cell r="Z507">
            <v>100025</v>
          </cell>
          <cell r="AA507">
            <v>104870</v>
          </cell>
          <cell r="AB507" t="str">
            <v>ERPQ</v>
          </cell>
          <cell r="AC507">
            <v>1101</v>
          </cell>
          <cell r="AD507">
            <v>2</v>
          </cell>
          <cell r="AE507">
            <v>5280</v>
          </cell>
        </row>
        <row r="508">
          <cell r="A508" t="str">
            <v>SMA</v>
          </cell>
          <cell r="B508">
            <v>2</v>
          </cell>
          <cell r="C508" t="str">
            <v>DRAM</v>
          </cell>
          <cell r="D508">
            <v>24</v>
          </cell>
          <cell r="E508">
            <v>2</v>
          </cell>
          <cell r="F508" t="str">
            <v>A4</v>
          </cell>
          <cell r="G508">
            <v>20</v>
          </cell>
          <cell r="H508">
            <v>9</v>
          </cell>
          <cell r="I508">
            <v>63874</v>
          </cell>
          <cell r="J508">
            <v>0</v>
          </cell>
          <cell r="K508">
            <v>0</v>
          </cell>
          <cell r="L508">
            <v>431</v>
          </cell>
          <cell r="M508">
            <v>0</v>
          </cell>
          <cell r="N508">
            <v>0</v>
          </cell>
          <cell r="O508">
            <v>732933</v>
          </cell>
          <cell r="P508">
            <v>349851</v>
          </cell>
          <cell r="Q508">
            <v>218823</v>
          </cell>
          <cell r="R508">
            <v>15600</v>
          </cell>
          <cell r="S508">
            <v>0</v>
          </cell>
          <cell r="T508">
            <v>37945</v>
          </cell>
          <cell r="U508">
            <v>339881</v>
          </cell>
          <cell r="V508">
            <v>0</v>
          </cell>
          <cell r="W508">
            <v>57918</v>
          </cell>
          <cell r="X508">
            <v>0</v>
          </cell>
          <cell r="Y508">
            <v>18510</v>
          </cell>
          <cell r="Z508">
            <v>1359525</v>
          </cell>
          <cell r="AA508">
            <v>1431580</v>
          </cell>
          <cell r="AB508" t="str">
            <v>ERPQ</v>
          </cell>
          <cell r="AC508">
            <v>1101</v>
          </cell>
          <cell r="AD508">
            <v>2</v>
          </cell>
          <cell r="AE508">
            <v>63874</v>
          </cell>
        </row>
        <row r="509">
          <cell r="A509" t="str">
            <v>SMA</v>
          </cell>
          <cell r="B509">
            <v>2</v>
          </cell>
          <cell r="C509" t="str">
            <v>DRAM</v>
          </cell>
          <cell r="D509">
            <v>24</v>
          </cell>
          <cell r="E509">
            <v>2</v>
          </cell>
          <cell r="F509" t="str">
            <v xml:space="preserve">B </v>
          </cell>
          <cell r="G509">
            <v>0</v>
          </cell>
          <cell r="H509">
            <v>127</v>
          </cell>
          <cell r="I509">
            <v>65484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1364906</v>
          </cell>
          <cell r="P509">
            <v>0</v>
          </cell>
          <cell r="Q509">
            <v>0</v>
          </cell>
          <cell r="R509">
            <v>48004</v>
          </cell>
          <cell r="S509">
            <v>0</v>
          </cell>
          <cell r="T509">
            <v>14481</v>
          </cell>
          <cell r="U509">
            <v>333388</v>
          </cell>
          <cell r="V509">
            <v>0</v>
          </cell>
          <cell r="W509">
            <v>0</v>
          </cell>
          <cell r="X509">
            <v>0</v>
          </cell>
          <cell r="Y509">
            <v>82816</v>
          </cell>
          <cell r="Z509">
            <v>1364906</v>
          </cell>
          <cell r="AA509">
            <v>1510207</v>
          </cell>
          <cell r="AB509" t="str">
            <v>ERPQ</v>
          </cell>
          <cell r="AC509">
            <v>1101</v>
          </cell>
          <cell r="AD509">
            <v>2</v>
          </cell>
          <cell r="AE509">
            <v>63328</v>
          </cell>
        </row>
        <row r="510">
          <cell r="A510" t="str">
            <v>SMA</v>
          </cell>
          <cell r="B510">
            <v>2</v>
          </cell>
          <cell r="C510" t="str">
            <v>DRAM</v>
          </cell>
          <cell r="D510">
            <v>24</v>
          </cell>
          <cell r="E510">
            <v>3</v>
          </cell>
          <cell r="F510" t="str">
            <v>A4</v>
          </cell>
          <cell r="G510">
            <v>20</v>
          </cell>
          <cell r="H510">
            <v>11</v>
          </cell>
          <cell r="I510">
            <v>64187</v>
          </cell>
          <cell r="J510">
            <v>0</v>
          </cell>
          <cell r="K510">
            <v>0</v>
          </cell>
          <cell r="L510">
            <v>256</v>
          </cell>
          <cell r="M510">
            <v>0</v>
          </cell>
          <cell r="N510">
            <v>0</v>
          </cell>
          <cell r="O510">
            <v>736526</v>
          </cell>
          <cell r="P510">
            <v>200361</v>
          </cell>
          <cell r="Q510">
            <v>78830</v>
          </cell>
          <cell r="R510">
            <v>10966</v>
          </cell>
          <cell r="S510">
            <v>0</v>
          </cell>
          <cell r="T510">
            <v>0</v>
          </cell>
          <cell r="U510">
            <v>259605</v>
          </cell>
          <cell r="V510">
            <v>0</v>
          </cell>
          <cell r="W510">
            <v>22696</v>
          </cell>
          <cell r="X510">
            <v>0</v>
          </cell>
          <cell r="Y510">
            <v>28188</v>
          </cell>
          <cell r="Z510">
            <v>1038413</v>
          </cell>
          <cell r="AA510">
            <v>1077567</v>
          </cell>
          <cell r="AB510" t="str">
            <v>ERPQ</v>
          </cell>
          <cell r="AC510">
            <v>1101</v>
          </cell>
          <cell r="AD510">
            <v>2</v>
          </cell>
          <cell r="AE510">
            <v>64187</v>
          </cell>
        </row>
        <row r="511">
          <cell r="A511" t="str">
            <v>SMA</v>
          </cell>
          <cell r="B511">
            <v>2</v>
          </cell>
          <cell r="C511" t="str">
            <v>DRAM</v>
          </cell>
          <cell r="D511">
            <v>24</v>
          </cell>
          <cell r="E511">
            <v>3</v>
          </cell>
          <cell r="F511" t="str">
            <v xml:space="preserve">B </v>
          </cell>
          <cell r="G511">
            <v>0</v>
          </cell>
          <cell r="H511">
            <v>1537</v>
          </cell>
          <cell r="I511">
            <v>245000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5103207</v>
          </cell>
          <cell r="P511">
            <v>0</v>
          </cell>
          <cell r="Q511">
            <v>0</v>
          </cell>
          <cell r="R511">
            <v>52703</v>
          </cell>
          <cell r="S511">
            <v>0</v>
          </cell>
          <cell r="T511">
            <v>102730</v>
          </cell>
          <cell r="U511">
            <v>1262493</v>
          </cell>
          <cell r="V511">
            <v>188</v>
          </cell>
          <cell r="W511">
            <v>0</v>
          </cell>
          <cell r="X511">
            <v>0</v>
          </cell>
          <cell r="Y511">
            <v>430813</v>
          </cell>
          <cell r="Z511">
            <v>5103207</v>
          </cell>
          <cell r="AA511">
            <v>5689641</v>
          </cell>
          <cell r="AB511" t="str">
            <v>ERPQ</v>
          </cell>
          <cell r="AC511">
            <v>1101</v>
          </cell>
          <cell r="AD511">
            <v>2</v>
          </cell>
          <cell r="AE511">
            <v>232414</v>
          </cell>
        </row>
        <row r="512">
          <cell r="A512" t="str">
            <v>SMA</v>
          </cell>
          <cell r="B512">
            <v>2</v>
          </cell>
          <cell r="C512" t="str">
            <v>DRAM</v>
          </cell>
          <cell r="D512">
            <v>24</v>
          </cell>
          <cell r="E512">
            <v>4</v>
          </cell>
          <cell r="F512" t="str">
            <v>A4</v>
          </cell>
          <cell r="G512">
            <v>20</v>
          </cell>
          <cell r="H512">
            <v>1</v>
          </cell>
          <cell r="I512">
            <v>1568</v>
          </cell>
          <cell r="J512">
            <v>0</v>
          </cell>
          <cell r="K512">
            <v>0</v>
          </cell>
          <cell r="L512">
            <v>7</v>
          </cell>
          <cell r="M512">
            <v>0</v>
          </cell>
          <cell r="N512">
            <v>0</v>
          </cell>
          <cell r="O512">
            <v>12144</v>
          </cell>
          <cell r="P512">
            <v>3696</v>
          </cell>
          <cell r="Q512">
            <v>5793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1584</v>
          </cell>
          <cell r="X512">
            <v>0</v>
          </cell>
          <cell r="Y512">
            <v>0</v>
          </cell>
          <cell r="Z512">
            <v>23217</v>
          </cell>
          <cell r="AA512">
            <v>23217</v>
          </cell>
          <cell r="AB512" t="str">
            <v>ERPQ</v>
          </cell>
          <cell r="AC512">
            <v>1101</v>
          </cell>
          <cell r="AD512">
            <v>2</v>
          </cell>
          <cell r="AE512">
            <v>1568</v>
          </cell>
        </row>
        <row r="513">
          <cell r="A513" t="str">
            <v>SMA</v>
          </cell>
          <cell r="B513">
            <v>2</v>
          </cell>
          <cell r="C513" t="str">
            <v>DRAM</v>
          </cell>
          <cell r="D513">
            <v>24</v>
          </cell>
          <cell r="E513">
            <v>4</v>
          </cell>
          <cell r="F513" t="str">
            <v xml:space="preserve">B </v>
          </cell>
          <cell r="G513">
            <v>0</v>
          </cell>
          <cell r="H513">
            <v>1267</v>
          </cell>
          <cell r="I513">
            <v>172458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1701270</v>
          </cell>
          <cell r="P513">
            <v>0</v>
          </cell>
          <cell r="Q513">
            <v>0</v>
          </cell>
          <cell r="R513">
            <v>5051</v>
          </cell>
          <cell r="S513">
            <v>0</v>
          </cell>
          <cell r="T513">
            <v>217145</v>
          </cell>
          <cell r="U513">
            <v>0</v>
          </cell>
          <cell r="V513">
            <v>104232</v>
          </cell>
          <cell r="W513">
            <v>0</v>
          </cell>
          <cell r="X513">
            <v>0</v>
          </cell>
          <cell r="Y513">
            <v>0</v>
          </cell>
          <cell r="Z513">
            <v>1701270</v>
          </cell>
          <cell r="AA513">
            <v>2027698</v>
          </cell>
          <cell r="AB513" t="str">
            <v>ERPQ</v>
          </cell>
          <cell r="AC513">
            <v>1101</v>
          </cell>
          <cell r="AD513">
            <v>2</v>
          </cell>
          <cell r="AE513">
            <v>157167</v>
          </cell>
        </row>
        <row r="514">
          <cell r="A514" t="str">
            <v>SMA</v>
          </cell>
          <cell r="B514">
            <v>2</v>
          </cell>
          <cell r="C514" t="str">
            <v>DRAM</v>
          </cell>
          <cell r="D514">
            <v>24</v>
          </cell>
          <cell r="E514">
            <v>5</v>
          </cell>
          <cell r="F514" t="str">
            <v>A4</v>
          </cell>
          <cell r="G514">
            <v>21</v>
          </cell>
          <cell r="H514">
            <v>1</v>
          </cell>
          <cell r="I514">
            <v>9224</v>
          </cell>
          <cell r="J514">
            <v>762</v>
          </cell>
          <cell r="K514">
            <v>8462</v>
          </cell>
          <cell r="L514">
            <v>43</v>
          </cell>
          <cell r="M514">
            <v>43</v>
          </cell>
          <cell r="N514">
            <v>0</v>
          </cell>
          <cell r="O514">
            <v>101482</v>
          </cell>
          <cell r="P514">
            <v>29699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32795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131181</v>
          </cell>
          <cell r="AA514">
            <v>131181</v>
          </cell>
          <cell r="AB514" t="str">
            <v>ERPQ</v>
          </cell>
          <cell r="AC514">
            <v>1101</v>
          </cell>
          <cell r="AD514">
            <v>2</v>
          </cell>
          <cell r="AE514">
            <v>9224</v>
          </cell>
        </row>
        <row r="515">
          <cell r="A515" t="str">
            <v>SMA</v>
          </cell>
          <cell r="B515">
            <v>2</v>
          </cell>
          <cell r="C515" t="str">
            <v>DRAM</v>
          </cell>
          <cell r="D515">
            <v>24</v>
          </cell>
          <cell r="E515">
            <v>5</v>
          </cell>
          <cell r="F515" t="str">
            <v>A4</v>
          </cell>
          <cell r="G515">
            <v>20</v>
          </cell>
          <cell r="H515">
            <v>2</v>
          </cell>
          <cell r="I515">
            <v>21115</v>
          </cell>
          <cell r="J515">
            <v>0</v>
          </cell>
          <cell r="K515">
            <v>0</v>
          </cell>
          <cell r="L515">
            <v>70</v>
          </cell>
          <cell r="M515">
            <v>0</v>
          </cell>
          <cell r="N515">
            <v>0</v>
          </cell>
          <cell r="O515">
            <v>201268</v>
          </cell>
          <cell r="P515">
            <v>47156</v>
          </cell>
          <cell r="Q515">
            <v>25182</v>
          </cell>
          <cell r="R515">
            <v>5467</v>
          </cell>
          <cell r="S515">
            <v>0</v>
          </cell>
          <cell r="T515">
            <v>0</v>
          </cell>
          <cell r="U515">
            <v>26589</v>
          </cell>
          <cell r="V515">
            <v>0</v>
          </cell>
          <cell r="W515">
            <v>4892</v>
          </cell>
          <cell r="X515">
            <v>0</v>
          </cell>
          <cell r="Y515">
            <v>0</v>
          </cell>
          <cell r="Z515">
            <v>278498</v>
          </cell>
          <cell r="AA515">
            <v>283965</v>
          </cell>
          <cell r="AB515" t="str">
            <v>ERPQ</v>
          </cell>
          <cell r="AC515">
            <v>1101</v>
          </cell>
          <cell r="AD515">
            <v>2</v>
          </cell>
          <cell r="AE515">
            <v>21115</v>
          </cell>
        </row>
        <row r="516">
          <cell r="A516" t="str">
            <v>SMA</v>
          </cell>
          <cell r="B516">
            <v>2</v>
          </cell>
          <cell r="C516" t="str">
            <v>DRAM</v>
          </cell>
          <cell r="D516">
            <v>24</v>
          </cell>
          <cell r="E516">
            <v>5</v>
          </cell>
          <cell r="F516" t="str">
            <v xml:space="preserve">B </v>
          </cell>
          <cell r="G516">
            <v>0</v>
          </cell>
          <cell r="H516">
            <v>325</v>
          </cell>
          <cell r="I516">
            <v>49267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928498</v>
          </cell>
          <cell r="P516">
            <v>0</v>
          </cell>
          <cell r="Q516">
            <v>0</v>
          </cell>
          <cell r="R516">
            <v>8545</v>
          </cell>
          <cell r="S516">
            <v>0</v>
          </cell>
          <cell r="T516">
            <v>68616</v>
          </cell>
          <cell r="U516">
            <v>158922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928498</v>
          </cell>
          <cell r="AA516">
            <v>1005659</v>
          </cell>
          <cell r="AB516" t="str">
            <v>ERPQ</v>
          </cell>
          <cell r="AC516">
            <v>1101</v>
          </cell>
          <cell r="AD516">
            <v>2</v>
          </cell>
          <cell r="AE516">
            <v>45956</v>
          </cell>
        </row>
        <row r="517">
          <cell r="A517" t="str">
            <v>SMA</v>
          </cell>
          <cell r="B517">
            <v>2</v>
          </cell>
          <cell r="C517" t="str">
            <v>DRAM</v>
          </cell>
          <cell r="D517">
            <v>24</v>
          </cell>
          <cell r="E517">
            <v>6</v>
          </cell>
          <cell r="F517" t="str">
            <v xml:space="preserve">B </v>
          </cell>
          <cell r="G517">
            <v>0</v>
          </cell>
          <cell r="H517">
            <v>39</v>
          </cell>
          <cell r="I517">
            <v>274183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3228048</v>
          </cell>
          <cell r="P517">
            <v>0</v>
          </cell>
          <cell r="Q517">
            <v>0</v>
          </cell>
          <cell r="R517">
            <v>15375</v>
          </cell>
          <cell r="S517">
            <v>0</v>
          </cell>
          <cell r="T517">
            <v>0</v>
          </cell>
          <cell r="U517">
            <v>807013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3228048</v>
          </cell>
          <cell r="AA517">
            <v>3243423</v>
          </cell>
          <cell r="AB517" t="str">
            <v>ERPQ</v>
          </cell>
          <cell r="AC517">
            <v>1101</v>
          </cell>
          <cell r="AD517">
            <v>2</v>
          </cell>
          <cell r="AE517">
            <v>274183</v>
          </cell>
        </row>
        <row r="518">
          <cell r="A518" t="str">
            <v>SMA</v>
          </cell>
          <cell r="B518">
            <v>2</v>
          </cell>
          <cell r="C518" t="str">
            <v>DRAM</v>
          </cell>
          <cell r="D518">
            <v>24</v>
          </cell>
          <cell r="E518">
            <v>7</v>
          </cell>
          <cell r="F518" t="str">
            <v>A4</v>
          </cell>
          <cell r="G518">
            <v>20</v>
          </cell>
          <cell r="H518">
            <v>2</v>
          </cell>
          <cell r="I518">
            <v>28547</v>
          </cell>
          <cell r="J518">
            <v>0</v>
          </cell>
          <cell r="K518">
            <v>0</v>
          </cell>
          <cell r="L518">
            <v>75</v>
          </cell>
          <cell r="M518">
            <v>0</v>
          </cell>
          <cell r="N518">
            <v>0</v>
          </cell>
          <cell r="O518">
            <v>278429</v>
          </cell>
          <cell r="P518">
            <v>49800</v>
          </cell>
          <cell r="Q518">
            <v>45062</v>
          </cell>
          <cell r="R518">
            <v>0</v>
          </cell>
          <cell r="S518">
            <v>0</v>
          </cell>
          <cell r="T518">
            <v>0</v>
          </cell>
          <cell r="U518">
            <v>95315</v>
          </cell>
          <cell r="V518">
            <v>0</v>
          </cell>
          <cell r="W518">
            <v>7968</v>
          </cell>
          <cell r="X518">
            <v>0</v>
          </cell>
          <cell r="Y518">
            <v>0</v>
          </cell>
          <cell r="Z518">
            <v>381259</v>
          </cell>
          <cell r="AA518">
            <v>381259</v>
          </cell>
          <cell r="AB518" t="str">
            <v>ERPQ</v>
          </cell>
          <cell r="AC518">
            <v>1101</v>
          </cell>
          <cell r="AD518">
            <v>2</v>
          </cell>
          <cell r="AE518">
            <v>28547</v>
          </cell>
        </row>
        <row r="519">
          <cell r="A519" t="str">
            <v>SMA</v>
          </cell>
          <cell r="B519">
            <v>2</v>
          </cell>
          <cell r="C519" t="str">
            <v>DRAM</v>
          </cell>
          <cell r="D519">
            <v>24</v>
          </cell>
          <cell r="E519">
            <v>7</v>
          </cell>
          <cell r="F519" t="str">
            <v xml:space="preserve">B </v>
          </cell>
          <cell r="G519">
            <v>0</v>
          </cell>
          <cell r="H519">
            <v>9</v>
          </cell>
          <cell r="I519">
            <v>4384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77573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19393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77573</v>
          </cell>
          <cell r="AA519">
            <v>77573</v>
          </cell>
          <cell r="AB519" t="str">
            <v>ERPQ</v>
          </cell>
          <cell r="AC519">
            <v>1101</v>
          </cell>
          <cell r="AD519">
            <v>2</v>
          </cell>
          <cell r="AE519">
            <v>4139</v>
          </cell>
        </row>
        <row r="520">
          <cell r="A520" t="str">
            <v>SMA</v>
          </cell>
          <cell r="B520">
            <v>2</v>
          </cell>
          <cell r="C520" t="str">
            <v>DRAM</v>
          </cell>
          <cell r="D520">
            <v>24</v>
          </cell>
          <cell r="E520">
            <v>8</v>
          </cell>
          <cell r="F520" t="str">
            <v xml:space="preserve">B </v>
          </cell>
          <cell r="G520">
            <v>0</v>
          </cell>
          <cell r="H520">
            <v>2</v>
          </cell>
          <cell r="I520">
            <v>1958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40764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10191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40764</v>
          </cell>
          <cell r="AA520">
            <v>40764</v>
          </cell>
          <cell r="AB520" t="str">
            <v>ERPQ</v>
          </cell>
          <cell r="AC520">
            <v>1101</v>
          </cell>
          <cell r="AD520">
            <v>2</v>
          </cell>
          <cell r="AE520">
            <v>1958</v>
          </cell>
        </row>
        <row r="521">
          <cell r="A521" t="str">
            <v>SMA</v>
          </cell>
          <cell r="B521">
            <v>2</v>
          </cell>
          <cell r="C521" t="str">
            <v>DRAM</v>
          </cell>
          <cell r="D521">
            <v>24</v>
          </cell>
          <cell r="E521">
            <v>90</v>
          </cell>
          <cell r="F521" t="str">
            <v>A4</v>
          </cell>
          <cell r="G521">
            <v>20</v>
          </cell>
          <cell r="H521">
            <v>3</v>
          </cell>
          <cell r="I521">
            <v>7049</v>
          </cell>
          <cell r="J521">
            <v>0</v>
          </cell>
          <cell r="K521">
            <v>0</v>
          </cell>
          <cell r="L521">
            <v>19</v>
          </cell>
          <cell r="M521">
            <v>0</v>
          </cell>
          <cell r="N521">
            <v>0</v>
          </cell>
          <cell r="O521">
            <v>18723</v>
          </cell>
          <cell r="P521">
            <v>16321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35044</v>
          </cell>
          <cell r="AA521">
            <v>35044</v>
          </cell>
          <cell r="AB521" t="str">
            <v>ERPQ</v>
          </cell>
          <cell r="AC521">
            <v>1101</v>
          </cell>
          <cell r="AD521">
            <v>2</v>
          </cell>
          <cell r="AE521">
            <v>7049</v>
          </cell>
        </row>
        <row r="522">
          <cell r="A522" t="str">
            <v>SMA</v>
          </cell>
          <cell r="B522">
            <v>2</v>
          </cell>
          <cell r="C522" t="str">
            <v>DRAM</v>
          </cell>
          <cell r="D522">
            <v>25</v>
          </cell>
          <cell r="E522">
            <v>1</v>
          </cell>
          <cell r="F522" t="str">
            <v xml:space="preserve">B </v>
          </cell>
          <cell r="G522">
            <v>1</v>
          </cell>
          <cell r="H522">
            <v>9374</v>
          </cell>
          <cell r="I522">
            <v>198960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3208467</v>
          </cell>
          <cell r="P522">
            <v>0</v>
          </cell>
          <cell r="Q522">
            <v>0</v>
          </cell>
          <cell r="R522">
            <v>26523</v>
          </cell>
          <cell r="S522">
            <v>0</v>
          </cell>
          <cell r="T522">
            <v>189412</v>
          </cell>
          <cell r="U522">
            <v>0</v>
          </cell>
          <cell r="V522">
            <v>2353</v>
          </cell>
          <cell r="W522">
            <v>0</v>
          </cell>
          <cell r="X522">
            <v>0</v>
          </cell>
          <cell r="Y522">
            <v>257584</v>
          </cell>
          <cell r="Z522">
            <v>3208467</v>
          </cell>
          <cell r="AA522">
            <v>3684339</v>
          </cell>
          <cell r="AB522" t="str">
            <v>ERBC</v>
          </cell>
          <cell r="AC522">
            <v>1101</v>
          </cell>
          <cell r="AD522">
            <v>2</v>
          </cell>
          <cell r="AE522">
            <v>150101</v>
          </cell>
        </row>
        <row r="523">
          <cell r="A523" t="str">
            <v>SMA</v>
          </cell>
          <cell r="B523">
            <v>2</v>
          </cell>
          <cell r="C523" t="str">
            <v>DRAM</v>
          </cell>
          <cell r="D523">
            <v>25</v>
          </cell>
          <cell r="E523">
            <v>1</v>
          </cell>
          <cell r="F523" t="str">
            <v xml:space="preserve">B </v>
          </cell>
          <cell r="G523">
            <v>2</v>
          </cell>
          <cell r="H523">
            <v>3213</v>
          </cell>
          <cell r="I523">
            <v>128362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2489499</v>
          </cell>
          <cell r="P523">
            <v>0</v>
          </cell>
          <cell r="Q523">
            <v>0</v>
          </cell>
          <cell r="R523">
            <v>18451</v>
          </cell>
          <cell r="S523">
            <v>0</v>
          </cell>
          <cell r="T523">
            <v>17614</v>
          </cell>
          <cell r="U523">
            <v>423059</v>
          </cell>
          <cell r="V523">
            <v>1695</v>
          </cell>
          <cell r="W523">
            <v>0</v>
          </cell>
          <cell r="X523">
            <v>0</v>
          </cell>
          <cell r="Y523">
            <v>159602</v>
          </cell>
          <cell r="Z523">
            <v>2489499</v>
          </cell>
          <cell r="AA523">
            <v>2686861</v>
          </cell>
          <cell r="AB523" t="str">
            <v>ERBC</v>
          </cell>
          <cell r="AC523">
            <v>1101</v>
          </cell>
          <cell r="AD523">
            <v>2</v>
          </cell>
          <cell r="AE523">
            <v>128362</v>
          </cell>
        </row>
        <row r="524">
          <cell r="A524" t="str">
            <v>SMA</v>
          </cell>
          <cell r="B524">
            <v>2</v>
          </cell>
          <cell r="C524" t="str">
            <v>DRAM</v>
          </cell>
          <cell r="D524">
            <v>25</v>
          </cell>
          <cell r="E524">
            <v>1</v>
          </cell>
          <cell r="F524" t="str">
            <v xml:space="preserve">B </v>
          </cell>
          <cell r="G524">
            <v>3</v>
          </cell>
          <cell r="H524">
            <v>5645</v>
          </cell>
          <cell r="I524">
            <v>400292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7763411</v>
          </cell>
          <cell r="P524">
            <v>0</v>
          </cell>
          <cell r="Q524">
            <v>0</v>
          </cell>
          <cell r="R524">
            <v>55860</v>
          </cell>
          <cell r="S524">
            <v>0</v>
          </cell>
          <cell r="T524">
            <v>52694</v>
          </cell>
          <cell r="U524">
            <v>1319787</v>
          </cell>
          <cell r="V524">
            <v>6874</v>
          </cell>
          <cell r="W524">
            <v>0</v>
          </cell>
          <cell r="X524">
            <v>0</v>
          </cell>
          <cell r="Y524">
            <v>456491</v>
          </cell>
          <cell r="Z524">
            <v>7763411</v>
          </cell>
          <cell r="AA524">
            <v>8335330</v>
          </cell>
          <cell r="AB524" t="str">
            <v>ERBC</v>
          </cell>
          <cell r="AC524">
            <v>1101</v>
          </cell>
          <cell r="AD524">
            <v>2</v>
          </cell>
          <cell r="AE524">
            <v>399879</v>
          </cell>
        </row>
        <row r="525">
          <cell r="A525" t="str">
            <v>SMA</v>
          </cell>
          <cell r="B525">
            <v>2</v>
          </cell>
          <cell r="C525" t="str">
            <v>DRAM</v>
          </cell>
          <cell r="D525">
            <v>25</v>
          </cell>
          <cell r="E525">
            <v>1</v>
          </cell>
          <cell r="F525" t="str">
            <v xml:space="preserve">B </v>
          </cell>
          <cell r="G525">
            <v>4</v>
          </cell>
          <cell r="H525">
            <v>1179</v>
          </cell>
          <cell r="I525">
            <v>140371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2722575</v>
          </cell>
          <cell r="P525">
            <v>0</v>
          </cell>
          <cell r="Q525">
            <v>0</v>
          </cell>
          <cell r="R525">
            <v>27257</v>
          </cell>
          <cell r="S525">
            <v>0</v>
          </cell>
          <cell r="T525">
            <v>27555</v>
          </cell>
          <cell r="U525">
            <v>462848</v>
          </cell>
          <cell r="V525">
            <v>3393</v>
          </cell>
          <cell r="W525">
            <v>0</v>
          </cell>
          <cell r="X525">
            <v>0</v>
          </cell>
          <cell r="Y525">
            <v>158285</v>
          </cell>
          <cell r="Z525">
            <v>2722575</v>
          </cell>
          <cell r="AA525">
            <v>2939065</v>
          </cell>
          <cell r="AB525" t="str">
            <v>ERBC</v>
          </cell>
          <cell r="AC525">
            <v>1101</v>
          </cell>
          <cell r="AD525">
            <v>2</v>
          </cell>
          <cell r="AE525">
            <v>140371</v>
          </cell>
        </row>
        <row r="526">
          <cell r="A526" t="str">
            <v>SMA</v>
          </cell>
          <cell r="B526">
            <v>2</v>
          </cell>
          <cell r="C526" t="str">
            <v>DRAM</v>
          </cell>
          <cell r="D526">
            <v>25</v>
          </cell>
          <cell r="E526">
            <v>1</v>
          </cell>
          <cell r="F526" t="str">
            <v xml:space="preserve">B </v>
          </cell>
          <cell r="G526">
            <v>5</v>
          </cell>
          <cell r="H526">
            <v>306</v>
          </cell>
          <cell r="I526">
            <v>52012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1008775</v>
          </cell>
          <cell r="P526">
            <v>0</v>
          </cell>
          <cell r="Q526">
            <v>0</v>
          </cell>
          <cell r="R526">
            <v>11149</v>
          </cell>
          <cell r="S526">
            <v>0</v>
          </cell>
          <cell r="T526">
            <v>34117</v>
          </cell>
          <cell r="U526">
            <v>171493</v>
          </cell>
          <cell r="V526">
            <v>1319</v>
          </cell>
          <cell r="W526">
            <v>0</v>
          </cell>
          <cell r="X526">
            <v>0</v>
          </cell>
          <cell r="Y526">
            <v>94269</v>
          </cell>
          <cell r="Z526">
            <v>1008775</v>
          </cell>
          <cell r="AA526">
            <v>1149629</v>
          </cell>
          <cell r="AB526" t="str">
            <v>ERBC</v>
          </cell>
          <cell r="AC526">
            <v>1101</v>
          </cell>
          <cell r="AD526">
            <v>2</v>
          </cell>
          <cell r="AE526">
            <v>52012</v>
          </cell>
        </row>
        <row r="527">
          <cell r="A527" t="str">
            <v>SMA</v>
          </cell>
          <cell r="B527">
            <v>2</v>
          </cell>
          <cell r="C527" t="str">
            <v>DRAM</v>
          </cell>
          <cell r="D527">
            <v>25</v>
          </cell>
          <cell r="E527">
            <v>1</v>
          </cell>
          <cell r="F527" t="str">
            <v xml:space="preserve">B </v>
          </cell>
          <cell r="G527">
            <v>6</v>
          </cell>
          <cell r="H527">
            <v>228</v>
          </cell>
          <cell r="I527">
            <v>55137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1069456</v>
          </cell>
          <cell r="P527">
            <v>0</v>
          </cell>
          <cell r="Q527">
            <v>0</v>
          </cell>
          <cell r="R527">
            <v>20142</v>
          </cell>
          <cell r="S527">
            <v>0</v>
          </cell>
          <cell r="T527">
            <v>21073</v>
          </cell>
          <cell r="U527">
            <v>181858</v>
          </cell>
          <cell r="V527">
            <v>659</v>
          </cell>
          <cell r="W527">
            <v>0</v>
          </cell>
          <cell r="X527">
            <v>0</v>
          </cell>
          <cell r="Y527">
            <v>68300</v>
          </cell>
          <cell r="Z527">
            <v>1069456</v>
          </cell>
          <cell r="AA527">
            <v>1179630</v>
          </cell>
          <cell r="AB527" t="str">
            <v>ERBC</v>
          </cell>
          <cell r="AC527">
            <v>1101</v>
          </cell>
          <cell r="AD527">
            <v>2</v>
          </cell>
          <cell r="AE527">
            <v>55137</v>
          </cell>
        </row>
        <row r="528">
          <cell r="A528" t="str">
            <v>SMA</v>
          </cell>
          <cell r="B528">
            <v>2</v>
          </cell>
          <cell r="C528" t="str">
            <v>DRAM</v>
          </cell>
          <cell r="D528">
            <v>25</v>
          </cell>
          <cell r="E528">
            <v>1</v>
          </cell>
          <cell r="F528" t="str">
            <v xml:space="preserve">B </v>
          </cell>
          <cell r="G528">
            <v>7</v>
          </cell>
          <cell r="H528">
            <v>54</v>
          </cell>
          <cell r="I528">
            <v>18394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370621</v>
          </cell>
          <cell r="P528">
            <v>0</v>
          </cell>
          <cell r="Q528">
            <v>0</v>
          </cell>
          <cell r="R528">
            <v>3645</v>
          </cell>
          <cell r="S528">
            <v>0</v>
          </cell>
          <cell r="T528">
            <v>4210</v>
          </cell>
          <cell r="U528">
            <v>74156</v>
          </cell>
          <cell r="V528">
            <v>189</v>
          </cell>
          <cell r="W528">
            <v>0</v>
          </cell>
          <cell r="X528">
            <v>0</v>
          </cell>
          <cell r="Y528">
            <v>26890</v>
          </cell>
          <cell r="Z528">
            <v>370621</v>
          </cell>
          <cell r="AA528">
            <v>405555</v>
          </cell>
          <cell r="AB528" t="str">
            <v>ERBC</v>
          </cell>
          <cell r="AC528">
            <v>1101</v>
          </cell>
          <cell r="AD528">
            <v>2</v>
          </cell>
          <cell r="AE528">
            <v>18394</v>
          </cell>
        </row>
        <row r="529">
          <cell r="A529" t="str">
            <v>SMA</v>
          </cell>
          <cell r="B529">
            <v>2</v>
          </cell>
          <cell r="C529" t="str">
            <v>DRAM</v>
          </cell>
          <cell r="D529">
            <v>25</v>
          </cell>
          <cell r="E529">
            <v>1</v>
          </cell>
          <cell r="F529" t="str">
            <v xml:space="preserve">B </v>
          </cell>
          <cell r="G529">
            <v>8</v>
          </cell>
          <cell r="H529">
            <v>19</v>
          </cell>
          <cell r="I529">
            <v>7920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159372</v>
          </cell>
          <cell r="P529">
            <v>0</v>
          </cell>
          <cell r="Q529">
            <v>0</v>
          </cell>
          <cell r="R529">
            <v>2339</v>
          </cell>
          <cell r="S529">
            <v>0</v>
          </cell>
          <cell r="T529">
            <v>18453</v>
          </cell>
          <cell r="U529">
            <v>31881</v>
          </cell>
          <cell r="V529">
            <v>660</v>
          </cell>
          <cell r="W529">
            <v>0</v>
          </cell>
          <cell r="X529">
            <v>0</v>
          </cell>
          <cell r="Y529">
            <v>6322</v>
          </cell>
          <cell r="Z529">
            <v>159372</v>
          </cell>
          <cell r="AA529">
            <v>187146</v>
          </cell>
          <cell r="AB529" t="str">
            <v>ERBC</v>
          </cell>
          <cell r="AC529">
            <v>1101</v>
          </cell>
          <cell r="AD529">
            <v>2</v>
          </cell>
          <cell r="AE529">
            <v>7920</v>
          </cell>
        </row>
        <row r="530">
          <cell r="A530" t="str">
            <v>SMA</v>
          </cell>
          <cell r="B530">
            <v>2</v>
          </cell>
          <cell r="C530" t="str">
            <v>DRAM</v>
          </cell>
          <cell r="D530">
            <v>25</v>
          </cell>
          <cell r="E530">
            <v>1</v>
          </cell>
          <cell r="F530" t="str">
            <v xml:space="preserve">B </v>
          </cell>
          <cell r="G530">
            <v>9</v>
          </cell>
          <cell r="H530">
            <v>27</v>
          </cell>
          <cell r="I530">
            <v>17207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369311</v>
          </cell>
          <cell r="P530">
            <v>0</v>
          </cell>
          <cell r="Q530">
            <v>0</v>
          </cell>
          <cell r="R530">
            <v>9129</v>
          </cell>
          <cell r="S530">
            <v>0</v>
          </cell>
          <cell r="T530">
            <v>13771</v>
          </cell>
          <cell r="U530">
            <v>92347</v>
          </cell>
          <cell r="V530">
            <v>1037</v>
          </cell>
          <cell r="W530">
            <v>0</v>
          </cell>
          <cell r="X530">
            <v>0</v>
          </cell>
          <cell r="Y530">
            <v>15309</v>
          </cell>
          <cell r="Z530">
            <v>369311</v>
          </cell>
          <cell r="AA530">
            <v>408557</v>
          </cell>
          <cell r="AB530" t="str">
            <v>ERBC</v>
          </cell>
          <cell r="AC530">
            <v>1101</v>
          </cell>
          <cell r="AD530">
            <v>2</v>
          </cell>
          <cell r="AE530">
            <v>17207</v>
          </cell>
        </row>
        <row r="531">
          <cell r="A531" t="str">
            <v>SMA</v>
          </cell>
          <cell r="B531">
            <v>2</v>
          </cell>
          <cell r="C531" t="str">
            <v>DRAM</v>
          </cell>
          <cell r="D531">
            <v>25</v>
          </cell>
          <cell r="E531">
            <v>1</v>
          </cell>
          <cell r="F531" t="str">
            <v xml:space="preserve">B </v>
          </cell>
          <cell r="G531">
            <v>10</v>
          </cell>
          <cell r="H531">
            <v>12</v>
          </cell>
          <cell r="I531">
            <v>26386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566266</v>
          </cell>
          <cell r="P531">
            <v>0</v>
          </cell>
          <cell r="Q531">
            <v>0</v>
          </cell>
          <cell r="R531">
            <v>-62780</v>
          </cell>
          <cell r="S531">
            <v>0</v>
          </cell>
          <cell r="T531">
            <v>13148</v>
          </cell>
          <cell r="U531">
            <v>141581</v>
          </cell>
          <cell r="V531">
            <v>377</v>
          </cell>
          <cell r="W531">
            <v>0</v>
          </cell>
          <cell r="X531">
            <v>0</v>
          </cell>
          <cell r="Y531">
            <v>5397</v>
          </cell>
          <cell r="Z531">
            <v>566266</v>
          </cell>
          <cell r="AA531">
            <v>522408</v>
          </cell>
          <cell r="AB531" t="str">
            <v>ERBC</v>
          </cell>
          <cell r="AC531">
            <v>1101</v>
          </cell>
          <cell r="AD531">
            <v>2</v>
          </cell>
          <cell r="AE531">
            <v>26386</v>
          </cell>
        </row>
        <row r="532">
          <cell r="A532" t="str">
            <v>SMA</v>
          </cell>
          <cell r="B532">
            <v>2</v>
          </cell>
          <cell r="C532" t="str">
            <v>DRAM</v>
          </cell>
          <cell r="D532">
            <v>25</v>
          </cell>
          <cell r="E532">
            <v>1</v>
          </cell>
          <cell r="F532" t="str">
            <v xml:space="preserve">B </v>
          </cell>
          <cell r="G532">
            <v>11</v>
          </cell>
          <cell r="H532">
            <v>83</v>
          </cell>
          <cell r="I532">
            <v>2074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11684</v>
          </cell>
          <cell r="P532">
            <v>0</v>
          </cell>
          <cell r="Q532">
            <v>0</v>
          </cell>
          <cell r="R532">
            <v>70</v>
          </cell>
          <cell r="S532">
            <v>0</v>
          </cell>
          <cell r="T532">
            <v>1325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1609</v>
          </cell>
          <cell r="Z532">
            <v>11684</v>
          </cell>
          <cell r="AA532">
            <v>14688</v>
          </cell>
          <cell r="AB532" t="str">
            <v>ERBC</v>
          </cell>
          <cell r="AC532">
            <v>1101</v>
          </cell>
          <cell r="AD532">
            <v>2</v>
          </cell>
          <cell r="AE532">
            <v>1758</v>
          </cell>
        </row>
        <row r="533">
          <cell r="A533" t="str">
            <v>SMA</v>
          </cell>
          <cell r="B533">
            <v>2</v>
          </cell>
          <cell r="C533" t="str">
            <v>DRAM</v>
          </cell>
          <cell r="D533">
            <v>25</v>
          </cell>
          <cell r="E533">
            <v>1</v>
          </cell>
          <cell r="F533" t="str">
            <v xml:space="preserve">B </v>
          </cell>
          <cell r="G533">
            <v>12</v>
          </cell>
          <cell r="H533">
            <v>42</v>
          </cell>
          <cell r="I533">
            <v>2247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20032</v>
          </cell>
          <cell r="P533">
            <v>0</v>
          </cell>
          <cell r="Q533">
            <v>0</v>
          </cell>
          <cell r="R533">
            <v>194</v>
          </cell>
          <cell r="S533">
            <v>0</v>
          </cell>
          <cell r="T533">
            <v>0</v>
          </cell>
          <cell r="U533">
            <v>3405</v>
          </cell>
          <cell r="V533">
            <v>0</v>
          </cell>
          <cell r="W533">
            <v>0</v>
          </cell>
          <cell r="X533">
            <v>0</v>
          </cell>
          <cell r="Y533">
            <v>2182</v>
          </cell>
          <cell r="Z533">
            <v>20032</v>
          </cell>
          <cell r="AA533">
            <v>22408</v>
          </cell>
          <cell r="AB533" t="str">
            <v>ERBC</v>
          </cell>
          <cell r="AC533">
            <v>1101</v>
          </cell>
          <cell r="AD533">
            <v>2</v>
          </cell>
          <cell r="AE533">
            <v>2247</v>
          </cell>
        </row>
        <row r="534">
          <cell r="A534" t="str">
            <v>SMA</v>
          </cell>
          <cell r="B534">
            <v>2</v>
          </cell>
          <cell r="C534" t="str">
            <v>DRAM</v>
          </cell>
          <cell r="D534">
            <v>25</v>
          </cell>
          <cell r="E534">
            <v>1</v>
          </cell>
          <cell r="F534" t="str">
            <v xml:space="preserve">B </v>
          </cell>
          <cell r="G534">
            <v>13</v>
          </cell>
          <cell r="H534">
            <v>3</v>
          </cell>
          <cell r="I534">
            <v>363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6105</v>
          </cell>
          <cell r="P534">
            <v>0</v>
          </cell>
          <cell r="Q534">
            <v>0</v>
          </cell>
          <cell r="R534">
            <v>51</v>
          </cell>
          <cell r="S534">
            <v>0</v>
          </cell>
          <cell r="T534">
            <v>0</v>
          </cell>
          <cell r="U534">
            <v>1038</v>
          </cell>
          <cell r="V534">
            <v>0</v>
          </cell>
          <cell r="W534">
            <v>0</v>
          </cell>
          <cell r="X534">
            <v>0</v>
          </cell>
          <cell r="Y534">
            <v>440</v>
          </cell>
          <cell r="Z534">
            <v>6105</v>
          </cell>
          <cell r="AA534">
            <v>6596</v>
          </cell>
          <cell r="AB534" t="str">
            <v>ERBC</v>
          </cell>
          <cell r="AC534">
            <v>1101</v>
          </cell>
          <cell r="AD534">
            <v>2</v>
          </cell>
          <cell r="AE534">
            <v>363</v>
          </cell>
        </row>
        <row r="535">
          <cell r="A535" t="str">
            <v>SMA</v>
          </cell>
          <cell r="B535">
            <v>2</v>
          </cell>
          <cell r="C535" t="str">
            <v>DRAM</v>
          </cell>
          <cell r="D535">
            <v>25</v>
          </cell>
          <cell r="E535">
            <v>2</v>
          </cell>
          <cell r="F535" t="str">
            <v>A4</v>
          </cell>
          <cell r="G535">
            <v>20</v>
          </cell>
          <cell r="H535">
            <v>2</v>
          </cell>
          <cell r="I535">
            <v>19742</v>
          </cell>
          <cell r="J535">
            <v>0</v>
          </cell>
          <cell r="K535">
            <v>0</v>
          </cell>
          <cell r="L535">
            <v>147</v>
          </cell>
          <cell r="M535">
            <v>0</v>
          </cell>
          <cell r="N535">
            <v>0</v>
          </cell>
          <cell r="O535">
            <v>226533</v>
          </cell>
          <cell r="P535">
            <v>115052</v>
          </cell>
          <cell r="Q535">
            <v>78739</v>
          </cell>
          <cell r="R535">
            <v>1527</v>
          </cell>
          <cell r="S535">
            <v>0</v>
          </cell>
          <cell r="T535">
            <v>0</v>
          </cell>
          <cell r="U535">
            <v>115256</v>
          </cell>
          <cell r="V535">
            <v>0</v>
          </cell>
          <cell r="W535">
            <v>40699</v>
          </cell>
          <cell r="X535">
            <v>0</v>
          </cell>
          <cell r="Y535">
            <v>0</v>
          </cell>
          <cell r="Z535">
            <v>461023</v>
          </cell>
          <cell r="AA535">
            <v>462550</v>
          </cell>
          <cell r="AB535" t="str">
            <v>ERBC</v>
          </cell>
          <cell r="AC535">
            <v>1101</v>
          </cell>
          <cell r="AD535">
            <v>2</v>
          </cell>
          <cell r="AE535">
            <v>19742</v>
          </cell>
        </row>
        <row r="536">
          <cell r="A536" t="str">
            <v>SMA</v>
          </cell>
          <cell r="B536">
            <v>2</v>
          </cell>
          <cell r="C536" t="str">
            <v>DRAM</v>
          </cell>
          <cell r="D536">
            <v>25</v>
          </cell>
          <cell r="E536">
            <v>2</v>
          </cell>
          <cell r="F536" t="str">
            <v xml:space="preserve">B </v>
          </cell>
          <cell r="G536">
            <v>0</v>
          </cell>
          <cell r="H536">
            <v>163</v>
          </cell>
          <cell r="I536">
            <v>60107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1251299</v>
          </cell>
          <cell r="P536">
            <v>0</v>
          </cell>
          <cell r="Q536">
            <v>0</v>
          </cell>
          <cell r="R536">
            <v>17115</v>
          </cell>
          <cell r="S536">
            <v>0</v>
          </cell>
          <cell r="T536">
            <v>12462</v>
          </cell>
          <cell r="U536">
            <v>312155</v>
          </cell>
          <cell r="V536">
            <v>0</v>
          </cell>
          <cell r="W536">
            <v>0</v>
          </cell>
          <cell r="X536">
            <v>0</v>
          </cell>
          <cell r="Y536">
            <v>76116</v>
          </cell>
          <cell r="Z536">
            <v>1251299</v>
          </cell>
          <cell r="AA536">
            <v>1356992</v>
          </cell>
          <cell r="AB536" t="str">
            <v>ERBC</v>
          </cell>
          <cell r="AC536">
            <v>1101</v>
          </cell>
          <cell r="AD536">
            <v>2</v>
          </cell>
          <cell r="AE536">
            <v>58150</v>
          </cell>
        </row>
        <row r="537">
          <cell r="A537" t="str">
            <v>SMA</v>
          </cell>
          <cell r="B537">
            <v>2</v>
          </cell>
          <cell r="C537" t="str">
            <v>DRAM</v>
          </cell>
          <cell r="D537">
            <v>25</v>
          </cell>
          <cell r="E537">
            <v>3</v>
          </cell>
          <cell r="F537" t="str">
            <v>A4</v>
          </cell>
          <cell r="G537">
            <v>21</v>
          </cell>
          <cell r="H537">
            <v>3</v>
          </cell>
          <cell r="I537">
            <v>19966</v>
          </cell>
          <cell r="J537">
            <v>1410</v>
          </cell>
          <cell r="K537">
            <v>18556</v>
          </cell>
          <cell r="L537">
            <v>210</v>
          </cell>
          <cell r="M537">
            <v>210</v>
          </cell>
          <cell r="N537">
            <v>0</v>
          </cell>
          <cell r="O537">
            <v>206497</v>
          </cell>
          <cell r="P537">
            <v>145041</v>
          </cell>
          <cell r="Q537">
            <v>13929</v>
          </cell>
          <cell r="R537">
            <v>0</v>
          </cell>
          <cell r="S537">
            <v>0</v>
          </cell>
          <cell r="T537">
            <v>0</v>
          </cell>
          <cell r="U537">
            <v>92576</v>
          </cell>
          <cell r="V537">
            <v>0</v>
          </cell>
          <cell r="W537">
            <v>4835</v>
          </cell>
          <cell r="X537">
            <v>0</v>
          </cell>
          <cell r="Y537">
            <v>7120</v>
          </cell>
          <cell r="Z537">
            <v>370302</v>
          </cell>
          <cell r="AA537">
            <v>377422</v>
          </cell>
          <cell r="AB537" t="str">
            <v>ERBC</v>
          </cell>
          <cell r="AC537">
            <v>1101</v>
          </cell>
          <cell r="AD537">
            <v>2</v>
          </cell>
          <cell r="AE537">
            <v>19966</v>
          </cell>
        </row>
        <row r="538">
          <cell r="A538" t="str">
            <v>SMA</v>
          </cell>
          <cell r="B538">
            <v>2</v>
          </cell>
          <cell r="C538" t="str">
            <v>DRAM</v>
          </cell>
          <cell r="D538">
            <v>25</v>
          </cell>
          <cell r="E538">
            <v>3</v>
          </cell>
          <cell r="F538" t="str">
            <v>A4</v>
          </cell>
          <cell r="G538">
            <v>20</v>
          </cell>
          <cell r="H538">
            <v>1</v>
          </cell>
          <cell r="I538">
            <v>14391</v>
          </cell>
          <cell r="J538">
            <v>0</v>
          </cell>
          <cell r="K538">
            <v>0</v>
          </cell>
          <cell r="L538">
            <v>50</v>
          </cell>
          <cell r="M538">
            <v>0</v>
          </cell>
          <cell r="N538">
            <v>0</v>
          </cell>
          <cell r="O538">
            <v>165132</v>
          </cell>
          <cell r="P538">
            <v>39133</v>
          </cell>
          <cell r="Q538">
            <v>30396</v>
          </cell>
          <cell r="R538">
            <v>0</v>
          </cell>
          <cell r="S538">
            <v>0</v>
          </cell>
          <cell r="T538">
            <v>110502</v>
          </cell>
          <cell r="U538">
            <v>60426</v>
          </cell>
          <cell r="V538">
            <v>0</v>
          </cell>
          <cell r="W538">
            <v>7044</v>
          </cell>
          <cell r="X538">
            <v>0</v>
          </cell>
          <cell r="Y538">
            <v>3506</v>
          </cell>
          <cell r="Z538">
            <v>241705</v>
          </cell>
          <cell r="AA538">
            <v>355713</v>
          </cell>
          <cell r="AB538" t="str">
            <v>ERBC</v>
          </cell>
          <cell r="AC538">
            <v>1101</v>
          </cell>
          <cell r="AD538">
            <v>2</v>
          </cell>
          <cell r="AE538">
            <v>14391</v>
          </cell>
        </row>
        <row r="539">
          <cell r="A539" t="str">
            <v>SMA</v>
          </cell>
          <cell r="B539">
            <v>2</v>
          </cell>
          <cell r="C539" t="str">
            <v>DRAM</v>
          </cell>
          <cell r="D539">
            <v>25</v>
          </cell>
          <cell r="E539">
            <v>3</v>
          </cell>
          <cell r="F539" t="str">
            <v xml:space="preserve">B </v>
          </cell>
          <cell r="G539">
            <v>0</v>
          </cell>
          <cell r="H539">
            <v>1105</v>
          </cell>
          <cell r="I539">
            <v>171287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3566802</v>
          </cell>
          <cell r="P539">
            <v>0</v>
          </cell>
          <cell r="Q539">
            <v>0</v>
          </cell>
          <cell r="R539">
            <v>-10512</v>
          </cell>
          <cell r="S539">
            <v>0</v>
          </cell>
          <cell r="T539">
            <v>54225</v>
          </cell>
          <cell r="U539">
            <v>884022</v>
          </cell>
          <cell r="V539">
            <v>0</v>
          </cell>
          <cell r="W539">
            <v>0</v>
          </cell>
          <cell r="X539">
            <v>0</v>
          </cell>
          <cell r="Y539">
            <v>265498</v>
          </cell>
          <cell r="Z539">
            <v>3566802</v>
          </cell>
          <cell r="AA539">
            <v>3876013</v>
          </cell>
          <cell r="AB539" t="str">
            <v>ERBC</v>
          </cell>
          <cell r="AC539">
            <v>1101</v>
          </cell>
          <cell r="AD539">
            <v>2</v>
          </cell>
          <cell r="AE539">
            <v>162503</v>
          </cell>
        </row>
        <row r="540">
          <cell r="A540" t="str">
            <v>SMA</v>
          </cell>
          <cell r="B540">
            <v>2</v>
          </cell>
          <cell r="C540" t="str">
            <v>DRAM</v>
          </cell>
          <cell r="D540">
            <v>25</v>
          </cell>
          <cell r="E540">
            <v>4</v>
          </cell>
          <cell r="F540" t="str">
            <v>A4</v>
          </cell>
          <cell r="G540">
            <v>20</v>
          </cell>
          <cell r="H540">
            <v>4</v>
          </cell>
          <cell r="I540">
            <v>21517</v>
          </cell>
          <cell r="J540">
            <v>0</v>
          </cell>
          <cell r="K540">
            <v>0</v>
          </cell>
          <cell r="L540">
            <v>155</v>
          </cell>
          <cell r="M540">
            <v>0</v>
          </cell>
          <cell r="N540">
            <v>0</v>
          </cell>
          <cell r="O540">
            <v>166648</v>
          </cell>
          <cell r="P540">
            <v>81840</v>
          </cell>
          <cell r="Q540">
            <v>1913</v>
          </cell>
          <cell r="R540">
            <v>972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3168</v>
          </cell>
          <cell r="X540">
            <v>0</v>
          </cell>
          <cell r="Y540">
            <v>0</v>
          </cell>
          <cell r="Z540">
            <v>253569</v>
          </cell>
          <cell r="AA540">
            <v>254541</v>
          </cell>
          <cell r="AB540" t="str">
            <v>ERBC</v>
          </cell>
          <cell r="AC540">
            <v>1101</v>
          </cell>
          <cell r="AD540">
            <v>2</v>
          </cell>
          <cell r="AE540">
            <v>21517</v>
          </cell>
        </row>
        <row r="541">
          <cell r="A541" t="str">
            <v>SMA</v>
          </cell>
          <cell r="B541">
            <v>2</v>
          </cell>
          <cell r="C541" t="str">
            <v>DRAM</v>
          </cell>
          <cell r="D541">
            <v>25</v>
          </cell>
          <cell r="E541">
            <v>4</v>
          </cell>
          <cell r="F541" t="str">
            <v xml:space="preserve">B </v>
          </cell>
          <cell r="G541">
            <v>0</v>
          </cell>
          <cell r="H541">
            <v>120</v>
          </cell>
          <cell r="I541">
            <v>69611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682300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16748</v>
          </cell>
          <cell r="U541">
            <v>0</v>
          </cell>
          <cell r="V541">
            <v>13399</v>
          </cell>
          <cell r="W541">
            <v>0</v>
          </cell>
          <cell r="X541">
            <v>0</v>
          </cell>
          <cell r="Y541">
            <v>0</v>
          </cell>
          <cell r="Z541">
            <v>682300</v>
          </cell>
          <cell r="AA541">
            <v>712447</v>
          </cell>
          <cell r="AB541" t="str">
            <v>ERBC</v>
          </cell>
          <cell r="AC541">
            <v>1101</v>
          </cell>
          <cell r="AD541">
            <v>2</v>
          </cell>
          <cell r="AE541">
            <v>68002</v>
          </cell>
        </row>
        <row r="542">
          <cell r="A542" t="str">
            <v>SMA</v>
          </cell>
          <cell r="B542">
            <v>2</v>
          </cell>
          <cell r="C542" t="str">
            <v>DRAM</v>
          </cell>
          <cell r="D542">
            <v>25</v>
          </cell>
          <cell r="E542">
            <v>5</v>
          </cell>
          <cell r="F542" t="str">
            <v>A4</v>
          </cell>
          <cell r="G542">
            <v>20</v>
          </cell>
          <cell r="H542">
            <v>2</v>
          </cell>
          <cell r="I542">
            <v>49603</v>
          </cell>
          <cell r="J542">
            <v>0</v>
          </cell>
          <cell r="K542">
            <v>0</v>
          </cell>
          <cell r="L542">
            <v>155</v>
          </cell>
          <cell r="M542">
            <v>0</v>
          </cell>
          <cell r="N542">
            <v>0</v>
          </cell>
          <cell r="O542">
            <v>569177</v>
          </cell>
          <cell r="P542">
            <v>121314</v>
          </cell>
          <cell r="Q542">
            <v>26163</v>
          </cell>
          <cell r="R542">
            <v>0</v>
          </cell>
          <cell r="S542">
            <v>0</v>
          </cell>
          <cell r="T542">
            <v>0</v>
          </cell>
          <cell r="U542">
            <v>180534</v>
          </cell>
          <cell r="V542">
            <v>0</v>
          </cell>
          <cell r="W542">
            <v>5479</v>
          </cell>
          <cell r="X542">
            <v>0</v>
          </cell>
          <cell r="Y542">
            <v>0</v>
          </cell>
          <cell r="Z542">
            <v>722133</v>
          </cell>
          <cell r="AA542">
            <v>722133</v>
          </cell>
          <cell r="AB542" t="str">
            <v>ERBC</v>
          </cell>
          <cell r="AC542">
            <v>1101</v>
          </cell>
          <cell r="AD542">
            <v>2</v>
          </cell>
          <cell r="AE542">
            <v>49603</v>
          </cell>
        </row>
        <row r="543">
          <cell r="A543" t="str">
            <v>SMA</v>
          </cell>
          <cell r="B543">
            <v>2</v>
          </cell>
          <cell r="C543" t="str">
            <v>DRAM</v>
          </cell>
          <cell r="D543">
            <v>25</v>
          </cell>
          <cell r="E543">
            <v>5</v>
          </cell>
          <cell r="F543" t="str">
            <v xml:space="preserve">B </v>
          </cell>
          <cell r="G543">
            <v>0</v>
          </cell>
          <cell r="H543">
            <v>458</v>
          </cell>
          <cell r="I543">
            <v>132645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2635744</v>
          </cell>
          <cell r="P543">
            <v>0</v>
          </cell>
          <cell r="Q543">
            <v>0</v>
          </cell>
          <cell r="R543">
            <v>33705</v>
          </cell>
          <cell r="S543">
            <v>0</v>
          </cell>
          <cell r="T543">
            <v>13107</v>
          </cell>
          <cell r="U543">
            <v>564720</v>
          </cell>
          <cell r="V543">
            <v>565</v>
          </cell>
          <cell r="W543">
            <v>0</v>
          </cell>
          <cell r="X543">
            <v>0</v>
          </cell>
          <cell r="Y543">
            <v>0</v>
          </cell>
          <cell r="Z543">
            <v>2635744</v>
          </cell>
          <cell r="AA543">
            <v>2683121</v>
          </cell>
          <cell r="AB543" t="str">
            <v>ERBC</v>
          </cell>
          <cell r="AC543">
            <v>1101</v>
          </cell>
          <cell r="AD543">
            <v>2</v>
          </cell>
          <cell r="AE543">
            <v>129085</v>
          </cell>
        </row>
        <row r="544">
          <cell r="A544" t="str">
            <v>SMA</v>
          </cell>
          <cell r="B544">
            <v>2</v>
          </cell>
          <cell r="C544" t="str">
            <v>DRAM</v>
          </cell>
          <cell r="D544">
            <v>25</v>
          </cell>
          <cell r="E544">
            <v>6</v>
          </cell>
          <cell r="F544" t="str">
            <v xml:space="preserve">B </v>
          </cell>
          <cell r="G544">
            <v>0</v>
          </cell>
          <cell r="H544">
            <v>38</v>
          </cell>
          <cell r="I544">
            <v>293402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3454322</v>
          </cell>
          <cell r="P544">
            <v>0</v>
          </cell>
          <cell r="Q544">
            <v>0</v>
          </cell>
          <cell r="R544">
            <v>53284</v>
          </cell>
          <cell r="S544">
            <v>0</v>
          </cell>
          <cell r="T544">
            <v>0</v>
          </cell>
          <cell r="U544">
            <v>863582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3454322</v>
          </cell>
          <cell r="AA544">
            <v>3507606</v>
          </cell>
          <cell r="AB544" t="str">
            <v>ERBC</v>
          </cell>
          <cell r="AC544">
            <v>1101</v>
          </cell>
          <cell r="AD544">
            <v>2</v>
          </cell>
          <cell r="AE544">
            <v>293402</v>
          </cell>
        </row>
        <row r="545">
          <cell r="A545" t="str">
            <v>SMA</v>
          </cell>
          <cell r="B545">
            <v>2</v>
          </cell>
          <cell r="C545" t="str">
            <v>DRAM</v>
          </cell>
          <cell r="D545">
            <v>25</v>
          </cell>
          <cell r="E545">
            <v>7</v>
          </cell>
          <cell r="F545" t="str">
            <v>A4</v>
          </cell>
          <cell r="G545">
            <v>20</v>
          </cell>
          <cell r="H545">
            <v>4</v>
          </cell>
          <cell r="I545">
            <v>98913</v>
          </cell>
          <cell r="J545">
            <v>0</v>
          </cell>
          <cell r="K545">
            <v>0</v>
          </cell>
          <cell r="L545">
            <v>205</v>
          </cell>
          <cell r="M545">
            <v>0</v>
          </cell>
          <cell r="N545">
            <v>0</v>
          </cell>
          <cell r="O545">
            <v>964731</v>
          </cell>
          <cell r="P545">
            <v>136120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275213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1100851</v>
          </cell>
          <cell r="AA545">
            <v>1100851</v>
          </cell>
          <cell r="AB545" t="str">
            <v>ERBC</v>
          </cell>
          <cell r="AC545">
            <v>1101</v>
          </cell>
          <cell r="AD545">
            <v>2</v>
          </cell>
          <cell r="AE545">
            <v>98913</v>
          </cell>
        </row>
        <row r="546">
          <cell r="A546" t="str">
            <v>SMA</v>
          </cell>
          <cell r="B546">
            <v>2</v>
          </cell>
          <cell r="C546" t="str">
            <v>DRAM</v>
          </cell>
          <cell r="D546">
            <v>25</v>
          </cell>
          <cell r="E546">
            <v>7</v>
          </cell>
          <cell r="F546" t="str">
            <v xml:space="preserve">B </v>
          </cell>
          <cell r="G546">
            <v>0</v>
          </cell>
          <cell r="H546">
            <v>13</v>
          </cell>
          <cell r="I546">
            <v>23260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411575</v>
          </cell>
          <cell r="P546">
            <v>0</v>
          </cell>
          <cell r="Q546">
            <v>0</v>
          </cell>
          <cell r="R546">
            <v>160</v>
          </cell>
          <cell r="S546">
            <v>0</v>
          </cell>
          <cell r="T546">
            <v>0</v>
          </cell>
          <cell r="U546">
            <v>102893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411575</v>
          </cell>
          <cell r="AA546">
            <v>411735</v>
          </cell>
          <cell r="AB546" t="str">
            <v>ERBC</v>
          </cell>
          <cell r="AC546">
            <v>1101</v>
          </cell>
          <cell r="AD546">
            <v>2</v>
          </cell>
          <cell r="AE546">
            <v>23255</v>
          </cell>
        </row>
        <row r="547">
          <cell r="A547" t="str">
            <v>SMA</v>
          </cell>
          <cell r="B547">
            <v>2</v>
          </cell>
          <cell r="C547" t="str">
            <v>DRAM</v>
          </cell>
          <cell r="D547">
            <v>25</v>
          </cell>
          <cell r="E547">
            <v>8</v>
          </cell>
          <cell r="F547" t="str">
            <v xml:space="preserve">B </v>
          </cell>
          <cell r="G547">
            <v>0</v>
          </cell>
          <cell r="H547">
            <v>7</v>
          </cell>
          <cell r="I547">
            <v>3544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73780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18445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73780</v>
          </cell>
          <cell r="AA547">
            <v>73780</v>
          </cell>
          <cell r="AB547" t="str">
            <v>ERBC</v>
          </cell>
          <cell r="AC547">
            <v>1101</v>
          </cell>
          <cell r="AD547">
            <v>2</v>
          </cell>
          <cell r="AE547">
            <v>3482</v>
          </cell>
        </row>
        <row r="548">
          <cell r="A548" t="str">
            <v>SMA</v>
          </cell>
          <cell r="B548">
            <v>2</v>
          </cell>
          <cell r="C548" t="str">
            <v>DRAM</v>
          </cell>
          <cell r="D548">
            <v>25</v>
          </cell>
          <cell r="E548">
            <v>90</v>
          </cell>
          <cell r="F548" t="str">
            <v>A4</v>
          </cell>
          <cell r="G548">
            <v>20</v>
          </cell>
          <cell r="H548">
            <v>1</v>
          </cell>
          <cell r="I548">
            <v>3840</v>
          </cell>
          <cell r="J548">
            <v>0</v>
          </cell>
          <cell r="K548">
            <v>0</v>
          </cell>
          <cell r="L548">
            <v>12</v>
          </cell>
          <cell r="M548">
            <v>0</v>
          </cell>
          <cell r="N548">
            <v>0</v>
          </cell>
          <cell r="O548">
            <v>10026</v>
          </cell>
          <cell r="P548">
            <v>10308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20334</v>
          </cell>
          <cell r="AA548">
            <v>20334</v>
          </cell>
          <cell r="AB548" t="str">
            <v>ERBC</v>
          </cell>
          <cell r="AC548">
            <v>1101</v>
          </cell>
          <cell r="AD548">
            <v>2</v>
          </cell>
          <cell r="AE548">
            <v>3840</v>
          </cell>
        </row>
        <row r="549">
          <cell r="A549" t="str">
            <v>SMA</v>
          </cell>
          <cell r="B549">
            <v>2</v>
          </cell>
          <cell r="C549" t="str">
            <v>DRAM</v>
          </cell>
          <cell r="D549">
            <v>26</v>
          </cell>
          <cell r="E549">
            <v>1</v>
          </cell>
          <cell r="F549" t="str">
            <v xml:space="preserve">B </v>
          </cell>
          <cell r="G549">
            <v>1</v>
          </cell>
          <cell r="H549">
            <v>3063</v>
          </cell>
          <cell r="I549">
            <v>64727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1060359</v>
          </cell>
          <cell r="P549">
            <v>0</v>
          </cell>
          <cell r="Q549">
            <v>0</v>
          </cell>
          <cell r="R549">
            <v>10764</v>
          </cell>
          <cell r="S549">
            <v>0</v>
          </cell>
          <cell r="T549">
            <v>99513</v>
          </cell>
          <cell r="U549">
            <v>0</v>
          </cell>
          <cell r="V549">
            <v>94</v>
          </cell>
          <cell r="W549">
            <v>0</v>
          </cell>
          <cell r="X549">
            <v>0</v>
          </cell>
          <cell r="Y549">
            <v>45311</v>
          </cell>
          <cell r="Z549">
            <v>1060359</v>
          </cell>
          <cell r="AA549">
            <v>1216041</v>
          </cell>
          <cell r="AB549" t="str">
            <v>ERSN</v>
          </cell>
          <cell r="AC549">
            <v>1101</v>
          </cell>
          <cell r="AD549">
            <v>2</v>
          </cell>
          <cell r="AE549">
            <v>47411</v>
          </cell>
        </row>
        <row r="550">
          <cell r="A550" t="str">
            <v>SMA</v>
          </cell>
          <cell r="B550">
            <v>2</v>
          </cell>
          <cell r="C550" t="str">
            <v>DRAM</v>
          </cell>
          <cell r="D550">
            <v>26</v>
          </cell>
          <cell r="E550">
            <v>1</v>
          </cell>
          <cell r="F550" t="str">
            <v xml:space="preserve">B </v>
          </cell>
          <cell r="G550">
            <v>2</v>
          </cell>
          <cell r="H550">
            <v>1308</v>
          </cell>
          <cell r="I550">
            <v>52844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1024905</v>
          </cell>
          <cell r="P550">
            <v>0</v>
          </cell>
          <cell r="Q550">
            <v>0</v>
          </cell>
          <cell r="R550">
            <v>7574</v>
          </cell>
          <cell r="S550">
            <v>0</v>
          </cell>
          <cell r="T550">
            <v>12185</v>
          </cell>
          <cell r="U550">
            <v>174190</v>
          </cell>
          <cell r="V550">
            <v>94</v>
          </cell>
          <cell r="W550">
            <v>0</v>
          </cell>
          <cell r="X550">
            <v>0</v>
          </cell>
          <cell r="Y550">
            <v>37237</v>
          </cell>
          <cell r="Z550">
            <v>1024905</v>
          </cell>
          <cell r="AA550">
            <v>1081995</v>
          </cell>
          <cell r="AB550" t="str">
            <v>ERSN</v>
          </cell>
          <cell r="AC550">
            <v>1101</v>
          </cell>
          <cell r="AD550">
            <v>2</v>
          </cell>
          <cell r="AE550">
            <v>52844</v>
          </cell>
        </row>
        <row r="551">
          <cell r="A551" t="str">
            <v>SMA</v>
          </cell>
          <cell r="B551">
            <v>2</v>
          </cell>
          <cell r="C551" t="str">
            <v>DRAM</v>
          </cell>
          <cell r="D551">
            <v>26</v>
          </cell>
          <cell r="E551">
            <v>1</v>
          </cell>
          <cell r="F551" t="str">
            <v xml:space="preserve">B </v>
          </cell>
          <cell r="G551">
            <v>3</v>
          </cell>
          <cell r="H551">
            <v>3422</v>
          </cell>
          <cell r="I551">
            <v>250467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4857367</v>
          </cell>
          <cell r="P551">
            <v>0</v>
          </cell>
          <cell r="Q551">
            <v>0</v>
          </cell>
          <cell r="R551">
            <v>34576</v>
          </cell>
          <cell r="S551">
            <v>0</v>
          </cell>
          <cell r="T551">
            <v>62096</v>
          </cell>
          <cell r="U551">
            <v>825758</v>
          </cell>
          <cell r="V551">
            <v>566</v>
          </cell>
          <cell r="W551">
            <v>0</v>
          </cell>
          <cell r="X551">
            <v>0</v>
          </cell>
          <cell r="Y551">
            <v>206222</v>
          </cell>
          <cell r="Z551">
            <v>4857367</v>
          </cell>
          <cell r="AA551">
            <v>5160827</v>
          </cell>
          <cell r="AB551" t="str">
            <v>ERSN</v>
          </cell>
          <cell r="AC551">
            <v>1101</v>
          </cell>
          <cell r="AD551">
            <v>2</v>
          </cell>
          <cell r="AE551">
            <v>250246</v>
          </cell>
        </row>
        <row r="552">
          <cell r="A552" t="str">
            <v>SMA</v>
          </cell>
          <cell r="B552">
            <v>2</v>
          </cell>
          <cell r="C552" t="str">
            <v>DRAM</v>
          </cell>
          <cell r="D552">
            <v>26</v>
          </cell>
          <cell r="E552">
            <v>1</v>
          </cell>
          <cell r="F552" t="str">
            <v xml:space="preserve">B </v>
          </cell>
          <cell r="G552">
            <v>4</v>
          </cell>
          <cell r="H552">
            <v>1000</v>
          </cell>
          <cell r="I552">
            <v>118812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2304518</v>
          </cell>
          <cell r="P552">
            <v>0</v>
          </cell>
          <cell r="Q552">
            <v>0</v>
          </cell>
          <cell r="R552">
            <v>21931</v>
          </cell>
          <cell r="S552">
            <v>0</v>
          </cell>
          <cell r="T552">
            <v>33591</v>
          </cell>
          <cell r="U552">
            <v>391773</v>
          </cell>
          <cell r="V552">
            <v>0</v>
          </cell>
          <cell r="W552">
            <v>0</v>
          </cell>
          <cell r="X552">
            <v>0</v>
          </cell>
          <cell r="Y552">
            <v>106288</v>
          </cell>
          <cell r="Z552">
            <v>2304518</v>
          </cell>
          <cell r="AA552">
            <v>2466328</v>
          </cell>
          <cell r="AB552" t="str">
            <v>ERSN</v>
          </cell>
          <cell r="AC552">
            <v>1101</v>
          </cell>
          <cell r="AD552">
            <v>2</v>
          </cell>
          <cell r="AE552">
            <v>118812</v>
          </cell>
        </row>
        <row r="553">
          <cell r="A553" t="str">
            <v>SMA</v>
          </cell>
          <cell r="B553">
            <v>2</v>
          </cell>
          <cell r="C553" t="str">
            <v>DRAM</v>
          </cell>
          <cell r="D553">
            <v>26</v>
          </cell>
          <cell r="E553">
            <v>1</v>
          </cell>
          <cell r="F553" t="str">
            <v xml:space="preserve">B </v>
          </cell>
          <cell r="G553">
            <v>5</v>
          </cell>
          <cell r="H553">
            <v>306</v>
          </cell>
          <cell r="I553">
            <v>51565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1001531</v>
          </cell>
          <cell r="P553">
            <v>0</v>
          </cell>
          <cell r="Q553">
            <v>0</v>
          </cell>
          <cell r="R553">
            <v>8912</v>
          </cell>
          <cell r="S553">
            <v>0</v>
          </cell>
          <cell r="T553">
            <v>24205</v>
          </cell>
          <cell r="U553">
            <v>170259</v>
          </cell>
          <cell r="V553">
            <v>0</v>
          </cell>
          <cell r="W553">
            <v>0</v>
          </cell>
          <cell r="X553">
            <v>0</v>
          </cell>
          <cell r="Y553">
            <v>56330</v>
          </cell>
          <cell r="Z553">
            <v>1001531</v>
          </cell>
          <cell r="AA553">
            <v>1090978</v>
          </cell>
          <cell r="AB553" t="str">
            <v>ERSN</v>
          </cell>
          <cell r="AC553">
            <v>1101</v>
          </cell>
          <cell r="AD553">
            <v>2</v>
          </cell>
          <cell r="AE553">
            <v>51565</v>
          </cell>
        </row>
        <row r="554">
          <cell r="A554" t="str">
            <v>SMA</v>
          </cell>
          <cell r="B554">
            <v>2</v>
          </cell>
          <cell r="C554" t="str">
            <v>DRAM</v>
          </cell>
          <cell r="D554">
            <v>26</v>
          </cell>
          <cell r="E554">
            <v>1</v>
          </cell>
          <cell r="F554" t="str">
            <v xml:space="preserve">B </v>
          </cell>
          <cell r="G554">
            <v>6</v>
          </cell>
          <cell r="H554">
            <v>143</v>
          </cell>
          <cell r="I554">
            <v>32630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632912</v>
          </cell>
          <cell r="P554">
            <v>0</v>
          </cell>
          <cell r="Q554">
            <v>0</v>
          </cell>
          <cell r="R554">
            <v>6322</v>
          </cell>
          <cell r="S554">
            <v>0</v>
          </cell>
          <cell r="T554">
            <v>10095</v>
          </cell>
          <cell r="U554">
            <v>107626</v>
          </cell>
          <cell r="V554">
            <v>0</v>
          </cell>
          <cell r="W554">
            <v>0</v>
          </cell>
          <cell r="X554">
            <v>0</v>
          </cell>
          <cell r="Y554">
            <v>25248</v>
          </cell>
          <cell r="Z554">
            <v>632912</v>
          </cell>
          <cell r="AA554">
            <v>674577</v>
          </cell>
          <cell r="AB554" t="str">
            <v>ERSN</v>
          </cell>
          <cell r="AC554">
            <v>1101</v>
          </cell>
          <cell r="AD554">
            <v>2</v>
          </cell>
          <cell r="AE554">
            <v>32630</v>
          </cell>
        </row>
        <row r="555">
          <cell r="A555" t="str">
            <v>SMA</v>
          </cell>
          <cell r="B555">
            <v>2</v>
          </cell>
          <cell r="C555" t="str">
            <v>DRAM</v>
          </cell>
          <cell r="D555">
            <v>26</v>
          </cell>
          <cell r="E555">
            <v>1</v>
          </cell>
          <cell r="F555" t="str">
            <v xml:space="preserve">B </v>
          </cell>
          <cell r="G555">
            <v>7</v>
          </cell>
          <cell r="H555">
            <v>32</v>
          </cell>
          <cell r="I555">
            <v>9773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196677</v>
          </cell>
          <cell r="P555">
            <v>0</v>
          </cell>
          <cell r="Q555">
            <v>0</v>
          </cell>
          <cell r="R555">
            <v>1977</v>
          </cell>
          <cell r="S555">
            <v>0</v>
          </cell>
          <cell r="T555">
            <v>1000</v>
          </cell>
          <cell r="U555">
            <v>39348</v>
          </cell>
          <cell r="V555">
            <v>0</v>
          </cell>
          <cell r="W555">
            <v>0</v>
          </cell>
          <cell r="X555">
            <v>0</v>
          </cell>
          <cell r="Y555">
            <v>6528</v>
          </cell>
          <cell r="Z555">
            <v>196677</v>
          </cell>
          <cell r="AA555">
            <v>206182</v>
          </cell>
          <cell r="AB555" t="str">
            <v>ERSN</v>
          </cell>
          <cell r="AC555">
            <v>1101</v>
          </cell>
          <cell r="AD555">
            <v>2</v>
          </cell>
          <cell r="AE555">
            <v>9773</v>
          </cell>
        </row>
        <row r="556">
          <cell r="A556" t="str">
            <v>SMA</v>
          </cell>
          <cell r="B556">
            <v>2</v>
          </cell>
          <cell r="C556" t="str">
            <v>DRAM</v>
          </cell>
          <cell r="D556">
            <v>26</v>
          </cell>
          <cell r="E556">
            <v>1</v>
          </cell>
          <cell r="F556" t="str">
            <v xml:space="preserve">B </v>
          </cell>
          <cell r="G556">
            <v>8</v>
          </cell>
          <cell r="H556">
            <v>10</v>
          </cell>
          <cell r="I556">
            <v>3060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61575</v>
          </cell>
          <cell r="P556">
            <v>0</v>
          </cell>
          <cell r="Q556">
            <v>0</v>
          </cell>
          <cell r="R556">
            <v>958</v>
          </cell>
          <cell r="S556">
            <v>0</v>
          </cell>
          <cell r="T556">
            <v>0</v>
          </cell>
          <cell r="U556">
            <v>12316</v>
          </cell>
          <cell r="V556">
            <v>0</v>
          </cell>
          <cell r="W556">
            <v>0</v>
          </cell>
          <cell r="X556">
            <v>0</v>
          </cell>
          <cell r="Y556">
            <v>71</v>
          </cell>
          <cell r="Z556">
            <v>61575</v>
          </cell>
          <cell r="AA556">
            <v>62604</v>
          </cell>
          <cell r="AB556" t="str">
            <v>ERSN</v>
          </cell>
          <cell r="AC556">
            <v>1101</v>
          </cell>
          <cell r="AD556">
            <v>2</v>
          </cell>
          <cell r="AE556">
            <v>3060</v>
          </cell>
        </row>
        <row r="557">
          <cell r="A557" t="str">
            <v>SMA</v>
          </cell>
          <cell r="B557">
            <v>2</v>
          </cell>
          <cell r="C557" t="str">
            <v>DRAM</v>
          </cell>
          <cell r="D557">
            <v>26</v>
          </cell>
          <cell r="E557">
            <v>1</v>
          </cell>
          <cell r="F557" t="str">
            <v xml:space="preserve">B </v>
          </cell>
          <cell r="G557">
            <v>9</v>
          </cell>
          <cell r="H557">
            <v>14</v>
          </cell>
          <cell r="I557">
            <v>7138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153199</v>
          </cell>
          <cell r="P557">
            <v>0</v>
          </cell>
          <cell r="Q557">
            <v>0</v>
          </cell>
          <cell r="R557">
            <v>1060</v>
          </cell>
          <cell r="S557">
            <v>0</v>
          </cell>
          <cell r="T557">
            <v>2968</v>
          </cell>
          <cell r="U557">
            <v>38301</v>
          </cell>
          <cell r="V557">
            <v>0</v>
          </cell>
          <cell r="W557">
            <v>0</v>
          </cell>
          <cell r="X557">
            <v>0</v>
          </cell>
          <cell r="Y557">
            <v>2982</v>
          </cell>
          <cell r="Z557">
            <v>153199</v>
          </cell>
          <cell r="AA557">
            <v>160209</v>
          </cell>
          <cell r="AB557" t="str">
            <v>ERSN</v>
          </cell>
          <cell r="AC557">
            <v>1101</v>
          </cell>
          <cell r="AD557">
            <v>2</v>
          </cell>
          <cell r="AE557">
            <v>7138</v>
          </cell>
        </row>
        <row r="558">
          <cell r="A558" t="str">
            <v>SMA</v>
          </cell>
          <cell r="B558">
            <v>2</v>
          </cell>
          <cell r="C558" t="str">
            <v>DRAM</v>
          </cell>
          <cell r="D558">
            <v>26</v>
          </cell>
          <cell r="E558">
            <v>1</v>
          </cell>
          <cell r="F558" t="str">
            <v xml:space="preserve">B </v>
          </cell>
          <cell r="G558">
            <v>10</v>
          </cell>
          <cell r="H558">
            <v>8</v>
          </cell>
          <cell r="I558">
            <v>12495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268155</v>
          </cell>
          <cell r="P558">
            <v>0</v>
          </cell>
          <cell r="Q558">
            <v>0</v>
          </cell>
          <cell r="R558">
            <v>2227</v>
          </cell>
          <cell r="S558">
            <v>0</v>
          </cell>
          <cell r="T558">
            <v>295</v>
          </cell>
          <cell r="U558">
            <v>67045</v>
          </cell>
          <cell r="V558">
            <v>0</v>
          </cell>
          <cell r="W558">
            <v>0</v>
          </cell>
          <cell r="X558">
            <v>0</v>
          </cell>
          <cell r="Y558">
            <v>807</v>
          </cell>
          <cell r="Z558">
            <v>268155</v>
          </cell>
          <cell r="AA558">
            <v>271484</v>
          </cell>
          <cell r="AB558" t="str">
            <v>ERSN</v>
          </cell>
          <cell r="AC558">
            <v>1101</v>
          </cell>
          <cell r="AD558">
            <v>2</v>
          </cell>
          <cell r="AE558">
            <v>12495</v>
          </cell>
        </row>
        <row r="559">
          <cell r="A559" t="str">
            <v>SMA</v>
          </cell>
          <cell r="B559">
            <v>2</v>
          </cell>
          <cell r="C559" t="str">
            <v>DRAM</v>
          </cell>
          <cell r="D559">
            <v>26</v>
          </cell>
          <cell r="E559">
            <v>1</v>
          </cell>
          <cell r="F559" t="str">
            <v xml:space="preserve">B </v>
          </cell>
          <cell r="G559">
            <v>11</v>
          </cell>
          <cell r="H559">
            <v>2225</v>
          </cell>
          <cell r="I559">
            <v>50147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283026</v>
          </cell>
          <cell r="P559">
            <v>0</v>
          </cell>
          <cell r="Q559">
            <v>0</v>
          </cell>
          <cell r="R559">
            <v>3011</v>
          </cell>
          <cell r="S559">
            <v>0</v>
          </cell>
          <cell r="T559">
            <v>28598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56277</v>
          </cell>
          <cell r="Z559">
            <v>283026</v>
          </cell>
          <cell r="AA559">
            <v>370912</v>
          </cell>
          <cell r="AB559" t="str">
            <v>ERSN</v>
          </cell>
          <cell r="AC559">
            <v>1101</v>
          </cell>
          <cell r="AD559">
            <v>2</v>
          </cell>
          <cell r="AE559">
            <v>34569</v>
          </cell>
        </row>
        <row r="560">
          <cell r="A560" t="str">
            <v>SMA</v>
          </cell>
          <cell r="B560">
            <v>2</v>
          </cell>
          <cell r="C560" t="str">
            <v>DRAM</v>
          </cell>
          <cell r="D560">
            <v>26</v>
          </cell>
          <cell r="E560">
            <v>1</v>
          </cell>
          <cell r="F560" t="str">
            <v xml:space="preserve">B </v>
          </cell>
          <cell r="G560">
            <v>12</v>
          </cell>
          <cell r="H560">
            <v>1480</v>
          </cell>
          <cell r="I560">
            <v>83155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753183</v>
          </cell>
          <cell r="P560">
            <v>0</v>
          </cell>
          <cell r="Q560">
            <v>0</v>
          </cell>
          <cell r="R560">
            <v>6196</v>
          </cell>
          <cell r="S560">
            <v>0</v>
          </cell>
          <cell r="T560">
            <v>13784</v>
          </cell>
          <cell r="U560">
            <v>128115</v>
          </cell>
          <cell r="V560">
            <v>0</v>
          </cell>
          <cell r="W560">
            <v>0</v>
          </cell>
          <cell r="X560">
            <v>0</v>
          </cell>
          <cell r="Y560">
            <v>95710</v>
          </cell>
          <cell r="Z560">
            <v>753183</v>
          </cell>
          <cell r="AA560">
            <v>868873</v>
          </cell>
          <cell r="AB560" t="str">
            <v>ERSN</v>
          </cell>
          <cell r="AC560">
            <v>1101</v>
          </cell>
          <cell r="AD560">
            <v>2</v>
          </cell>
          <cell r="AE560">
            <v>83155</v>
          </cell>
        </row>
        <row r="561">
          <cell r="A561" t="str">
            <v>SMA</v>
          </cell>
          <cell r="B561">
            <v>2</v>
          </cell>
          <cell r="C561" t="str">
            <v>DRAM</v>
          </cell>
          <cell r="D561">
            <v>26</v>
          </cell>
          <cell r="E561">
            <v>1</v>
          </cell>
          <cell r="F561" t="str">
            <v xml:space="preserve">B </v>
          </cell>
          <cell r="G561">
            <v>13</v>
          </cell>
          <cell r="H561">
            <v>112</v>
          </cell>
          <cell r="I561">
            <v>12909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157190</v>
          </cell>
          <cell r="P561">
            <v>0</v>
          </cell>
          <cell r="Q561">
            <v>0</v>
          </cell>
          <cell r="R561">
            <v>1253</v>
          </cell>
          <cell r="S561">
            <v>0</v>
          </cell>
          <cell r="T561">
            <v>2555</v>
          </cell>
          <cell r="U561">
            <v>26726</v>
          </cell>
          <cell r="V561">
            <v>0</v>
          </cell>
          <cell r="W561">
            <v>0</v>
          </cell>
          <cell r="X561">
            <v>0</v>
          </cell>
          <cell r="Y561">
            <v>16296</v>
          </cell>
          <cell r="Z561">
            <v>157190</v>
          </cell>
          <cell r="AA561">
            <v>177294</v>
          </cell>
          <cell r="AB561" t="str">
            <v>ERSN</v>
          </cell>
          <cell r="AC561">
            <v>1101</v>
          </cell>
          <cell r="AD561">
            <v>2</v>
          </cell>
          <cell r="AE561">
            <v>12909</v>
          </cell>
        </row>
        <row r="562">
          <cell r="A562" t="str">
            <v>SMA</v>
          </cell>
          <cell r="B562">
            <v>2</v>
          </cell>
          <cell r="C562" t="str">
            <v>DRAM</v>
          </cell>
          <cell r="D562">
            <v>26</v>
          </cell>
          <cell r="E562">
            <v>1</v>
          </cell>
          <cell r="F562" t="str">
            <v xml:space="preserve">B </v>
          </cell>
          <cell r="G562">
            <v>14</v>
          </cell>
          <cell r="H562">
            <v>7</v>
          </cell>
          <cell r="I562">
            <v>1034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13059</v>
          </cell>
          <cell r="P562">
            <v>0</v>
          </cell>
          <cell r="Q562">
            <v>0</v>
          </cell>
          <cell r="R562">
            <v>18</v>
          </cell>
          <cell r="S562">
            <v>0</v>
          </cell>
          <cell r="T562">
            <v>0</v>
          </cell>
          <cell r="U562">
            <v>2221</v>
          </cell>
          <cell r="V562">
            <v>0</v>
          </cell>
          <cell r="W562">
            <v>0</v>
          </cell>
          <cell r="X562">
            <v>0</v>
          </cell>
          <cell r="Y562">
            <v>1500</v>
          </cell>
          <cell r="Z562">
            <v>13059</v>
          </cell>
          <cell r="AA562">
            <v>14577</v>
          </cell>
          <cell r="AB562" t="str">
            <v>ERSN</v>
          </cell>
          <cell r="AC562">
            <v>1101</v>
          </cell>
          <cell r="AD562">
            <v>2</v>
          </cell>
          <cell r="AE562">
            <v>1034</v>
          </cell>
        </row>
        <row r="563">
          <cell r="A563" t="str">
            <v>SMA</v>
          </cell>
          <cell r="B563">
            <v>2</v>
          </cell>
          <cell r="C563" t="str">
            <v>DRAM</v>
          </cell>
          <cell r="D563">
            <v>26</v>
          </cell>
          <cell r="E563">
            <v>1</v>
          </cell>
          <cell r="F563" t="str">
            <v xml:space="preserve">B </v>
          </cell>
          <cell r="G563">
            <v>15</v>
          </cell>
          <cell r="H563">
            <v>12</v>
          </cell>
          <cell r="I563">
            <v>1983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33456</v>
          </cell>
          <cell r="P563">
            <v>0</v>
          </cell>
          <cell r="Q563">
            <v>0</v>
          </cell>
          <cell r="R563">
            <v>237</v>
          </cell>
          <cell r="S563">
            <v>0</v>
          </cell>
          <cell r="T563">
            <v>0</v>
          </cell>
          <cell r="U563">
            <v>7345</v>
          </cell>
          <cell r="V563">
            <v>0</v>
          </cell>
          <cell r="W563">
            <v>0</v>
          </cell>
          <cell r="X563">
            <v>0</v>
          </cell>
          <cell r="Y563">
            <v>2141</v>
          </cell>
          <cell r="Z563">
            <v>33456</v>
          </cell>
          <cell r="AA563">
            <v>35834</v>
          </cell>
          <cell r="AB563" t="str">
            <v>ERSN</v>
          </cell>
          <cell r="AC563">
            <v>1101</v>
          </cell>
          <cell r="AD563">
            <v>2</v>
          </cell>
          <cell r="AE563">
            <v>1983</v>
          </cell>
        </row>
        <row r="564">
          <cell r="A564" t="str">
            <v>SMA</v>
          </cell>
          <cell r="B564">
            <v>2</v>
          </cell>
          <cell r="C564" t="str">
            <v>DRAM</v>
          </cell>
          <cell r="D564">
            <v>26</v>
          </cell>
          <cell r="E564">
            <v>2</v>
          </cell>
          <cell r="F564" t="str">
            <v>A4</v>
          </cell>
          <cell r="G564">
            <v>21</v>
          </cell>
          <cell r="H564">
            <v>1</v>
          </cell>
          <cell r="I564">
            <v>155365</v>
          </cell>
          <cell r="J564">
            <v>4590</v>
          </cell>
          <cell r="K564">
            <v>150775</v>
          </cell>
          <cell r="L564">
            <v>307</v>
          </cell>
          <cell r="M564">
            <v>307</v>
          </cell>
          <cell r="N564">
            <v>0</v>
          </cell>
          <cell r="O564">
            <v>1255760</v>
          </cell>
          <cell r="P564">
            <v>212035</v>
          </cell>
          <cell r="Q564">
            <v>12113</v>
          </cell>
          <cell r="R564">
            <v>38634</v>
          </cell>
          <cell r="S564">
            <v>0</v>
          </cell>
          <cell r="T564">
            <v>0</v>
          </cell>
          <cell r="U564">
            <v>370495</v>
          </cell>
          <cell r="V564">
            <v>0</v>
          </cell>
          <cell r="W564">
            <v>2072</v>
          </cell>
          <cell r="X564">
            <v>0</v>
          </cell>
          <cell r="Y564">
            <v>0</v>
          </cell>
          <cell r="Z564">
            <v>1481980</v>
          </cell>
          <cell r="AA564">
            <v>1520614</v>
          </cell>
          <cell r="AB564" t="str">
            <v>ERSN</v>
          </cell>
          <cell r="AC564">
            <v>1101</v>
          </cell>
          <cell r="AD564">
            <v>2</v>
          </cell>
          <cell r="AE564">
            <v>155365</v>
          </cell>
        </row>
        <row r="565">
          <cell r="A565" t="str">
            <v>SMA</v>
          </cell>
          <cell r="B565">
            <v>2</v>
          </cell>
          <cell r="C565" t="str">
            <v>DRAM</v>
          </cell>
          <cell r="D565">
            <v>26</v>
          </cell>
          <cell r="E565">
            <v>2</v>
          </cell>
          <cell r="F565" t="str">
            <v>A4</v>
          </cell>
          <cell r="G565">
            <v>20</v>
          </cell>
          <cell r="H565">
            <v>5</v>
          </cell>
          <cell r="I565">
            <v>84002</v>
          </cell>
          <cell r="J565">
            <v>0</v>
          </cell>
          <cell r="K565">
            <v>0</v>
          </cell>
          <cell r="L565">
            <v>328</v>
          </cell>
          <cell r="M565">
            <v>0</v>
          </cell>
          <cell r="N565">
            <v>0</v>
          </cell>
          <cell r="O565">
            <v>963894</v>
          </cell>
          <cell r="P565">
            <v>256716</v>
          </cell>
          <cell r="Q565">
            <v>151328</v>
          </cell>
          <cell r="R565">
            <v>26644</v>
          </cell>
          <cell r="S565">
            <v>0</v>
          </cell>
          <cell r="T565">
            <v>-9402</v>
          </cell>
          <cell r="U565">
            <v>354725</v>
          </cell>
          <cell r="V565">
            <v>0</v>
          </cell>
          <cell r="W565">
            <v>46961</v>
          </cell>
          <cell r="X565">
            <v>0</v>
          </cell>
          <cell r="Y565">
            <v>1683</v>
          </cell>
          <cell r="Z565">
            <v>1418899</v>
          </cell>
          <cell r="AA565">
            <v>1437824</v>
          </cell>
          <cell r="AB565" t="str">
            <v>ERSN</v>
          </cell>
          <cell r="AC565">
            <v>1101</v>
          </cell>
          <cell r="AD565">
            <v>2</v>
          </cell>
          <cell r="AE565">
            <v>84002</v>
          </cell>
        </row>
        <row r="566">
          <cell r="A566" t="str">
            <v>SMA</v>
          </cell>
          <cell r="B566">
            <v>2</v>
          </cell>
          <cell r="C566" t="str">
            <v>DRAM</v>
          </cell>
          <cell r="D566">
            <v>26</v>
          </cell>
          <cell r="E566">
            <v>2</v>
          </cell>
          <cell r="F566" t="str">
            <v xml:space="preserve">B </v>
          </cell>
          <cell r="G566">
            <v>0</v>
          </cell>
          <cell r="H566">
            <v>90</v>
          </cell>
          <cell r="I566">
            <v>45955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956698</v>
          </cell>
          <cell r="P566">
            <v>0</v>
          </cell>
          <cell r="Q566">
            <v>20256</v>
          </cell>
          <cell r="R566">
            <v>10038</v>
          </cell>
          <cell r="S566">
            <v>0</v>
          </cell>
          <cell r="T566">
            <v>18938</v>
          </cell>
          <cell r="U566">
            <v>236944</v>
          </cell>
          <cell r="V566">
            <v>0</v>
          </cell>
          <cell r="W566">
            <v>0</v>
          </cell>
          <cell r="X566">
            <v>0</v>
          </cell>
          <cell r="Y566">
            <v>10664</v>
          </cell>
          <cell r="Z566">
            <v>976954</v>
          </cell>
          <cell r="AA566">
            <v>1016594</v>
          </cell>
          <cell r="AB566" t="str">
            <v>ERSN</v>
          </cell>
          <cell r="AC566">
            <v>1101</v>
          </cell>
          <cell r="AD566">
            <v>2</v>
          </cell>
          <cell r="AE566">
            <v>44433</v>
          </cell>
        </row>
        <row r="567">
          <cell r="A567" t="str">
            <v>SMA</v>
          </cell>
          <cell r="B567">
            <v>2</v>
          </cell>
          <cell r="C567" t="str">
            <v>DRAM</v>
          </cell>
          <cell r="D567">
            <v>26</v>
          </cell>
          <cell r="E567">
            <v>3</v>
          </cell>
          <cell r="F567" t="str">
            <v>A4</v>
          </cell>
          <cell r="G567">
            <v>21</v>
          </cell>
          <cell r="H567">
            <v>2</v>
          </cell>
          <cell r="I567">
            <v>10822</v>
          </cell>
          <cell r="J567">
            <v>403</v>
          </cell>
          <cell r="K567">
            <v>10419</v>
          </cell>
          <cell r="L567">
            <v>100</v>
          </cell>
          <cell r="M567">
            <v>100</v>
          </cell>
          <cell r="N567">
            <v>0</v>
          </cell>
          <cell r="O567">
            <v>92052</v>
          </cell>
          <cell r="P567">
            <v>69066</v>
          </cell>
          <cell r="Q567">
            <v>775</v>
          </cell>
          <cell r="R567">
            <v>0</v>
          </cell>
          <cell r="S567">
            <v>0</v>
          </cell>
          <cell r="T567">
            <v>0</v>
          </cell>
          <cell r="U567">
            <v>40473</v>
          </cell>
          <cell r="V567">
            <v>0</v>
          </cell>
          <cell r="W567">
            <v>0</v>
          </cell>
          <cell r="X567">
            <v>0</v>
          </cell>
          <cell r="Y567">
            <v>561</v>
          </cell>
          <cell r="Z567">
            <v>161893</v>
          </cell>
          <cell r="AA567">
            <v>162454</v>
          </cell>
          <cell r="AB567" t="str">
            <v>ERSN</v>
          </cell>
          <cell r="AC567">
            <v>1101</v>
          </cell>
          <cell r="AD567">
            <v>2</v>
          </cell>
          <cell r="AE567">
            <v>10822</v>
          </cell>
        </row>
        <row r="568">
          <cell r="A568" t="str">
            <v>SMA</v>
          </cell>
          <cell r="B568">
            <v>2</v>
          </cell>
          <cell r="C568" t="str">
            <v>DRAM</v>
          </cell>
          <cell r="D568">
            <v>26</v>
          </cell>
          <cell r="E568">
            <v>3</v>
          </cell>
          <cell r="F568" t="str">
            <v>A4</v>
          </cell>
          <cell r="G568">
            <v>20</v>
          </cell>
          <cell r="H568">
            <v>1</v>
          </cell>
          <cell r="I568">
            <v>5105</v>
          </cell>
          <cell r="J568">
            <v>0</v>
          </cell>
          <cell r="K568">
            <v>0</v>
          </cell>
          <cell r="L568">
            <v>35</v>
          </cell>
          <cell r="M568">
            <v>0</v>
          </cell>
          <cell r="N568">
            <v>0</v>
          </cell>
          <cell r="O568">
            <v>58579</v>
          </cell>
          <cell r="P568">
            <v>27393</v>
          </cell>
          <cell r="Q568">
            <v>1699</v>
          </cell>
          <cell r="R568">
            <v>0</v>
          </cell>
          <cell r="S568">
            <v>0</v>
          </cell>
          <cell r="T568">
            <v>0</v>
          </cell>
          <cell r="U568">
            <v>22114</v>
          </cell>
          <cell r="V568">
            <v>0</v>
          </cell>
          <cell r="W568">
            <v>783</v>
          </cell>
          <cell r="X568">
            <v>0</v>
          </cell>
          <cell r="Y568">
            <v>561</v>
          </cell>
          <cell r="Z568">
            <v>88454</v>
          </cell>
          <cell r="AA568">
            <v>89015</v>
          </cell>
          <cell r="AB568" t="str">
            <v>ERSN</v>
          </cell>
          <cell r="AC568">
            <v>1101</v>
          </cell>
          <cell r="AD568">
            <v>2</v>
          </cell>
          <cell r="AE568">
            <v>5105</v>
          </cell>
        </row>
        <row r="569">
          <cell r="A569" t="str">
            <v>SMA</v>
          </cell>
          <cell r="B569">
            <v>2</v>
          </cell>
          <cell r="C569" t="str">
            <v>DRAM</v>
          </cell>
          <cell r="D569">
            <v>26</v>
          </cell>
          <cell r="E569">
            <v>3</v>
          </cell>
          <cell r="F569" t="str">
            <v xml:space="preserve">B </v>
          </cell>
          <cell r="G569">
            <v>0</v>
          </cell>
          <cell r="H569">
            <v>975</v>
          </cell>
          <cell r="I569">
            <v>149128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3107296</v>
          </cell>
          <cell r="P569">
            <v>0</v>
          </cell>
          <cell r="Q569">
            <v>0</v>
          </cell>
          <cell r="R569">
            <v>32836</v>
          </cell>
          <cell r="S569">
            <v>0</v>
          </cell>
          <cell r="T569">
            <v>92650</v>
          </cell>
          <cell r="U569">
            <v>771814</v>
          </cell>
          <cell r="V569">
            <v>472</v>
          </cell>
          <cell r="W569">
            <v>0</v>
          </cell>
          <cell r="X569">
            <v>0</v>
          </cell>
          <cell r="Y569">
            <v>76919</v>
          </cell>
          <cell r="Z569">
            <v>3107296</v>
          </cell>
          <cell r="AA569">
            <v>3310173</v>
          </cell>
          <cell r="AB569" t="str">
            <v>ERSN</v>
          </cell>
          <cell r="AC569">
            <v>1101</v>
          </cell>
          <cell r="AD569">
            <v>2</v>
          </cell>
          <cell r="AE569">
            <v>141759</v>
          </cell>
        </row>
        <row r="570">
          <cell r="A570" t="str">
            <v>SMA</v>
          </cell>
          <cell r="B570">
            <v>2</v>
          </cell>
          <cell r="C570" t="str">
            <v>DRAM</v>
          </cell>
          <cell r="D570">
            <v>26</v>
          </cell>
          <cell r="E570">
            <v>4</v>
          </cell>
          <cell r="F570" t="str">
            <v>A4</v>
          </cell>
          <cell r="G570">
            <v>20</v>
          </cell>
          <cell r="H570">
            <v>1</v>
          </cell>
          <cell r="I570">
            <v>1476</v>
          </cell>
          <cell r="J570">
            <v>0</v>
          </cell>
          <cell r="K570">
            <v>0</v>
          </cell>
          <cell r="L570">
            <v>6</v>
          </cell>
          <cell r="M570">
            <v>0</v>
          </cell>
          <cell r="N570">
            <v>0</v>
          </cell>
          <cell r="O570">
            <v>11432</v>
          </cell>
          <cell r="P570">
            <v>3168</v>
          </cell>
          <cell r="Q570">
            <v>968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528</v>
          </cell>
          <cell r="X570">
            <v>0</v>
          </cell>
          <cell r="Y570">
            <v>0</v>
          </cell>
          <cell r="Z570">
            <v>16096</v>
          </cell>
          <cell r="AA570">
            <v>16096</v>
          </cell>
          <cell r="AB570" t="str">
            <v>ERSN</v>
          </cell>
          <cell r="AC570">
            <v>1101</v>
          </cell>
          <cell r="AD570">
            <v>2</v>
          </cell>
          <cell r="AE570">
            <v>1476</v>
          </cell>
        </row>
        <row r="571">
          <cell r="A571" t="str">
            <v>SMA</v>
          </cell>
          <cell r="B571">
            <v>2</v>
          </cell>
          <cell r="C571" t="str">
            <v>DRAM</v>
          </cell>
          <cell r="D571">
            <v>26</v>
          </cell>
          <cell r="E571">
            <v>4</v>
          </cell>
          <cell r="F571" t="str">
            <v xml:space="preserve">B </v>
          </cell>
          <cell r="G571">
            <v>0</v>
          </cell>
          <cell r="H571">
            <v>5166</v>
          </cell>
          <cell r="I571">
            <v>463714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4455594</v>
          </cell>
          <cell r="P571">
            <v>0</v>
          </cell>
          <cell r="Q571">
            <v>0</v>
          </cell>
          <cell r="R571">
            <v>24</v>
          </cell>
          <cell r="S571">
            <v>0</v>
          </cell>
          <cell r="T571">
            <v>403180</v>
          </cell>
          <cell r="U571">
            <v>0</v>
          </cell>
          <cell r="V571">
            <v>94734</v>
          </cell>
          <cell r="W571">
            <v>0</v>
          </cell>
          <cell r="X571">
            <v>0</v>
          </cell>
          <cell r="Y571">
            <v>0</v>
          </cell>
          <cell r="Z571">
            <v>4455594</v>
          </cell>
          <cell r="AA571">
            <v>4953532</v>
          </cell>
          <cell r="AB571" t="str">
            <v>ERSN</v>
          </cell>
          <cell r="AC571">
            <v>1101</v>
          </cell>
          <cell r="AD571">
            <v>2</v>
          </cell>
          <cell r="AE571">
            <v>412603</v>
          </cell>
        </row>
        <row r="572">
          <cell r="A572" t="str">
            <v>SMA</v>
          </cell>
          <cell r="B572">
            <v>2</v>
          </cell>
          <cell r="C572" t="str">
            <v>DRAM</v>
          </cell>
          <cell r="D572">
            <v>26</v>
          </cell>
          <cell r="E572">
            <v>5</v>
          </cell>
          <cell r="F572" t="str">
            <v>A4</v>
          </cell>
          <cell r="G572">
            <v>20</v>
          </cell>
          <cell r="H572">
            <v>1</v>
          </cell>
          <cell r="I572">
            <v>779</v>
          </cell>
          <cell r="J572">
            <v>0</v>
          </cell>
          <cell r="K572">
            <v>0</v>
          </cell>
          <cell r="L572">
            <v>3</v>
          </cell>
          <cell r="M572">
            <v>0</v>
          </cell>
          <cell r="N572">
            <v>0</v>
          </cell>
          <cell r="O572">
            <v>8939</v>
          </cell>
          <cell r="P572">
            <v>2348</v>
          </cell>
          <cell r="Q572">
            <v>573</v>
          </cell>
          <cell r="R572">
            <v>0</v>
          </cell>
          <cell r="S572">
            <v>0</v>
          </cell>
          <cell r="T572">
            <v>0</v>
          </cell>
          <cell r="U572">
            <v>2965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11860</v>
          </cell>
          <cell r="AA572">
            <v>11860</v>
          </cell>
          <cell r="AB572" t="str">
            <v>ERSN</v>
          </cell>
          <cell r="AC572">
            <v>1101</v>
          </cell>
          <cell r="AD572">
            <v>2</v>
          </cell>
          <cell r="AE572">
            <v>779</v>
          </cell>
        </row>
        <row r="573">
          <cell r="A573" t="str">
            <v>SMA</v>
          </cell>
          <cell r="B573">
            <v>2</v>
          </cell>
          <cell r="C573" t="str">
            <v>DRAM</v>
          </cell>
          <cell r="D573">
            <v>26</v>
          </cell>
          <cell r="E573">
            <v>5</v>
          </cell>
          <cell r="F573" t="str">
            <v xml:space="preserve">B </v>
          </cell>
          <cell r="G573">
            <v>0</v>
          </cell>
          <cell r="H573">
            <v>378</v>
          </cell>
          <cell r="I573">
            <v>107316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2124593</v>
          </cell>
          <cell r="P573">
            <v>0</v>
          </cell>
          <cell r="Q573">
            <v>0</v>
          </cell>
          <cell r="R573">
            <v>22282</v>
          </cell>
          <cell r="S573">
            <v>150</v>
          </cell>
          <cell r="T573">
            <v>44055</v>
          </cell>
          <cell r="U573">
            <v>449047</v>
          </cell>
          <cell r="V573">
            <v>0</v>
          </cell>
          <cell r="W573">
            <v>0</v>
          </cell>
          <cell r="X573">
            <v>68</v>
          </cell>
          <cell r="Y573">
            <v>0</v>
          </cell>
          <cell r="Z573">
            <v>2124593</v>
          </cell>
          <cell r="AA573">
            <v>2191148</v>
          </cell>
          <cell r="AB573" t="str">
            <v>ERSN</v>
          </cell>
          <cell r="AC573">
            <v>1101</v>
          </cell>
          <cell r="AD573">
            <v>2</v>
          </cell>
          <cell r="AE573">
            <v>104410</v>
          </cell>
        </row>
        <row r="574">
          <cell r="A574" t="str">
            <v>SMA</v>
          </cell>
          <cell r="B574">
            <v>2</v>
          </cell>
          <cell r="C574" t="str">
            <v>DRAM</v>
          </cell>
          <cell r="D574">
            <v>26</v>
          </cell>
          <cell r="E574">
            <v>6</v>
          </cell>
          <cell r="F574" t="str">
            <v xml:space="preserve">B </v>
          </cell>
          <cell r="G574">
            <v>0</v>
          </cell>
          <cell r="H574">
            <v>25</v>
          </cell>
          <cell r="I574">
            <v>183303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2158088</v>
          </cell>
          <cell r="P574">
            <v>0</v>
          </cell>
          <cell r="Q574">
            <v>0</v>
          </cell>
          <cell r="R574">
            <v>32743</v>
          </cell>
          <cell r="S574">
            <v>0</v>
          </cell>
          <cell r="T574">
            <v>0</v>
          </cell>
          <cell r="U574">
            <v>539521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2158088</v>
          </cell>
          <cell r="AA574">
            <v>2190831</v>
          </cell>
          <cell r="AB574" t="str">
            <v>ERSN</v>
          </cell>
          <cell r="AC574">
            <v>1101</v>
          </cell>
          <cell r="AD574">
            <v>2</v>
          </cell>
          <cell r="AE574">
            <v>183303</v>
          </cell>
        </row>
        <row r="575">
          <cell r="A575" t="str">
            <v>SMA</v>
          </cell>
          <cell r="B575">
            <v>2</v>
          </cell>
          <cell r="C575" t="str">
            <v>DRAM</v>
          </cell>
          <cell r="D575">
            <v>26</v>
          </cell>
          <cell r="E575">
            <v>7</v>
          </cell>
          <cell r="F575" t="str">
            <v>A4</v>
          </cell>
          <cell r="G575">
            <v>20</v>
          </cell>
          <cell r="H575">
            <v>4</v>
          </cell>
          <cell r="I575">
            <v>41462</v>
          </cell>
          <cell r="J575">
            <v>0</v>
          </cell>
          <cell r="K575">
            <v>0</v>
          </cell>
          <cell r="L575">
            <v>97</v>
          </cell>
          <cell r="M575">
            <v>0</v>
          </cell>
          <cell r="N575">
            <v>0</v>
          </cell>
          <cell r="O575">
            <v>404392</v>
          </cell>
          <cell r="P575">
            <v>64408</v>
          </cell>
          <cell r="Q575">
            <v>38975</v>
          </cell>
          <cell r="R575">
            <v>0</v>
          </cell>
          <cell r="S575">
            <v>0</v>
          </cell>
          <cell r="T575">
            <v>0</v>
          </cell>
          <cell r="U575">
            <v>128604</v>
          </cell>
          <cell r="V575">
            <v>0</v>
          </cell>
          <cell r="W575">
            <v>6640</v>
          </cell>
          <cell r="X575">
            <v>0</v>
          </cell>
          <cell r="Y575">
            <v>0</v>
          </cell>
          <cell r="Z575">
            <v>514415</v>
          </cell>
          <cell r="AA575">
            <v>514415</v>
          </cell>
          <cell r="AB575" t="str">
            <v>ERSN</v>
          </cell>
          <cell r="AC575">
            <v>1101</v>
          </cell>
          <cell r="AD575">
            <v>2</v>
          </cell>
          <cell r="AE575">
            <v>41462</v>
          </cell>
        </row>
        <row r="576">
          <cell r="A576" t="str">
            <v>SMA</v>
          </cell>
          <cell r="B576">
            <v>2</v>
          </cell>
          <cell r="C576" t="str">
            <v>DRAM</v>
          </cell>
          <cell r="D576">
            <v>26</v>
          </cell>
          <cell r="E576">
            <v>7</v>
          </cell>
          <cell r="F576" t="str">
            <v xml:space="preserve">B </v>
          </cell>
          <cell r="G576">
            <v>0</v>
          </cell>
          <cell r="H576">
            <v>6</v>
          </cell>
          <cell r="I576">
            <v>6468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114448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28612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114448</v>
          </cell>
          <cell r="AA576">
            <v>114448</v>
          </cell>
          <cell r="AB576" t="str">
            <v>ERSN</v>
          </cell>
          <cell r="AC576">
            <v>1101</v>
          </cell>
          <cell r="AD576">
            <v>2</v>
          </cell>
          <cell r="AE576">
            <v>6468</v>
          </cell>
        </row>
        <row r="577">
          <cell r="A577" t="str">
            <v>SMA</v>
          </cell>
          <cell r="B577">
            <v>2</v>
          </cell>
          <cell r="C577" t="str">
            <v>DRAM</v>
          </cell>
          <cell r="D577">
            <v>26</v>
          </cell>
          <cell r="E577">
            <v>8</v>
          </cell>
          <cell r="F577" t="str">
            <v xml:space="preserve">B </v>
          </cell>
          <cell r="G577">
            <v>0</v>
          </cell>
          <cell r="H577">
            <v>6</v>
          </cell>
          <cell r="I577">
            <v>2786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58000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14500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58000</v>
          </cell>
          <cell r="AA577">
            <v>58000</v>
          </cell>
          <cell r="AB577" t="str">
            <v>ERSN</v>
          </cell>
          <cell r="AC577">
            <v>1101</v>
          </cell>
          <cell r="AD577">
            <v>2</v>
          </cell>
          <cell r="AE577">
            <v>2742</v>
          </cell>
        </row>
        <row r="578">
          <cell r="A578" t="str">
            <v>SMA</v>
          </cell>
          <cell r="B578">
            <v>2</v>
          </cell>
          <cell r="C578" t="str">
            <v>DRAM</v>
          </cell>
          <cell r="D578">
            <v>26</v>
          </cell>
          <cell r="E578">
            <v>90</v>
          </cell>
          <cell r="F578" t="str">
            <v>A3</v>
          </cell>
          <cell r="G578">
            <v>26</v>
          </cell>
          <cell r="H578">
            <v>1</v>
          </cell>
          <cell r="I578">
            <v>1008000</v>
          </cell>
          <cell r="J578">
            <v>0</v>
          </cell>
          <cell r="K578">
            <v>0</v>
          </cell>
          <cell r="L578">
            <v>2478</v>
          </cell>
          <cell r="M578">
            <v>0</v>
          </cell>
          <cell r="N578">
            <v>0</v>
          </cell>
          <cell r="O578">
            <v>2677248</v>
          </cell>
          <cell r="P578">
            <v>1932840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4610088</v>
          </cell>
          <cell r="AA578">
            <v>4610088</v>
          </cell>
          <cell r="AB578" t="str">
            <v>ERSN</v>
          </cell>
          <cell r="AC578">
            <v>1101</v>
          </cell>
          <cell r="AD578">
            <v>2</v>
          </cell>
          <cell r="AE578">
            <v>1008000</v>
          </cell>
        </row>
        <row r="579">
          <cell r="A579" t="str">
            <v>SMA</v>
          </cell>
          <cell r="B579">
            <v>2</v>
          </cell>
          <cell r="C579" t="str">
            <v>DRAM</v>
          </cell>
          <cell r="D579">
            <v>26</v>
          </cell>
          <cell r="E579">
            <v>90</v>
          </cell>
          <cell r="F579" t="str">
            <v>A4</v>
          </cell>
          <cell r="G579">
            <v>20</v>
          </cell>
          <cell r="H579">
            <v>3</v>
          </cell>
          <cell r="I579">
            <v>169100</v>
          </cell>
          <cell r="J579">
            <v>0</v>
          </cell>
          <cell r="K579">
            <v>0</v>
          </cell>
          <cell r="L579">
            <v>418</v>
          </cell>
          <cell r="M579">
            <v>0</v>
          </cell>
          <cell r="N579">
            <v>0</v>
          </cell>
          <cell r="O579">
            <v>449130</v>
          </cell>
          <cell r="P579">
            <v>359062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808192</v>
          </cell>
          <cell r="AA579">
            <v>808192</v>
          </cell>
          <cell r="AB579" t="str">
            <v>ERSN</v>
          </cell>
          <cell r="AC579">
            <v>1101</v>
          </cell>
          <cell r="AD579">
            <v>2</v>
          </cell>
          <cell r="AE579">
            <v>169100</v>
          </cell>
        </row>
        <row r="580">
          <cell r="A580" t="str">
            <v>SMA</v>
          </cell>
          <cell r="B580">
            <v>2</v>
          </cell>
          <cell r="C580" t="str">
            <v>DRAM</v>
          </cell>
          <cell r="D580">
            <v>27</v>
          </cell>
          <cell r="E580">
            <v>1</v>
          </cell>
          <cell r="F580" t="str">
            <v xml:space="preserve">B </v>
          </cell>
          <cell r="G580">
            <v>1</v>
          </cell>
          <cell r="H580">
            <v>3603</v>
          </cell>
          <cell r="I580">
            <v>75140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1211941</v>
          </cell>
          <cell r="P580">
            <v>0</v>
          </cell>
          <cell r="Q580">
            <v>0</v>
          </cell>
          <cell r="R580">
            <v>13413</v>
          </cell>
          <cell r="S580">
            <v>0</v>
          </cell>
          <cell r="T580">
            <v>68497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88227</v>
          </cell>
          <cell r="Z580">
            <v>1211941</v>
          </cell>
          <cell r="AA580">
            <v>1382078</v>
          </cell>
          <cell r="AB580" t="str">
            <v>SOPE</v>
          </cell>
          <cell r="AC580">
            <v>1101</v>
          </cell>
          <cell r="AD580">
            <v>2</v>
          </cell>
          <cell r="AE580">
            <v>58162</v>
          </cell>
        </row>
        <row r="581">
          <cell r="A581" t="str">
            <v>SMA</v>
          </cell>
          <cell r="B581">
            <v>2</v>
          </cell>
          <cell r="C581" t="str">
            <v>DRAM</v>
          </cell>
          <cell r="D581">
            <v>27</v>
          </cell>
          <cell r="E581">
            <v>1</v>
          </cell>
          <cell r="F581" t="str">
            <v xml:space="preserve">B </v>
          </cell>
          <cell r="G581">
            <v>2</v>
          </cell>
          <cell r="H581">
            <v>1114</v>
          </cell>
          <cell r="I581">
            <v>43978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852913</v>
          </cell>
          <cell r="P581">
            <v>0</v>
          </cell>
          <cell r="Q581">
            <v>0</v>
          </cell>
          <cell r="R581">
            <v>7475</v>
          </cell>
          <cell r="S581">
            <v>0</v>
          </cell>
          <cell r="T581">
            <v>11778</v>
          </cell>
          <cell r="U581">
            <v>144942</v>
          </cell>
          <cell r="V581">
            <v>0</v>
          </cell>
          <cell r="W581">
            <v>0</v>
          </cell>
          <cell r="X581">
            <v>0</v>
          </cell>
          <cell r="Y581">
            <v>38023</v>
          </cell>
          <cell r="Z581">
            <v>852913</v>
          </cell>
          <cell r="AA581">
            <v>910189</v>
          </cell>
          <cell r="AB581" t="str">
            <v>SOPE</v>
          </cell>
          <cell r="AC581">
            <v>1101</v>
          </cell>
          <cell r="AD581">
            <v>2</v>
          </cell>
          <cell r="AE581">
            <v>43978</v>
          </cell>
        </row>
        <row r="582">
          <cell r="A582" t="str">
            <v>SMA</v>
          </cell>
          <cell r="B582">
            <v>2</v>
          </cell>
          <cell r="C582" t="str">
            <v>DRAM</v>
          </cell>
          <cell r="D582">
            <v>27</v>
          </cell>
          <cell r="E582">
            <v>1</v>
          </cell>
          <cell r="F582" t="str">
            <v xml:space="preserve">B </v>
          </cell>
          <cell r="G582">
            <v>3</v>
          </cell>
          <cell r="H582">
            <v>1151</v>
          </cell>
          <cell r="I582">
            <v>77240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1498400</v>
          </cell>
          <cell r="P582">
            <v>0</v>
          </cell>
          <cell r="Q582">
            <v>0</v>
          </cell>
          <cell r="R582">
            <v>16592</v>
          </cell>
          <cell r="S582">
            <v>0</v>
          </cell>
          <cell r="T582">
            <v>13197</v>
          </cell>
          <cell r="U582">
            <v>254744</v>
          </cell>
          <cell r="V582">
            <v>0</v>
          </cell>
          <cell r="W582">
            <v>0</v>
          </cell>
          <cell r="X582">
            <v>0</v>
          </cell>
          <cell r="Y582">
            <v>76936</v>
          </cell>
          <cell r="Z582">
            <v>1498400</v>
          </cell>
          <cell r="AA582">
            <v>1605125</v>
          </cell>
          <cell r="AB582" t="str">
            <v>SOPE</v>
          </cell>
          <cell r="AC582">
            <v>1101</v>
          </cell>
          <cell r="AD582">
            <v>2</v>
          </cell>
          <cell r="AE582">
            <v>76990</v>
          </cell>
        </row>
        <row r="583">
          <cell r="A583" t="str">
            <v>SMA</v>
          </cell>
          <cell r="B583">
            <v>2</v>
          </cell>
          <cell r="C583" t="str">
            <v>DRAM</v>
          </cell>
          <cell r="D583">
            <v>27</v>
          </cell>
          <cell r="E583">
            <v>1</v>
          </cell>
          <cell r="F583" t="str">
            <v xml:space="preserve">B </v>
          </cell>
          <cell r="G583">
            <v>4</v>
          </cell>
          <cell r="H583">
            <v>104</v>
          </cell>
          <cell r="I583">
            <v>12521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242518</v>
          </cell>
          <cell r="P583">
            <v>0</v>
          </cell>
          <cell r="Q583">
            <v>0</v>
          </cell>
          <cell r="R583">
            <v>2745</v>
          </cell>
          <cell r="S583">
            <v>0</v>
          </cell>
          <cell r="T583">
            <v>976</v>
          </cell>
          <cell r="U583">
            <v>41228</v>
          </cell>
          <cell r="V583">
            <v>0</v>
          </cell>
          <cell r="W583">
            <v>0</v>
          </cell>
          <cell r="X583">
            <v>0</v>
          </cell>
          <cell r="Y583">
            <v>12843</v>
          </cell>
          <cell r="Z583">
            <v>242518</v>
          </cell>
          <cell r="AA583">
            <v>259082</v>
          </cell>
          <cell r="AB583" t="str">
            <v>SOPE</v>
          </cell>
          <cell r="AC583">
            <v>1101</v>
          </cell>
          <cell r="AD583">
            <v>2</v>
          </cell>
          <cell r="AE583">
            <v>12521</v>
          </cell>
        </row>
        <row r="584">
          <cell r="A584" t="str">
            <v>SMA</v>
          </cell>
          <cell r="B584">
            <v>2</v>
          </cell>
          <cell r="C584" t="str">
            <v>DRAM</v>
          </cell>
          <cell r="D584">
            <v>27</v>
          </cell>
          <cell r="E584">
            <v>1</v>
          </cell>
          <cell r="F584" t="str">
            <v xml:space="preserve">B </v>
          </cell>
          <cell r="G584">
            <v>5</v>
          </cell>
          <cell r="H584">
            <v>24</v>
          </cell>
          <cell r="I584">
            <v>3966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76920</v>
          </cell>
          <cell r="P584">
            <v>0</v>
          </cell>
          <cell r="Q584">
            <v>0</v>
          </cell>
          <cell r="R584">
            <v>4201</v>
          </cell>
          <cell r="S584">
            <v>0</v>
          </cell>
          <cell r="T584">
            <v>2823</v>
          </cell>
          <cell r="U584">
            <v>13078</v>
          </cell>
          <cell r="V584">
            <v>0</v>
          </cell>
          <cell r="W584">
            <v>0</v>
          </cell>
          <cell r="X584">
            <v>0</v>
          </cell>
          <cell r="Y584">
            <v>5072</v>
          </cell>
          <cell r="Z584">
            <v>76920</v>
          </cell>
          <cell r="AA584">
            <v>89016</v>
          </cell>
          <cell r="AB584" t="str">
            <v>SOPE</v>
          </cell>
          <cell r="AC584">
            <v>1101</v>
          </cell>
          <cell r="AD584">
            <v>2</v>
          </cell>
          <cell r="AE584">
            <v>3966</v>
          </cell>
        </row>
        <row r="585">
          <cell r="A585" t="str">
            <v>SMA</v>
          </cell>
          <cell r="B585">
            <v>2</v>
          </cell>
          <cell r="C585" t="str">
            <v>DRAM</v>
          </cell>
          <cell r="D585">
            <v>27</v>
          </cell>
          <cell r="E585">
            <v>1</v>
          </cell>
          <cell r="F585" t="str">
            <v xml:space="preserve">B </v>
          </cell>
          <cell r="G585">
            <v>6</v>
          </cell>
          <cell r="H585">
            <v>17</v>
          </cell>
          <cell r="I585">
            <v>4095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79428</v>
          </cell>
          <cell r="P585">
            <v>0</v>
          </cell>
          <cell r="Q585">
            <v>0</v>
          </cell>
          <cell r="R585">
            <v>2011</v>
          </cell>
          <cell r="S585">
            <v>0</v>
          </cell>
          <cell r="T585">
            <v>3853</v>
          </cell>
          <cell r="U585">
            <v>13509</v>
          </cell>
          <cell r="V585">
            <v>188</v>
          </cell>
          <cell r="W585">
            <v>0</v>
          </cell>
          <cell r="X585">
            <v>0</v>
          </cell>
          <cell r="Y585">
            <v>2442</v>
          </cell>
          <cell r="Z585">
            <v>79428</v>
          </cell>
          <cell r="AA585">
            <v>87922</v>
          </cell>
          <cell r="AB585" t="str">
            <v>SOPE</v>
          </cell>
          <cell r="AC585">
            <v>1101</v>
          </cell>
          <cell r="AD585">
            <v>2</v>
          </cell>
          <cell r="AE585">
            <v>4095</v>
          </cell>
        </row>
        <row r="586">
          <cell r="A586" t="str">
            <v>SMA</v>
          </cell>
          <cell r="B586">
            <v>2</v>
          </cell>
          <cell r="C586" t="str">
            <v>DRAM</v>
          </cell>
          <cell r="D586">
            <v>27</v>
          </cell>
          <cell r="E586">
            <v>1</v>
          </cell>
          <cell r="F586" t="str">
            <v xml:space="preserve">B </v>
          </cell>
          <cell r="G586">
            <v>7</v>
          </cell>
          <cell r="H586">
            <v>4</v>
          </cell>
          <cell r="I586">
            <v>1097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23064</v>
          </cell>
          <cell r="P586">
            <v>0</v>
          </cell>
          <cell r="Q586">
            <v>0</v>
          </cell>
          <cell r="R586">
            <v>20</v>
          </cell>
          <cell r="S586">
            <v>0</v>
          </cell>
          <cell r="T586">
            <v>0</v>
          </cell>
          <cell r="U586">
            <v>4615</v>
          </cell>
          <cell r="V586">
            <v>0</v>
          </cell>
          <cell r="W586">
            <v>0</v>
          </cell>
          <cell r="X586">
            <v>0</v>
          </cell>
          <cell r="Y586">
            <v>155</v>
          </cell>
          <cell r="Z586">
            <v>23064</v>
          </cell>
          <cell r="AA586">
            <v>23239</v>
          </cell>
          <cell r="AB586" t="str">
            <v>SOPE</v>
          </cell>
          <cell r="AC586">
            <v>1101</v>
          </cell>
          <cell r="AD586">
            <v>2</v>
          </cell>
          <cell r="AE586">
            <v>1097</v>
          </cell>
        </row>
        <row r="587">
          <cell r="A587" t="str">
            <v>SMA</v>
          </cell>
          <cell r="B587">
            <v>2</v>
          </cell>
          <cell r="C587" t="str">
            <v>DRAM</v>
          </cell>
          <cell r="D587">
            <v>27</v>
          </cell>
          <cell r="E587">
            <v>1</v>
          </cell>
          <cell r="F587" t="str">
            <v xml:space="preserve">B </v>
          </cell>
          <cell r="G587">
            <v>8</v>
          </cell>
          <cell r="H587">
            <v>3</v>
          </cell>
          <cell r="I587">
            <v>1372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27609</v>
          </cell>
          <cell r="P587">
            <v>0</v>
          </cell>
          <cell r="Q587">
            <v>0</v>
          </cell>
          <cell r="R587">
            <v>16</v>
          </cell>
          <cell r="S587">
            <v>0</v>
          </cell>
          <cell r="T587">
            <v>0</v>
          </cell>
          <cell r="U587">
            <v>5523</v>
          </cell>
          <cell r="V587">
            <v>0</v>
          </cell>
          <cell r="W587">
            <v>0</v>
          </cell>
          <cell r="X587">
            <v>0</v>
          </cell>
          <cell r="Y587">
            <v>1500</v>
          </cell>
          <cell r="Z587">
            <v>27609</v>
          </cell>
          <cell r="AA587">
            <v>29125</v>
          </cell>
          <cell r="AB587" t="str">
            <v>SOPE</v>
          </cell>
          <cell r="AC587">
            <v>1101</v>
          </cell>
          <cell r="AD587">
            <v>2</v>
          </cell>
          <cell r="AE587">
            <v>1372</v>
          </cell>
        </row>
        <row r="588">
          <cell r="A588" t="str">
            <v>SMA</v>
          </cell>
          <cell r="B588">
            <v>2</v>
          </cell>
          <cell r="C588" t="str">
            <v>DRAM</v>
          </cell>
          <cell r="D588">
            <v>27</v>
          </cell>
          <cell r="E588">
            <v>1</v>
          </cell>
          <cell r="F588" t="str">
            <v xml:space="preserve">B </v>
          </cell>
          <cell r="G588">
            <v>9</v>
          </cell>
          <cell r="H588">
            <v>3</v>
          </cell>
          <cell r="I588">
            <v>1850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39707</v>
          </cell>
          <cell r="P588">
            <v>0</v>
          </cell>
          <cell r="Q588">
            <v>0</v>
          </cell>
          <cell r="R588">
            <v>-5094</v>
          </cell>
          <cell r="S588">
            <v>0</v>
          </cell>
          <cell r="T588">
            <v>0</v>
          </cell>
          <cell r="U588">
            <v>9929</v>
          </cell>
          <cell r="V588">
            <v>0</v>
          </cell>
          <cell r="W588">
            <v>0</v>
          </cell>
          <cell r="X588">
            <v>0</v>
          </cell>
          <cell r="Y588">
            <v>4222</v>
          </cell>
          <cell r="Z588">
            <v>39707</v>
          </cell>
          <cell r="AA588">
            <v>38835</v>
          </cell>
          <cell r="AB588" t="str">
            <v>SOPE</v>
          </cell>
          <cell r="AC588">
            <v>1101</v>
          </cell>
          <cell r="AD588">
            <v>2</v>
          </cell>
          <cell r="AE588">
            <v>1850</v>
          </cell>
        </row>
        <row r="589">
          <cell r="A589" t="str">
            <v>SMA</v>
          </cell>
          <cell r="B589">
            <v>2</v>
          </cell>
          <cell r="C589" t="str">
            <v>DRAM</v>
          </cell>
          <cell r="D589">
            <v>27</v>
          </cell>
          <cell r="E589">
            <v>1</v>
          </cell>
          <cell r="F589" t="str">
            <v xml:space="preserve">B </v>
          </cell>
          <cell r="G589">
            <v>10</v>
          </cell>
          <cell r="H589">
            <v>2</v>
          </cell>
          <cell r="I589">
            <v>-14213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-305016</v>
          </cell>
          <cell r="P589">
            <v>0</v>
          </cell>
          <cell r="Q589">
            <v>0</v>
          </cell>
          <cell r="R589">
            <v>-32125</v>
          </cell>
          <cell r="S589">
            <v>0</v>
          </cell>
          <cell r="T589">
            <v>0</v>
          </cell>
          <cell r="U589">
            <v>-76254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-305016</v>
          </cell>
          <cell r="AA589">
            <v>-337141</v>
          </cell>
          <cell r="AB589" t="str">
            <v>SOPE</v>
          </cell>
          <cell r="AC589">
            <v>1101</v>
          </cell>
          <cell r="AD589">
            <v>2</v>
          </cell>
          <cell r="AE589">
            <v>-14213</v>
          </cell>
        </row>
        <row r="590">
          <cell r="A590" t="str">
            <v>SMA</v>
          </cell>
          <cell r="B590">
            <v>2</v>
          </cell>
          <cell r="C590" t="str">
            <v>DRAM</v>
          </cell>
          <cell r="D590">
            <v>27</v>
          </cell>
          <cell r="E590">
            <v>1</v>
          </cell>
          <cell r="F590" t="str">
            <v xml:space="preserve">B </v>
          </cell>
          <cell r="G590">
            <v>11</v>
          </cell>
          <cell r="H590">
            <v>354</v>
          </cell>
          <cell r="I590">
            <v>8528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48044</v>
          </cell>
          <cell r="P590">
            <v>0</v>
          </cell>
          <cell r="Q590">
            <v>0</v>
          </cell>
          <cell r="R590">
            <v>369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10524</v>
          </cell>
          <cell r="Z590">
            <v>48044</v>
          </cell>
          <cell r="AA590">
            <v>58937</v>
          </cell>
          <cell r="AB590" t="str">
            <v>SOPE</v>
          </cell>
          <cell r="AC590">
            <v>1101</v>
          </cell>
          <cell r="AD590">
            <v>2</v>
          </cell>
          <cell r="AE590">
            <v>4839</v>
          </cell>
        </row>
        <row r="591">
          <cell r="A591" t="str">
            <v>SMA</v>
          </cell>
          <cell r="B591">
            <v>2</v>
          </cell>
          <cell r="C591" t="str">
            <v>DRAM</v>
          </cell>
          <cell r="D591">
            <v>27</v>
          </cell>
          <cell r="E591">
            <v>1</v>
          </cell>
          <cell r="F591" t="str">
            <v xml:space="preserve">B </v>
          </cell>
          <cell r="G591">
            <v>12</v>
          </cell>
          <cell r="H591">
            <v>90</v>
          </cell>
          <cell r="I591">
            <v>4544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39790</v>
          </cell>
          <cell r="P591">
            <v>0</v>
          </cell>
          <cell r="Q591">
            <v>0</v>
          </cell>
          <cell r="R591">
            <v>496</v>
          </cell>
          <cell r="S591">
            <v>0</v>
          </cell>
          <cell r="T591">
            <v>3697</v>
          </cell>
          <cell r="U591">
            <v>6765</v>
          </cell>
          <cell r="V591">
            <v>0</v>
          </cell>
          <cell r="W591">
            <v>0</v>
          </cell>
          <cell r="X591">
            <v>0</v>
          </cell>
          <cell r="Y591">
            <v>5695</v>
          </cell>
          <cell r="Z591">
            <v>39790</v>
          </cell>
          <cell r="AA591">
            <v>49678</v>
          </cell>
          <cell r="AB591" t="str">
            <v>SOPE</v>
          </cell>
          <cell r="AC591">
            <v>1101</v>
          </cell>
          <cell r="AD591">
            <v>2</v>
          </cell>
          <cell r="AE591">
            <v>4544</v>
          </cell>
        </row>
        <row r="592">
          <cell r="A592" t="str">
            <v>SMA</v>
          </cell>
          <cell r="B592">
            <v>2</v>
          </cell>
          <cell r="C592" t="str">
            <v>DRAM</v>
          </cell>
          <cell r="D592">
            <v>27</v>
          </cell>
          <cell r="E592">
            <v>1</v>
          </cell>
          <cell r="F592" t="str">
            <v xml:space="preserve">B </v>
          </cell>
          <cell r="G592">
            <v>13</v>
          </cell>
          <cell r="H592">
            <v>2</v>
          </cell>
          <cell r="I592">
            <v>217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2333</v>
          </cell>
          <cell r="P592">
            <v>0</v>
          </cell>
          <cell r="Q592">
            <v>0</v>
          </cell>
          <cell r="R592">
            <v>18</v>
          </cell>
          <cell r="S592">
            <v>0</v>
          </cell>
          <cell r="T592">
            <v>0</v>
          </cell>
          <cell r="U592">
            <v>397</v>
          </cell>
          <cell r="V592">
            <v>0</v>
          </cell>
          <cell r="W592">
            <v>0</v>
          </cell>
          <cell r="X592">
            <v>0</v>
          </cell>
          <cell r="Y592">
            <v>420</v>
          </cell>
          <cell r="Z592">
            <v>2333</v>
          </cell>
          <cell r="AA592">
            <v>2771</v>
          </cell>
          <cell r="AB592" t="str">
            <v>SOPE</v>
          </cell>
          <cell r="AC592">
            <v>1101</v>
          </cell>
          <cell r="AD592">
            <v>2</v>
          </cell>
          <cell r="AE592">
            <v>217</v>
          </cell>
        </row>
        <row r="593">
          <cell r="A593" t="str">
            <v>SMA</v>
          </cell>
          <cell r="B593">
            <v>2</v>
          </cell>
          <cell r="C593" t="str">
            <v>DRAM</v>
          </cell>
          <cell r="D593">
            <v>27</v>
          </cell>
          <cell r="E593">
            <v>1</v>
          </cell>
          <cell r="F593" t="str">
            <v xml:space="preserve">B </v>
          </cell>
          <cell r="G593">
            <v>14</v>
          </cell>
          <cell r="H593">
            <v>2</v>
          </cell>
          <cell r="I593">
            <v>300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3820</v>
          </cell>
          <cell r="P593">
            <v>0</v>
          </cell>
          <cell r="Q593">
            <v>0</v>
          </cell>
          <cell r="R593">
            <v>25</v>
          </cell>
          <cell r="S593">
            <v>0</v>
          </cell>
          <cell r="T593">
            <v>0</v>
          </cell>
          <cell r="U593">
            <v>650</v>
          </cell>
          <cell r="V593">
            <v>0</v>
          </cell>
          <cell r="W593">
            <v>0</v>
          </cell>
          <cell r="X593">
            <v>0</v>
          </cell>
          <cell r="Y593">
            <v>220</v>
          </cell>
          <cell r="Z593">
            <v>3820</v>
          </cell>
          <cell r="AA593">
            <v>4065</v>
          </cell>
          <cell r="AB593" t="str">
            <v>SOPE</v>
          </cell>
          <cell r="AC593">
            <v>1101</v>
          </cell>
          <cell r="AD593">
            <v>2</v>
          </cell>
          <cell r="AE593">
            <v>300</v>
          </cell>
        </row>
        <row r="594">
          <cell r="A594" t="str">
            <v>SMA</v>
          </cell>
          <cell r="B594">
            <v>2</v>
          </cell>
          <cell r="C594" t="str">
            <v>DRAM</v>
          </cell>
          <cell r="D594">
            <v>27</v>
          </cell>
          <cell r="E594">
            <v>2</v>
          </cell>
          <cell r="F594" t="str">
            <v xml:space="preserve">B </v>
          </cell>
          <cell r="G594">
            <v>0</v>
          </cell>
          <cell r="H594">
            <v>69</v>
          </cell>
          <cell r="I594">
            <v>32504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676662</v>
          </cell>
          <cell r="P594">
            <v>0</v>
          </cell>
          <cell r="Q594">
            <v>0</v>
          </cell>
          <cell r="R594">
            <v>2721</v>
          </cell>
          <cell r="S594">
            <v>0</v>
          </cell>
          <cell r="T594">
            <v>32138</v>
          </cell>
          <cell r="U594">
            <v>168763</v>
          </cell>
          <cell r="V594">
            <v>566</v>
          </cell>
          <cell r="W594">
            <v>0</v>
          </cell>
          <cell r="X594">
            <v>0</v>
          </cell>
          <cell r="Y594">
            <v>5008</v>
          </cell>
          <cell r="Z594">
            <v>676662</v>
          </cell>
          <cell r="AA594">
            <v>717095</v>
          </cell>
          <cell r="AB594" t="str">
            <v>SOPE</v>
          </cell>
          <cell r="AC594">
            <v>1101</v>
          </cell>
          <cell r="AD594">
            <v>2</v>
          </cell>
          <cell r="AE594">
            <v>31619</v>
          </cell>
        </row>
        <row r="595">
          <cell r="A595" t="str">
            <v>SMA</v>
          </cell>
          <cell r="B595">
            <v>2</v>
          </cell>
          <cell r="C595" t="str">
            <v>DRAM</v>
          </cell>
          <cell r="D595">
            <v>27</v>
          </cell>
          <cell r="E595">
            <v>3</v>
          </cell>
          <cell r="F595" t="str">
            <v xml:space="preserve">B </v>
          </cell>
          <cell r="G595">
            <v>0</v>
          </cell>
          <cell r="H595">
            <v>283</v>
          </cell>
          <cell r="I595">
            <v>31616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658118</v>
          </cell>
          <cell r="P595">
            <v>0</v>
          </cell>
          <cell r="Q595">
            <v>0</v>
          </cell>
          <cell r="R595">
            <v>16299</v>
          </cell>
          <cell r="S595">
            <v>0</v>
          </cell>
          <cell r="T595">
            <v>83958</v>
          </cell>
          <cell r="U595">
            <v>163116</v>
          </cell>
          <cell r="V595">
            <v>2261</v>
          </cell>
          <cell r="W595">
            <v>0</v>
          </cell>
          <cell r="X595">
            <v>0</v>
          </cell>
          <cell r="Y595">
            <v>37744</v>
          </cell>
          <cell r="Z595">
            <v>658118</v>
          </cell>
          <cell r="AA595">
            <v>798380</v>
          </cell>
          <cell r="AB595" t="str">
            <v>SOPE</v>
          </cell>
          <cell r="AC595">
            <v>1101</v>
          </cell>
          <cell r="AD595">
            <v>2</v>
          </cell>
          <cell r="AE595">
            <v>28543</v>
          </cell>
        </row>
        <row r="596">
          <cell r="A596" t="str">
            <v>SMA</v>
          </cell>
          <cell r="B596">
            <v>2</v>
          </cell>
          <cell r="C596" t="str">
            <v>DRAM</v>
          </cell>
          <cell r="D596">
            <v>27</v>
          </cell>
          <cell r="E596">
            <v>4</v>
          </cell>
          <cell r="F596" t="str">
            <v xml:space="preserve">B </v>
          </cell>
          <cell r="G596">
            <v>0</v>
          </cell>
          <cell r="H596">
            <v>26568</v>
          </cell>
          <cell r="I596">
            <v>1561003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15161962</v>
          </cell>
          <cell r="P596">
            <v>0</v>
          </cell>
          <cell r="Q596">
            <v>0</v>
          </cell>
          <cell r="R596">
            <v>56</v>
          </cell>
          <cell r="S596">
            <v>0</v>
          </cell>
          <cell r="T596">
            <v>626172</v>
          </cell>
          <cell r="U596">
            <v>0</v>
          </cell>
          <cell r="V596">
            <v>509364</v>
          </cell>
          <cell r="W596">
            <v>0</v>
          </cell>
          <cell r="X596">
            <v>0</v>
          </cell>
          <cell r="Y596">
            <v>0</v>
          </cell>
          <cell r="Z596">
            <v>15161962</v>
          </cell>
          <cell r="AA596">
            <v>16297554</v>
          </cell>
          <cell r="AB596" t="str">
            <v>SOPE</v>
          </cell>
          <cell r="AC596">
            <v>1101</v>
          </cell>
          <cell r="AD596">
            <v>2</v>
          </cell>
          <cell r="AE596">
            <v>1336996</v>
          </cell>
        </row>
        <row r="597">
          <cell r="A597" t="str">
            <v>SMA</v>
          </cell>
          <cell r="B597">
            <v>2</v>
          </cell>
          <cell r="C597" t="str">
            <v>DRAM</v>
          </cell>
          <cell r="D597">
            <v>27</v>
          </cell>
          <cell r="E597">
            <v>5</v>
          </cell>
          <cell r="F597" t="str">
            <v xml:space="preserve">B </v>
          </cell>
          <cell r="G597">
            <v>0</v>
          </cell>
          <cell r="H597">
            <v>1</v>
          </cell>
          <cell r="I597">
            <v>30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624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295</v>
          </cell>
          <cell r="U597">
            <v>156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624</v>
          </cell>
          <cell r="AA597">
            <v>919</v>
          </cell>
          <cell r="AB597" t="str">
            <v>SOPE</v>
          </cell>
          <cell r="AC597">
            <v>1101</v>
          </cell>
          <cell r="AD597">
            <v>2</v>
          </cell>
          <cell r="AE597">
            <v>12</v>
          </cell>
        </row>
        <row r="598">
          <cell r="A598" t="str">
            <v>SSE</v>
          </cell>
          <cell r="B598">
            <v>3</v>
          </cell>
          <cell r="C598" t="str">
            <v>DRAS</v>
          </cell>
          <cell r="D598">
            <v>31</v>
          </cell>
          <cell r="E598">
            <v>1</v>
          </cell>
          <cell r="F598" t="str">
            <v xml:space="preserve">B </v>
          </cell>
          <cell r="G598">
            <v>1</v>
          </cell>
          <cell r="H598">
            <v>5499</v>
          </cell>
          <cell r="I598">
            <v>122360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1978929</v>
          </cell>
          <cell r="P598">
            <v>0</v>
          </cell>
          <cell r="Q598">
            <v>0</v>
          </cell>
          <cell r="R598">
            <v>35265</v>
          </cell>
          <cell r="S598">
            <v>0</v>
          </cell>
          <cell r="T598">
            <v>620863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12180</v>
          </cell>
          <cell r="Z598">
            <v>1978929</v>
          </cell>
          <cell r="AA598">
            <v>2647237</v>
          </cell>
          <cell r="AB598" t="str">
            <v>ERPT</v>
          </cell>
          <cell r="AC598">
            <v>1101</v>
          </cell>
          <cell r="AD598">
            <v>2</v>
          </cell>
          <cell r="AE598">
            <v>84291</v>
          </cell>
        </row>
        <row r="599">
          <cell r="A599" t="str">
            <v>SSE</v>
          </cell>
          <cell r="B599">
            <v>3</v>
          </cell>
          <cell r="C599" t="str">
            <v>DRAS</v>
          </cell>
          <cell r="D599">
            <v>31</v>
          </cell>
          <cell r="E599">
            <v>1</v>
          </cell>
          <cell r="F599" t="str">
            <v xml:space="preserve">B </v>
          </cell>
          <cell r="G599">
            <v>2</v>
          </cell>
          <cell r="H599">
            <v>3657</v>
          </cell>
          <cell r="I599">
            <v>148977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2888850</v>
          </cell>
          <cell r="P599">
            <v>0</v>
          </cell>
          <cell r="Q599">
            <v>0</v>
          </cell>
          <cell r="R599">
            <v>32740</v>
          </cell>
          <cell r="S599">
            <v>0</v>
          </cell>
          <cell r="T599">
            <v>178530</v>
          </cell>
          <cell r="U599">
            <v>490939</v>
          </cell>
          <cell r="V599">
            <v>94</v>
          </cell>
          <cell r="W599">
            <v>0</v>
          </cell>
          <cell r="X599">
            <v>0</v>
          </cell>
          <cell r="Y599">
            <v>20902</v>
          </cell>
          <cell r="Z599">
            <v>2888850</v>
          </cell>
          <cell r="AA599">
            <v>3121116</v>
          </cell>
          <cell r="AB599" t="str">
            <v>ERPT</v>
          </cell>
          <cell r="AC599">
            <v>1101</v>
          </cell>
          <cell r="AD599">
            <v>2</v>
          </cell>
          <cell r="AE599">
            <v>148827</v>
          </cell>
        </row>
        <row r="600">
          <cell r="A600" t="str">
            <v>SSE</v>
          </cell>
          <cell r="B600">
            <v>3</v>
          </cell>
          <cell r="C600" t="str">
            <v>DRAS</v>
          </cell>
          <cell r="D600">
            <v>31</v>
          </cell>
          <cell r="E600">
            <v>1</v>
          </cell>
          <cell r="F600" t="str">
            <v xml:space="preserve">B </v>
          </cell>
          <cell r="G600">
            <v>3</v>
          </cell>
          <cell r="H600">
            <v>15027</v>
          </cell>
          <cell r="I600">
            <v>1160903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22513518</v>
          </cell>
          <cell r="P600">
            <v>0</v>
          </cell>
          <cell r="Q600">
            <v>0</v>
          </cell>
          <cell r="R600">
            <v>197717</v>
          </cell>
          <cell r="S600">
            <v>0</v>
          </cell>
          <cell r="T600">
            <v>603775</v>
          </cell>
          <cell r="U600">
            <v>3827215</v>
          </cell>
          <cell r="V600">
            <v>0</v>
          </cell>
          <cell r="W600">
            <v>0</v>
          </cell>
          <cell r="X600">
            <v>0</v>
          </cell>
          <cell r="Y600">
            <v>184078</v>
          </cell>
          <cell r="Z600">
            <v>22513518</v>
          </cell>
          <cell r="AA600">
            <v>23499088</v>
          </cell>
          <cell r="AB600" t="str">
            <v>ERPT</v>
          </cell>
          <cell r="AC600">
            <v>1101</v>
          </cell>
          <cell r="AD600">
            <v>2</v>
          </cell>
          <cell r="AE600">
            <v>1156401</v>
          </cell>
        </row>
        <row r="601">
          <cell r="A601" t="str">
            <v>SSE</v>
          </cell>
          <cell r="B601">
            <v>3</v>
          </cell>
          <cell r="C601" t="str">
            <v>DRAS</v>
          </cell>
          <cell r="D601">
            <v>31</v>
          </cell>
          <cell r="E601">
            <v>1</v>
          </cell>
          <cell r="F601" t="str">
            <v xml:space="preserve">B </v>
          </cell>
          <cell r="G601">
            <v>4</v>
          </cell>
          <cell r="H601">
            <v>9196</v>
          </cell>
          <cell r="I601">
            <v>1115641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21639074</v>
          </cell>
          <cell r="P601">
            <v>0</v>
          </cell>
          <cell r="Q601">
            <v>0</v>
          </cell>
          <cell r="R601">
            <v>233725</v>
          </cell>
          <cell r="S601">
            <v>0</v>
          </cell>
          <cell r="T601">
            <v>503914</v>
          </cell>
          <cell r="U601">
            <v>3678681</v>
          </cell>
          <cell r="V601">
            <v>0</v>
          </cell>
          <cell r="W601">
            <v>0</v>
          </cell>
          <cell r="X601">
            <v>0</v>
          </cell>
          <cell r="Y601">
            <v>182693</v>
          </cell>
          <cell r="Z601">
            <v>21639074</v>
          </cell>
          <cell r="AA601">
            <v>22559406</v>
          </cell>
          <cell r="AB601" t="str">
            <v>ERPT</v>
          </cell>
          <cell r="AC601">
            <v>1101</v>
          </cell>
          <cell r="AD601">
            <v>2</v>
          </cell>
          <cell r="AE601">
            <v>1115641</v>
          </cell>
        </row>
        <row r="602">
          <cell r="A602" t="str">
            <v>SSE</v>
          </cell>
          <cell r="B602">
            <v>3</v>
          </cell>
          <cell r="C602" t="str">
            <v>DRAS</v>
          </cell>
          <cell r="D602">
            <v>31</v>
          </cell>
          <cell r="E602">
            <v>1</v>
          </cell>
          <cell r="F602" t="str">
            <v xml:space="preserve">B </v>
          </cell>
          <cell r="G602">
            <v>5</v>
          </cell>
          <cell r="H602">
            <v>3747</v>
          </cell>
          <cell r="I602">
            <v>645131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12512146</v>
          </cell>
          <cell r="P602">
            <v>0</v>
          </cell>
          <cell r="Q602">
            <v>0</v>
          </cell>
          <cell r="R602">
            <v>140432</v>
          </cell>
          <cell r="S602">
            <v>0</v>
          </cell>
          <cell r="T602">
            <v>293222</v>
          </cell>
          <cell r="U602">
            <v>2127147</v>
          </cell>
          <cell r="V602">
            <v>0</v>
          </cell>
          <cell r="W602">
            <v>0</v>
          </cell>
          <cell r="X602">
            <v>0</v>
          </cell>
          <cell r="Y602">
            <v>126827</v>
          </cell>
          <cell r="Z602">
            <v>12512146</v>
          </cell>
          <cell r="AA602">
            <v>13072627</v>
          </cell>
          <cell r="AB602" t="str">
            <v>ERPT</v>
          </cell>
          <cell r="AC602">
            <v>1101</v>
          </cell>
          <cell r="AD602">
            <v>2</v>
          </cell>
          <cell r="AE602">
            <v>645131</v>
          </cell>
        </row>
        <row r="603">
          <cell r="A603" t="str">
            <v>SSE</v>
          </cell>
          <cell r="B603">
            <v>3</v>
          </cell>
          <cell r="C603" t="str">
            <v>DRAS</v>
          </cell>
          <cell r="D603">
            <v>31</v>
          </cell>
          <cell r="E603">
            <v>1</v>
          </cell>
          <cell r="F603" t="str">
            <v xml:space="preserve">B </v>
          </cell>
          <cell r="G603">
            <v>6</v>
          </cell>
          <cell r="H603">
            <v>2972</v>
          </cell>
          <cell r="I603">
            <v>713572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13842959</v>
          </cell>
          <cell r="P603">
            <v>0</v>
          </cell>
          <cell r="Q603">
            <v>0</v>
          </cell>
          <cell r="R603">
            <v>144774</v>
          </cell>
          <cell r="S603">
            <v>0</v>
          </cell>
          <cell r="T603">
            <v>286465</v>
          </cell>
          <cell r="U603">
            <v>2354081</v>
          </cell>
          <cell r="V603">
            <v>0</v>
          </cell>
          <cell r="W603">
            <v>0</v>
          </cell>
          <cell r="X603">
            <v>0</v>
          </cell>
          <cell r="Y603">
            <v>63214</v>
          </cell>
          <cell r="Z603">
            <v>13842959</v>
          </cell>
          <cell r="AA603">
            <v>14337412</v>
          </cell>
          <cell r="AB603" t="str">
            <v>ERPT</v>
          </cell>
          <cell r="AC603">
            <v>1101</v>
          </cell>
          <cell r="AD603">
            <v>2</v>
          </cell>
          <cell r="AE603">
            <v>713572</v>
          </cell>
        </row>
        <row r="604">
          <cell r="A604" t="str">
            <v>SSE</v>
          </cell>
          <cell r="B604">
            <v>3</v>
          </cell>
          <cell r="C604" t="str">
            <v>DRAS</v>
          </cell>
          <cell r="D604">
            <v>31</v>
          </cell>
          <cell r="E604">
            <v>1</v>
          </cell>
          <cell r="F604" t="str">
            <v xml:space="preserve">B </v>
          </cell>
          <cell r="G604">
            <v>7</v>
          </cell>
          <cell r="H604">
            <v>1176</v>
          </cell>
          <cell r="I604">
            <v>403870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8128014</v>
          </cell>
          <cell r="P604">
            <v>0</v>
          </cell>
          <cell r="Q604">
            <v>0</v>
          </cell>
          <cell r="R604">
            <v>72700</v>
          </cell>
          <cell r="S604">
            <v>0</v>
          </cell>
          <cell r="T604">
            <v>113707</v>
          </cell>
          <cell r="U604">
            <v>1626127</v>
          </cell>
          <cell r="V604">
            <v>0</v>
          </cell>
          <cell r="W604">
            <v>0</v>
          </cell>
          <cell r="X604">
            <v>0</v>
          </cell>
          <cell r="Y604">
            <v>24912</v>
          </cell>
          <cell r="Z604">
            <v>8128014</v>
          </cell>
          <cell r="AA604">
            <v>8339333</v>
          </cell>
          <cell r="AB604" t="str">
            <v>ERPT</v>
          </cell>
          <cell r="AC604">
            <v>1101</v>
          </cell>
          <cell r="AD604">
            <v>2</v>
          </cell>
          <cell r="AE604">
            <v>403870</v>
          </cell>
        </row>
        <row r="605">
          <cell r="A605" t="str">
            <v>SSE</v>
          </cell>
          <cell r="B605">
            <v>3</v>
          </cell>
          <cell r="C605" t="str">
            <v>DRAS</v>
          </cell>
          <cell r="D605">
            <v>31</v>
          </cell>
          <cell r="E605">
            <v>1</v>
          </cell>
          <cell r="F605" t="str">
            <v xml:space="preserve">B </v>
          </cell>
          <cell r="G605">
            <v>8</v>
          </cell>
          <cell r="H605">
            <v>647</v>
          </cell>
          <cell r="I605">
            <v>287564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5787272</v>
          </cell>
          <cell r="P605">
            <v>0</v>
          </cell>
          <cell r="Q605">
            <v>0</v>
          </cell>
          <cell r="R605">
            <v>48977</v>
          </cell>
          <cell r="S605">
            <v>0</v>
          </cell>
          <cell r="T605">
            <v>65411</v>
          </cell>
          <cell r="U605">
            <v>1157725</v>
          </cell>
          <cell r="V605">
            <v>0</v>
          </cell>
          <cell r="W605">
            <v>0</v>
          </cell>
          <cell r="X605">
            <v>0</v>
          </cell>
          <cell r="Y605">
            <v>5640</v>
          </cell>
          <cell r="Z605">
            <v>5787272</v>
          </cell>
          <cell r="AA605">
            <v>5907300</v>
          </cell>
          <cell r="AB605" t="str">
            <v>ERPT</v>
          </cell>
          <cell r="AC605">
            <v>1101</v>
          </cell>
          <cell r="AD605">
            <v>2</v>
          </cell>
          <cell r="AE605">
            <v>287564</v>
          </cell>
        </row>
        <row r="606">
          <cell r="A606" t="str">
            <v>SSE</v>
          </cell>
          <cell r="B606">
            <v>3</v>
          </cell>
          <cell r="C606" t="str">
            <v>DRAS</v>
          </cell>
          <cell r="D606">
            <v>31</v>
          </cell>
          <cell r="E606">
            <v>1</v>
          </cell>
          <cell r="F606" t="str">
            <v xml:space="preserve">B </v>
          </cell>
          <cell r="G606">
            <v>9</v>
          </cell>
          <cell r="H606">
            <v>693</v>
          </cell>
          <cell r="I606">
            <v>440601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9456858</v>
          </cell>
          <cell r="P606">
            <v>0</v>
          </cell>
          <cell r="Q606">
            <v>0</v>
          </cell>
          <cell r="R606">
            <v>81940</v>
          </cell>
          <cell r="S606">
            <v>0</v>
          </cell>
          <cell r="T606">
            <v>222827</v>
          </cell>
          <cell r="U606">
            <v>2364644</v>
          </cell>
          <cell r="V606">
            <v>0</v>
          </cell>
          <cell r="W606">
            <v>0</v>
          </cell>
          <cell r="X606">
            <v>0</v>
          </cell>
          <cell r="Y606">
            <v>14716</v>
          </cell>
          <cell r="Z606">
            <v>9456858</v>
          </cell>
          <cell r="AA606">
            <v>9776341</v>
          </cell>
          <cell r="AB606" t="str">
            <v>ERPT</v>
          </cell>
          <cell r="AC606">
            <v>1101</v>
          </cell>
          <cell r="AD606">
            <v>2</v>
          </cell>
          <cell r="AE606">
            <v>440601</v>
          </cell>
        </row>
        <row r="607">
          <cell r="A607" t="str">
            <v>SSE</v>
          </cell>
          <cell r="B607">
            <v>3</v>
          </cell>
          <cell r="C607" t="str">
            <v>DRAS</v>
          </cell>
          <cell r="D607">
            <v>31</v>
          </cell>
          <cell r="E607">
            <v>1</v>
          </cell>
          <cell r="F607" t="str">
            <v xml:space="preserve">B </v>
          </cell>
          <cell r="G607">
            <v>10</v>
          </cell>
          <cell r="H607">
            <v>101</v>
          </cell>
          <cell r="I607">
            <v>160817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3447950</v>
          </cell>
          <cell r="P607">
            <v>0</v>
          </cell>
          <cell r="Q607">
            <v>0</v>
          </cell>
          <cell r="R607">
            <v>80644</v>
          </cell>
          <cell r="S607">
            <v>0</v>
          </cell>
          <cell r="T607">
            <v>71113</v>
          </cell>
          <cell r="U607">
            <v>862049</v>
          </cell>
          <cell r="V607">
            <v>0</v>
          </cell>
          <cell r="W607">
            <v>0</v>
          </cell>
          <cell r="X607">
            <v>0</v>
          </cell>
          <cell r="Y607">
            <v>6300</v>
          </cell>
          <cell r="Z607">
            <v>3447950</v>
          </cell>
          <cell r="AA607">
            <v>3606007</v>
          </cell>
          <cell r="AB607" t="str">
            <v>ERPT</v>
          </cell>
          <cell r="AC607">
            <v>1101</v>
          </cell>
          <cell r="AD607">
            <v>2</v>
          </cell>
          <cell r="AE607">
            <v>160817</v>
          </cell>
        </row>
        <row r="608">
          <cell r="A608" t="str">
            <v>SSE</v>
          </cell>
          <cell r="B608">
            <v>3</v>
          </cell>
          <cell r="C608" t="str">
            <v>DRAS</v>
          </cell>
          <cell r="D608">
            <v>31</v>
          </cell>
          <cell r="E608">
            <v>1</v>
          </cell>
          <cell r="F608" t="str">
            <v xml:space="preserve">B </v>
          </cell>
          <cell r="G608">
            <v>11</v>
          </cell>
          <cell r="H608">
            <v>3262</v>
          </cell>
          <cell r="I608">
            <v>76352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430151</v>
          </cell>
          <cell r="P608">
            <v>0</v>
          </cell>
          <cell r="Q608">
            <v>0</v>
          </cell>
          <cell r="R608">
            <v>6068</v>
          </cell>
          <cell r="S608">
            <v>0</v>
          </cell>
          <cell r="T608">
            <v>107447</v>
          </cell>
          <cell r="U608">
            <v>0</v>
          </cell>
          <cell r="V608">
            <v>94</v>
          </cell>
          <cell r="W608">
            <v>0</v>
          </cell>
          <cell r="X608">
            <v>0</v>
          </cell>
          <cell r="Y608">
            <v>16884</v>
          </cell>
          <cell r="Z608">
            <v>430151</v>
          </cell>
          <cell r="AA608">
            <v>560644</v>
          </cell>
          <cell r="AB608" t="str">
            <v>ERPT</v>
          </cell>
          <cell r="AC608">
            <v>1101</v>
          </cell>
          <cell r="AD608">
            <v>2</v>
          </cell>
          <cell r="AE608">
            <v>52146</v>
          </cell>
        </row>
        <row r="609">
          <cell r="A609" t="str">
            <v>SSE</v>
          </cell>
          <cell r="B609">
            <v>3</v>
          </cell>
          <cell r="C609" t="str">
            <v>DRAS</v>
          </cell>
          <cell r="D609">
            <v>31</v>
          </cell>
          <cell r="E609">
            <v>1</v>
          </cell>
          <cell r="F609" t="str">
            <v xml:space="preserve">B </v>
          </cell>
          <cell r="G609">
            <v>12</v>
          </cell>
          <cell r="H609">
            <v>4755</v>
          </cell>
          <cell r="I609">
            <v>301120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2813876</v>
          </cell>
          <cell r="P609">
            <v>0</v>
          </cell>
          <cell r="Q609">
            <v>0</v>
          </cell>
          <cell r="R609">
            <v>27395</v>
          </cell>
          <cell r="S609">
            <v>0</v>
          </cell>
          <cell r="T609">
            <v>105615</v>
          </cell>
          <cell r="U609">
            <v>478602</v>
          </cell>
          <cell r="V609">
            <v>94</v>
          </cell>
          <cell r="W609">
            <v>0</v>
          </cell>
          <cell r="X609">
            <v>0</v>
          </cell>
          <cell r="Y609">
            <v>122045</v>
          </cell>
          <cell r="Z609">
            <v>2813876</v>
          </cell>
          <cell r="AA609">
            <v>3069025</v>
          </cell>
          <cell r="AB609" t="str">
            <v>ERPT</v>
          </cell>
          <cell r="AC609">
            <v>1101</v>
          </cell>
          <cell r="AD609">
            <v>2</v>
          </cell>
          <cell r="AE609">
            <v>301120</v>
          </cell>
        </row>
        <row r="610">
          <cell r="A610" t="str">
            <v>SSE</v>
          </cell>
          <cell r="B610">
            <v>3</v>
          </cell>
          <cell r="C610" t="str">
            <v>DRAS</v>
          </cell>
          <cell r="D610">
            <v>31</v>
          </cell>
          <cell r="E610">
            <v>1</v>
          </cell>
          <cell r="F610" t="str">
            <v xml:space="preserve">B </v>
          </cell>
          <cell r="G610">
            <v>13</v>
          </cell>
          <cell r="H610">
            <v>853</v>
          </cell>
          <cell r="I610">
            <v>98723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1144958</v>
          </cell>
          <cell r="P610">
            <v>0</v>
          </cell>
          <cell r="Q610">
            <v>0</v>
          </cell>
          <cell r="R610">
            <v>11252</v>
          </cell>
          <cell r="S610">
            <v>0</v>
          </cell>
          <cell r="T610">
            <v>28457</v>
          </cell>
          <cell r="U610">
            <v>194647</v>
          </cell>
          <cell r="V610">
            <v>0</v>
          </cell>
          <cell r="W610">
            <v>0</v>
          </cell>
          <cell r="X610">
            <v>0</v>
          </cell>
          <cell r="Y610">
            <v>52010</v>
          </cell>
          <cell r="Z610">
            <v>1144958</v>
          </cell>
          <cell r="AA610">
            <v>1236677</v>
          </cell>
          <cell r="AB610" t="str">
            <v>ERPT</v>
          </cell>
          <cell r="AC610">
            <v>1101</v>
          </cell>
          <cell r="AD610">
            <v>2</v>
          </cell>
          <cell r="AE610">
            <v>98723</v>
          </cell>
        </row>
        <row r="611">
          <cell r="A611" t="str">
            <v>SSE</v>
          </cell>
          <cell r="B611">
            <v>3</v>
          </cell>
          <cell r="C611" t="str">
            <v>DRAS</v>
          </cell>
          <cell r="D611">
            <v>31</v>
          </cell>
          <cell r="E611">
            <v>1</v>
          </cell>
          <cell r="F611" t="str">
            <v xml:space="preserve">B </v>
          </cell>
          <cell r="G611">
            <v>14</v>
          </cell>
          <cell r="H611">
            <v>77</v>
          </cell>
          <cell r="I611">
            <v>11298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143167</v>
          </cell>
          <cell r="P611">
            <v>0</v>
          </cell>
          <cell r="Q611">
            <v>0</v>
          </cell>
          <cell r="R611">
            <v>1714</v>
          </cell>
          <cell r="S611">
            <v>0</v>
          </cell>
          <cell r="T611">
            <v>3596</v>
          </cell>
          <cell r="U611">
            <v>24344</v>
          </cell>
          <cell r="V611">
            <v>0</v>
          </cell>
          <cell r="W611">
            <v>0</v>
          </cell>
          <cell r="X611">
            <v>0</v>
          </cell>
          <cell r="Y611">
            <v>7668</v>
          </cell>
          <cell r="Z611">
            <v>143167</v>
          </cell>
          <cell r="AA611">
            <v>156145</v>
          </cell>
          <cell r="AB611" t="str">
            <v>ERPT</v>
          </cell>
          <cell r="AC611">
            <v>1101</v>
          </cell>
          <cell r="AD611">
            <v>2</v>
          </cell>
          <cell r="AE611">
            <v>11298</v>
          </cell>
        </row>
        <row r="612">
          <cell r="A612" t="str">
            <v>SSE</v>
          </cell>
          <cell r="B612">
            <v>3</v>
          </cell>
          <cell r="C612" t="str">
            <v>DRAS</v>
          </cell>
          <cell r="D612">
            <v>31</v>
          </cell>
          <cell r="E612">
            <v>1</v>
          </cell>
          <cell r="F612" t="str">
            <v xml:space="preserve">B </v>
          </cell>
          <cell r="G612">
            <v>15</v>
          </cell>
          <cell r="H612">
            <v>119</v>
          </cell>
          <cell r="I612">
            <v>29859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476834</v>
          </cell>
          <cell r="P612">
            <v>0</v>
          </cell>
          <cell r="Q612">
            <v>0</v>
          </cell>
          <cell r="R612">
            <v>13829</v>
          </cell>
          <cell r="S612">
            <v>0</v>
          </cell>
          <cell r="T612">
            <v>16467</v>
          </cell>
          <cell r="U612">
            <v>94314</v>
          </cell>
          <cell r="V612">
            <v>0</v>
          </cell>
          <cell r="W612">
            <v>0</v>
          </cell>
          <cell r="X612">
            <v>0</v>
          </cell>
          <cell r="Y612">
            <v>14780</v>
          </cell>
          <cell r="Z612">
            <v>476834</v>
          </cell>
          <cell r="AA612">
            <v>521910</v>
          </cell>
          <cell r="AB612" t="str">
            <v>ERPT</v>
          </cell>
          <cell r="AC612">
            <v>1101</v>
          </cell>
          <cell r="AD612">
            <v>2</v>
          </cell>
          <cell r="AE612">
            <v>29859</v>
          </cell>
        </row>
        <row r="613">
          <cell r="A613" t="str">
            <v>SSE</v>
          </cell>
          <cell r="B613">
            <v>3</v>
          </cell>
          <cell r="C613" t="str">
            <v>DRAS</v>
          </cell>
          <cell r="D613">
            <v>31</v>
          </cell>
          <cell r="E613">
            <v>2</v>
          </cell>
          <cell r="F613" t="str">
            <v>A4</v>
          </cell>
          <cell r="G613">
            <v>22</v>
          </cell>
          <cell r="H613">
            <v>2</v>
          </cell>
          <cell r="I613">
            <v>663661</v>
          </cell>
          <cell r="J613">
            <v>15818</v>
          </cell>
          <cell r="K613">
            <v>647843</v>
          </cell>
          <cell r="L613">
            <v>1778</v>
          </cell>
          <cell r="M613">
            <v>1305</v>
          </cell>
          <cell r="N613">
            <v>351</v>
          </cell>
          <cell r="O613">
            <v>4398189</v>
          </cell>
          <cell r="P613">
            <v>1880745</v>
          </cell>
          <cell r="Q613">
            <v>2421</v>
          </cell>
          <cell r="R613">
            <v>99779</v>
          </cell>
          <cell r="S613">
            <v>0</v>
          </cell>
          <cell r="T613">
            <v>0</v>
          </cell>
          <cell r="U613">
            <v>1570339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6281355</v>
          </cell>
          <cell r="AA613">
            <v>6381134</v>
          </cell>
          <cell r="AB613" t="str">
            <v>ERPT</v>
          </cell>
          <cell r="AC613">
            <v>1101</v>
          </cell>
          <cell r="AD613">
            <v>2</v>
          </cell>
          <cell r="AE613">
            <v>663661</v>
          </cell>
        </row>
        <row r="614">
          <cell r="A614" t="str">
            <v>SSE</v>
          </cell>
          <cell r="B614">
            <v>3</v>
          </cell>
          <cell r="C614" t="str">
            <v>DRAS</v>
          </cell>
          <cell r="D614">
            <v>31</v>
          </cell>
          <cell r="E614">
            <v>2</v>
          </cell>
          <cell r="F614" t="str">
            <v>A4</v>
          </cell>
          <cell r="G614">
            <v>21</v>
          </cell>
          <cell r="H614">
            <v>12</v>
          </cell>
          <cell r="I614">
            <v>1179840</v>
          </cell>
          <cell r="J614">
            <v>47651</v>
          </cell>
          <cell r="K614">
            <v>1132189</v>
          </cell>
          <cell r="L614">
            <v>4794</v>
          </cell>
          <cell r="M614">
            <v>4752</v>
          </cell>
          <cell r="N614">
            <v>0</v>
          </cell>
          <cell r="O614">
            <v>10240122</v>
          </cell>
          <cell r="P614">
            <v>3369014</v>
          </cell>
          <cell r="Q614">
            <v>540520</v>
          </cell>
          <cell r="R614">
            <v>50183</v>
          </cell>
          <cell r="S614">
            <v>0</v>
          </cell>
          <cell r="T614">
            <v>4312032</v>
          </cell>
          <cell r="U614">
            <v>3553300</v>
          </cell>
          <cell r="V614">
            <v>0</v>
          </cell>
          <cell r="W614">
            <v>63541</v>
          </cell>
          <cell r="X614">
            <v>0</v>
          </cell>
          <cell r="Y614">
            <v>0</v>
          </cell>
          <cell r="Z614">
            <v>14213197</v>
          </cell>
          <cell r="AA614">
            <v>18575412</v>
          </cell>
          <cell r="AB614" t="str">
            <v>ERPT</v>
          </cell>
          <cell r="AC614">
            <v>1101</v>
          </cell>
          <cell r="AD614">
            <v>2</v>
          </cell>
          <cell r="AE614">
            <v>1179840</v>
          </cell>
        </row>
        <row r="615">
          <cell r="A615" t="str">
            <v>SSE</v>
          </cell>
          <cell r="B615">
            <v>3</v>
          </cell>
          <cell r="C615" t="str">
            <v>DRAS</v>
          </cell>
          <cell r="D615">
            <v>31</v>
          </cell>
          <cell r="E615">
            <v>2</v>
          </cell>
          <cell r="F615" t="str">
            <v>A4</v>
          </cell>
          <cell r="G615">
            <v>20</v>
          </cell>
          <cell r="H615">
            <v>14</v>
          </cell>
          <cell r="I615">
            <v>217803</v>
          </cell>
          <cell r="J615">
            <v>0</v>
          </cell>
          <cell r="K615">
            <v>0</v>
          </cell>
          <cell r="L615">
            <v>1320</v>
          </cell>
          <cell r="M615">
            <v>0</v>
          </cell>
          <cell r="N615">
            <v>0</v>
          </cell>
          <cell r="O615">
            <v>2499217</v>
          </cell>
          <cell r="P615">
            <v>1033120</v>
          </cell>
          <cell r="Q615">
            <v>284159</v>
          </cell>
          <cell r="R615">
            <v>17237</v>
          </cell>
          <cell r="S615">
            <v>0</v>
          </cell>
          <cell r="T615">
            <v>0</v>
          </cell>
          <cell r="U615">
            <v>988171</v>
          </cell>
          <cell r="V615">
            <v>0</v>
          </cell>
          <cell r="W615">
            <v>136183</v>
          </cell>
          <cell r="X615">
            <v>0</v>
          </cell>
          <cell r="Y615">
            <v>0</v>
          </cell>
          <cell r="Z615">
            <v>3952679</v>
          </cell>
          <cell r="AA615">
            <v>3969916</v>
          </cell>
          <cell r="AB615" t="str">
            <v>ERPT</v>
          </cell>
          <cell r="AC615">
            <v>1101</v>
          </cell>
          <cell r="AD615">
            <v>2</v>
          </cell>
          <cell r="AE615">
            <v>217803</v>
          </cell>
        </row>
        <row r="616">
          <cell r="A616" t="str">
            <v>SSE</v>
          </cell>
          <cell r="B616">
            <v>3</v>
          </cell>
          <cell r="C616" t="str">
            <v>DRAS</v>
          </cell>
          <cell r="D616">
            <v>31</v>
          </cell>
          <cell r="E616">
            <v>2</v>
          </cell>
          <cell r="F616" t="str">
            <v xml:space="preserve">B </v>
          </cell>
          <cell r="G616">
            <v>0</v>
          </cell>
          <cell r="H616">
            <v>262</v>
          </cell>
          <cell r="I616">
            <v>210090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4373738</v>
          </cell>
          <cell r="P616">
            <v>0</v>
          </cell>
          <cell r="Q616">
            <v>0</v>
          </cell>
          <cell r="R616">
            <v>57967</v>
          </cell>
          <cell r="S616">
            <v>0</v>
          </cell>
          <cell r="T616">
            <v>356655</v>
          </cell>
          <cell r="U616">
            <v>1080356</v>
          </cell>
          <cell r="V616">
            <v>0</v>
          </cell>
          <cell r="W616">
            <v>0</v>
          </cell>
          <cell r="X616">
            <v>0</v>
          </cell>
          <cell r="Y616">
            <v>12472</v>
          </cell>
          <cell r="Z616">
            <v>4373738</v>
          </cell>
          <cell r="AA616">
            <v>4800832</v>
          </cell>
          <cell r="AB616" t="str">
            <v>ERPT</v>
          </cell>
          <cell r="AC616">
            <v>1101</v>
          </cell>
          <cell r="AD616">
            <v>2</v>
          </cell>
          <cell r="AE616">
            <v>207278</v>
          </cell>
        </row>
        <row r="617">
          <cell r="A617" t="str">
            <v>SSE</v>
          </cell>
          <cell r="B617">
            <v>3</v>
          </cell>
          <cell r="C617" t="str">
            <v>DRAS</v>
          </cell>
          <cell r="D617">
            <v>31</v>
          </cell>
          <cell r="E617">
            <v>3</v>
          </cell>
          <cell r="F617" t="str">
            <v>A4</v>
          </cell>
          <cell r="G617">
            <v>22</v>
          </cell>
          <cell r="H617">
            <v>4</v>
          </cell>
          <cell r="I617">
            <v>449727</v>
          </cell>
          <cell r="J617">
            <v>53703</v>
          </cell>
          <cell r="K617">
            <v>396024</v>
          </cell>
          <cell r="L617">
            <v>3074</v>
          </cell>
          <cell r="M617">
            <v>1809</v>
          </cell>
          <cell r="N617">
            <v>1265</v>
          </cell>
          <cell r="O617">
            <v>3286688</v>
          </cell>
          <cell r="P617">
            <v>3868810</v>
          </cell>
          <cell r="Q617">
            <v>48812</v>
          </cell>
          <cell r="R617">
            <v>0</v>
          </cell>
          <cell r="S617">
            <v>0</v>
          </cell>
          <cell r="T617">
            <v>0</v>
          </cell>
          <cell r="U617">
            <v>1801078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7204310</v>
          </cell>
          <cell r="AA617">
            <v>7204310</v>
          </cell>
          <cell r="AB617" t="str">
            <v>ERPT</v>
          </cell>
          <cell r="AC617">
            <v>1101</v>
          </cell>
          <cell r="AD617">
            <v>2</v>
          </cell>
          <cell r="AE617">
            <v>449727</v>
          </cell>
        </row>
        <row r="618">
          <cell r="A618" t="str">
            <v>SSE</v>
          </cell>
          <cell r="B618">
            <v>3</v>
          </cell>
          <cell r="C618" t="str">
            <v>DRAS</v>
          </cell>
          <cell r="D618">
            <v>31</v>
          </cell>
          <cell r="E618">
            <v>3</v>
          </cell>
          <cell r="F618" t="str">
            <v>A4</v>
          </cell>
          <cell r="G618">
            <v>21</v>
          </cell>
          <cell r="H618">
            <v>3</v>
          </cell>
          <cell r="I618">
            <v>138606</v>
          </cell>
          <cell r="J618">
            <v>5108</v>
          </cell>
          <cell r="K618">
            <v>133498</v>
          </cell>
          <cell r="L618">
            <v>581</v>
          </cell>
          <cell r="M618">
            <v>581</v>
          </cell>
          <cell r="N618">
            <v>0</v>
          </cell>
          <cell r="O618">
            <v>1176042</v>
          </cell>
          <cell r="P618">
            <v>401278</v>
          </cell>
          <cell r="Q618">
            <v>29222</v>
          </cell>
          <cell r="R618">
            <v>44794</v>
          </cell>
          <cell r="S618">
            <v>0</v>
          </cell>
          <cell r="T618">
            <v>0</v>
          </cell>
          <cell r="U618">
            <v>401636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1606542</v>
          </cell>
          <cell r="AA618">
            <v>1651336</v>
          </cell>
          <cell r="AB618" t="str">
            <v>ERPT</v>
          </cell>
          <cell r="AC618">
            <v>1101</v>
          </cell>
          <cell r="AD618">
            <v>2</v>
          </cell>
          <cell r="AE618">
            <v>138606</v>
          </cell>
        </row>
        <row r="619">
          <cell r="A619" t="str">
            <v>SSE</v>
          </cell>
          <cell r="B619">
            <v>3</v>
          </cell>
          <cell r="C619" t="str">
            <v>DRAS</v>
          </cell>
          <cell r="D619">
            <v>31</v>
          </cell>
          <cell r="E619">
            <v>3</v>
          </cell>
          <cell r="F619" t="str">
            <v>A4</v>
          </cell>
          <cell r="G619">
            <v>20</v>
          </cell>
          <cell r="H619">
            <v>71</v>
          </cell>
          <cell r="I619">
            <v>963093</v>
          </cell>
          <cell r="J619">
            <v>0</v>
          </cell>
          <cell r="K619">
            <v>0</v>
          </cell>
          <cell r="L619">
            <v>3676</v>
          </cell>
          <cell r="M619">
            <v>0</v>
          </cell>
          <cell r="N619">
            <v>0</v>
          </cell>
          <cell r="O619">
            <v>11051169</v>
          </cell>
          <cell r="P619">
            <v>2877084</v>
          </cell>
          <cell r="Q619">
            <v>567731</v>
          </cell>
          <cell r="R619">
            <v>63006</v>
          </cell>
          <cell r="S619">
            <v>0</v>
          </cell>
          <cell r="T619">
            <v>90383</v>
          </cell>
          <cell r="U619">
            <v>3674292</v>
          </cell>
          <cell r="V619">
            <v>0</v>
          </cell>
          <cell r="W619">
            <v>201148</v>
          </cell>
          <cell r="X619">
            <v>0</v>
          </cell>
          <cell r="Y619">
            <v>18208</v>
          </cell>
          <cell r="Z619">
            <v>14697132</v>
          </cell>
          <cell r="AA619">
            <v>14868729</v>
          </cell>
          <cell r="AB619" t="str">
            <v>ERPT</v>
          </cell>
          <cell r="AC619">
            <v>1101</v>
          </cell>
          <cell r="AD619">
            <v>2</v>
          </cell>
          <cell r="AE619">
            <v>963093</v>
          </cell>
        </row>
        <row r="620">
          <cell r="A620" t="str">
            <v>SSE</v>
          </cell>
          <cell r="B620">
            <v>3</v>
          </cell>
          <cell r="C620" t="str">
            <v>DRAS</v>
          </cell>
          <cell r="D620">
            <v>31</v>
          </cell>
          <cell r="E620">
            <v>3</v>
          </cell>
          <cell r="F620" t="str">
            <v xml:space="preserve">B </v>
          </cell>
          <cell r="G620">
            <v>0</v>
          </cell>
          <cell r="H620">
            <v>5526</v>
          </cell>
          <cell r="I620">
            <v>1682778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35039068</v>
          </cell>
          <cell r="P620">
            <v>0</v>
          </cell>
          <cell r="Q620">
            <v>0</v>
          </cell>
          <cell r="R620">
            <v>434940</v>
          </cell>
          <cell r="S620">
            <v>0</v>
          </cell>
          <cell r="T620">
            <v>1357402</v>
          </cell>
          <cell r="U620">
            <v>8679444</v>
          </cell>
          <cell r="V620">
            <v>94</v>
          </cell>
          <cell r="W620">
            <v>0</v>
          </cell>
          <cell r="X620">
            <v>0</v>
          </cell>
          <cell r="Y620">
            <v>279716</v>
          </cell>
          <cell r="Z620">
            <v>35039068</v>
          </cell>
          <cell r="AA620">
            <v>37111220</v>
          </cell>
          <cell r="AB620" t="str">
            <v>ERPT</v>
          </cell>
          <cell r="AC620">
            <v>1101</v>
          </cell>
          <cell r="AD620">
            <v>2</v>
          </cell>
          <cell r="AE620">
            <v>1642543</v>
          </cell>
        </row>
        <row r="621">
          <cell r="A621" t="str">
            <v>SSE</v>
          </cell>
          <cell r="B621">
            <v>3</v>
          </cell>
          <cell r="C621" t="str">
            <v>DRAS</v>
          </cell>
          <cell r="D621">
            <v>31</v>
          </cell>
          <cell r="E621">
            <v>4</v>
          </cell>
          <cell r="F621" t="str">
            <v>A3</v>
          </cell>
          <cell r="G621">
            <v>26</v>
          </cell>
          <cell r="H621">
            <v>1</v>
          </cell>
          <cell r="I621">
            <v>927415</v>
          </cell>
          <cell r="J621">
            <v>22</v>
          </cell>
          <cell r="K621">
            <v>529049</v>
          </cell>
          <cell r="L621">
            <v>3125</v>
          </cell>
          <cell r="M621">
            <v>2844</v>
          </cell>
          <cell r="N621">
            <v>281</v>
          </cell>
          <cell r="O621">
            <v>2159027</v>
          </cell>
          <cell r="P621">
            <v>1220134</v>
          </cell>
          <cell r="Q621">
            <v>172704</v>
          </cell>
          <cell r="R621">
            <v>132371</v>
          </cell>
          <cell r="S621">
            <v>0</v>
          </cell>
          <cell r="T621">
            <v>3703</v>
          </cell>
          <cell r="U621">
            <v>0</v>
          </cell>
          <cell r="V621">
            <v>0</v>
          </cell>
          <cell r="W621">
            <v>65835</v>
          </cell>
          <cell r="X621">
            <v>0</v>
          </cell>
          <cell r="Y621">
            <v>0</v>
          </cell>
          <cell r="Z621">
            <v>3617700</v>
          </cell>
          <cell r="AA621">
            <v>3753774</v>
          </cell>
          <cell r="AB621" t="str">
            <v>ERPT</v>
          </cell>
          <cell r="AC621">
            <v>1101</v>
          </cell>
          <cell r="AD621">
            <v>2</v>
          </cell>
          <cell r="AE621">
            <v>927415</v>
          </cell>
        </row>
        <row r="622">
          <cell r="A622" t="str">
            <v>SSE</v>
          </cell>
          <cell r="B622">
            <v>3</v>
          </cell>
          <cell r="C622" t="str">
            <v>DRAS</v>
          </cell>
          <cell r="D622">
            <v>31</v>
          </cell>
          <cell r="E622">
            <v>4</v>
          </cell>
          <cell r="F622" t="str">
            <v>A4</v>
          </cell>
          <cell r="G622">
            <v>21</v>
          </cell>
          <cell r="H622">
            <v>4</v>
          </cell>
          <cell r="I622">
            <v>74298</v>
          </cell>
          <cell r="J622">
            <v>2973</v>
          </cell>
          <cell r="K622">
            <v>71325</v>
          </cell>
          <cell r="L622">
            <v>350</v>
          </cell>
          <cell r="M622">
            <v>350</v>
          </cell>
          <cell r="N622">
            <v>0</v>
          </cell>
          <cell r="O622">
            <v>434192</v>
          </cell>
          <cell r="P622">
            <v>163100</v>
          </cell>
          <cell r="Q622">
            <v>2647</v>
          </cell>
          <cell r="R622">
            <v>9720</v>
          </cell>
          <cell r="S622">
            <v>0</v>
          </cell>
          <cell r="T622">
            <v>106063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599939</v>
          </cell>
          <cell r="AA622">
            <v>715722</v>
          </cell>
          <cell r="AB622" t="str">
            <v>ERPT</v>
          </cell>
          <cell r="AC622">
            <v>1101</v>
          </cell>
          <cell r="AD622">
            <v>2</v>
          </cell>
          <cell r="AE622">
            <v>74298</v>
          </cell>
        </row>
        <row r="623">
          <cell r="A623" t="str">
            <v>SSE</v>
          </cell>
          <cell r="B623">
            <v>3</v>
          </cell>
          <cell r="C623" t="str">
            <v>DRAS</v>
          </cell>
          <cell r="D623">
            <v>31</v>
          </cell>
          <cell r="E623">
            <v>4</v>
          </cell>
          <cell r="F623" t="str">
            <v>A4</v>
          </cell>
          <cell r="G623">
            <v>20</v>
          </cell>
          <cell r="H623">
            <v>40</v>
          </cell>
          <cell r="I623">
            <v>2930417</v>
          </cell>
          <cell r="J623">
            <v>0</v>
          </cell>
          <cell r="K623">
            <v>0</v>
          </cell>
          <cell r="L623">
            <v>9854</v>
          </cell>
          <cell r="M623">
            <v>0</v>
          </cell>
          <cell r="N623">
            <v>0</v>
          </cell>
          <cell r="O623">
            <v>22696077</v>
          </cell>
          <cell r="P623">
            <v>5201856</v>
          </cell>
          <cell r="Q623">
            <v>525226</v>
          </cell>
          <cell r="R623">
            <v>67948</v>
          </cell>
          <cell r="S623">
            <v>0</v>
          </cell>
          <cell r="T623">
            <v>498313</v>
          </cell>
          <cell r="U623">
            <v>0</v>
          </cell>
          <cell r="V623">
            <v>0</v>
          </cell>
          <cell r="W623">
            <v>129888</v>
          </cell>
          <cell r="X623">
            <v>0</v>
          </cell>
          <cell r="Y623">
            <v>0</v>
          </cell>
          <cell r="Z623">
            <v>28553047</v>
          </cell>
          <cell r="AA623">
            <v>29119308</v>
          </cell>
          <cell r="AB623" t="str">
            <v>ERPT</v>
          </cell>
          <cell r="AC623">
            <v>1101</v>
          </cell>
          <cell r="AD623">
            <v>2</v>
          </cell>
          <cell r="AE623">
            <v>2930417</v>
          </cell>
        </row>
        <row r="624">
          <cell r="A624" t="str">
            <v>SSE</v>
          </cell>
          <cell r="B624">
            <v>3</v>
          </cell>
          <cell r="C624" t="str">
            <v>DRAS</v>
          </cell>
          <cell r="D624">
            <v>31</v>
          </cell>
          <cell r="E624">
            <v>4</v>
          </cell>
          <cell r="F624" t="str">
            <v xml:space="preserve">B </v>
          </cell>
          <cell r="G624">
            <v>0</v>
          </cell>
          <cell r="H624">
            <v>692</v>
          </cell>
          <cell r="I624">
            <v>457545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4424260</v>
          </cell>
          <cell r="P624">
            <v>0</v>
          </cell>
          <cell r="Q624">
            <v>0</v>
          </cell>
          <cell r="R624">
            <v>61625</v>
          </cell>
          <cell r="S624">
            <v>0</v>
          </cell>
          <cell r="T624">
            <v>881380</v>
          </cell>
          <cell r="U624">
            <v>0</v>
          </cell>
          <cell r="V624">
            <v>93028</v>
          </cell>
          <cell r="W624">
            <v>0</v>
          </cell>
          <cell r="X624">
            <v>0</v>
          </cell>
          <cell r="Y624">
            <v>0</v>
          </cell>
          <cell r="Z624">
            <v>4424260</v>
          </cell>
          <cell r="AA624">
            <v>5460293</v>
          </cell>
          <cell r="AB624" t="str">
            <v>ERPT</v>
          </cell>
          <cell r="AC624">
            <v>1101</v>
          </cell>
          <cell r="AD624">
            <v>2</v>
          </cell>
          <cell r="AE624">
            <v>450297</v>
          </cell>
        </row>
        <row r="625">
          <cell r="A625" t="str">
            <v>SSE</v>
          </cell>
          <cell r="B625">
            <v>3</v>
          </cell>
          <cell r="C625" t="str">
            <v>DRAS</v>
          </cell>
          <cell r="D625">
            <v>31</v>
          </cell>
          <cell r="E625">
            <v>4</v>
          </cell>
          <cell r="F625" t="str">
            <v>A4</v>
          </cell>
          <cell r="G625">
            <v>23</v>
          </cell>
          <cell r="H625">
            <v>71</v>
          </cell>
          <cell r="I625">
            <v>5929813</v>
          </cell>
          <cell r="J625">
            <v>23422</v>
          </cell>
          <cell r="K625">
            <v>4546527</v>
          </cell>
          <cell r="L625">
            <v>33304</v>
          </cell>
          <cell r="M625">
            <v>32883</v>
          </cell>
          <cell r="N625">
            <v>391</v>
          </cell>
          <cell r="O625">
            <v>22369031</v>
          </cell>
          <cell r="P625">
            <v>17016094</v>
          </cell>
          <cell r="Q625">
            <v>288438</v>
          </cell>
          <cell r="R625">
            <v>937466</v>
          </cell>
          <cell r="S625">
            <v>0</v>
          </cell>
          <cell r="T625">
            <v>3399976</v>
          </cell>
          <cell r="U625">
            <v>0</v>
          </cell>
          <cell r="V625">
            <v>0</v>
          </cell>
          <cell r="W625">
            <v>437509</v>
          </cell>
          <cell r="X625">
            <v>0</v>
          </cell>
          <cell r="Y625">
            <v>0</v>
          </cell>
          <cell r="Z625">
            <v>40111072</v>
          </cell>
          <cell r="AA625">
            <v>44448514</v>
          </cell>
          <cell r="AB625" t="str">
            <v>ERPT</v>
          </cell>
          <cell r="AC625">
            <v>1101</v>
          </cell>
          <cell r="AD625">
            <v>2</v>
          </cell>
          <cell r="AE625">
            <v>5929813</v>
          </cell>
        </row>
        <row r="626">
          <cell r="A626" t="str">
            <v>SSE</v>
          </cell>
          <cell r="B626">
            <v>3</v>
          </cell>
          <cell r="C626" t="str">
            <v>DRAS</v>
          </cell>
          <cell r="D626">
            <v>31</v>
          </cell>
          <cell r="E626">
            <v>5</v>
          </cell>
          <cell r="F626" t="str">
            <v>A4</v>
          </cell>
          <cell r="G626">
            <v>21</v>
          </cell>
          <cell r="H626">
            <v>1</v>
          </cell>
          <cell r="I626">
            <v>20448</v>
          </cell>
          <cell r="J626">
            <v>546</v>
          </cell>
          <cell r="K626">
            <v>19902</v>
          </cell>
          <cell r="L626">
            <v>110</v>
          </cell>
          <cell r="M626">
            <v>110</v>
          </cell>
          <cell r="N626">
            <v>0</v>
          </cell>
          <cell r="O626">
            <v>162077</v>
          </cell>
          <cell r="P626">
            <v>75973</v>
          </cell>
          <cell r="Q626">
            <v>2855</v>
          </cell>
          <cell r="R626">
            <v>0</v>
          </cell>
          <cell r="S626">
            <v>0</v>
          </cell>
          <cell r="T626">
            <v>0</v>
          </cell>
          <cell r="U626">
            <v>60572</v>
          </cell>
          <cell r="V626">
            <v>0</v>
          </cell>
          <cell r="W626">
            <v>1381</v>
          </cell>
          <cell r="X626">
            <v>0</v>
          </cell>
          <cell r="Y626">
            <v>0</v>
          </cell>
          <cell r="Z626">
            <v>242286</v>
          </cell>
          <cell r="AA626">
            <v>242286</v>
          </cell>
          <cell r="AB626" t="str">
            <v>ERPT</v>
          </cell>
          <cell r="AC626">
            <v>1101</v>
          </cell>
          <cell r="AD626">
            <v>2</v>
          </cell>
          <cell r="AE626">
            <v>20448</v>
          </cell>
        </row>
        <row r="627">
          <cell r="A627" t="str">
            <v>SSE</v>
          </cell>
          <cell r="B627">
            <v>3</v>
          </cell>
          <cell r="C627" t="str">
            <v>DRAS</v>
          </cell>
          <cell r="D627">
            <v>31</v>
          </cell>
          <cell r="E627">
            <v>5</v>
          </cell>
          <cell r="F627" t="str">
            <v>A4</v>
          </cell>
          <cell r="G627">
            <v>20</v>
          </cell>
          <cell r="H627">
            <v>39</v>
          </cell>
          <cell r="I627">
            <v>347744</v>
          </cell>
          <cell r="J627">
            <v>0</v>
          </cell>
          <cell r="K627">
            <v>0</v>
          </cell>
          <cell r="L627">
            <v>1549</v>
          </cell>
          <cell r="M627">
            <v>0</v>
          </cell>
          <cell r="N627">
            <v>0</v>
          </cell>
          <cell r="O627">
            <v>3911936</v>
          </cell>
          <cell r="P627">
            <v>1192392</v>
          </cell>
          <cell r="Q627">
            <v>553529</v>
          </cell>
          <cell r="R627">
            <v>28811</v>
          </cell>
          <cell r="S627">
            <v>0</v>
          </cell>
          <cell r="T627">
            <v>1071309</v>
          </cell>
          <cell r="U627">
            <v>1386206</v>
          </cell>
          <cell r="V627">
            <v>0</v>
          </cell>
          <cell r="W627">
            <v>225603</v>
          </cell>
          <cell r="X627">
            <v>0</v>
          </cell>
          <cell r="Y627">
            <v>0</v>
          </cell>
          <cell r="Z627">
            <v>5883460</v>
          </cell>
          <cell r="AA627">
            <v>6983580</v>
          </cell>
          <cell r="AB627" t="str">
            <v>ERPT</v>
          </cell>
          <cell r="AC627">
            <v>1101</v>
          </cell>
          <cell r="AD627">
            <v>2</v>
          </cell>
          <cell r="AE627">
            <v>347744</v>
          </cell>
        </row>
        <row r="628">
          <cell r="A628" t="str">
            <v>SSE</v>
          </cell>
          <cell r="B628">
            <v>3</v>
          </cell>
          <cell r="C628" t="str">
            <v>DRAS</v>
          </cell>
          <cell r="D628">
            <v>31</v>
          </cell>
          <cell r="E628">
            <v>5</v>
          </cell>
          <cell r="F628" t="str">
            <v xml:space="preserve">B </v>
          </cell>
          <cell r="G628">
            <v>0</v>
          </cell>
          <cell r="H628">
            <v>787</v>
          </cell>
          <cell r="I628">
            <v>345403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6433303</v>
          </cell>
          <cell r="P628">
            <v>0</v>
          </cell>
          <cell r="Q628">
            <v>0</v>
          </cell>
          <cell r="R628">
            <v>78139</v>
          </cell>
          <cell r="S628">
            <v>0</v>
          </cell>
          <cell r="T628">
            <v>505174</v>
          </cell>
          <cell r="U628">
            <v>1040320</v>
          </cell>
          <cell r="V628">
            <v>2822</v>
          </cell>
          <cell r="W628">
            <v>0</v>
          </cell>
          <cell r="X628">
            <v>0</v>
          </cell>
          <cell r="Y628">
            <v>0</v>
          </cell>
          <cell r="Z628">
            <v>6433303</v>
          </cell>
          <cell r="AA628">
            <v>7019438</v>
          </cell>
          <cell r="AB628" t="str">
            <v>ERPT</v>
          </cell>
          <cell r="AC628">
            <v>1101</v>
          </cell>
          <cell r="AD628">
            <v>2</v>
          </cell>
          <cell r="AE628">
            <v>339938</v>
          </cell>
        </row>
        <row r="629">
          <cell r="A629" t="str">
            <v>SSE</v>
          </cell>
          <cell r="B629">
            <v>3</v>
          </cell>
          <cell r="C629" t="str">
            <v>DRAS</v>
          </cell>
          <cell r="D629">
            <v>31</v>
          </cell>
          <cell r="E629">
            <v>6</v>
          </cell>
          <cell r="F629" t="str">
            <v xml:space="preserve">B </v>
          </cell>
          <cell r="G629">
            <v>0</v>
          </cell>
          <cell r="H629">
            <v>117</v>
          </cell>
          <cell r="I629">
            <v>757011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8829903</v>
          </cell>
          <cell r="P629">
            <v>0</v>
          </cell>
          <cell r="Q629">
            <v>0</v>
          </cell>
          <cell r="R629">
            <v>160428</v>
          </cell>
          <cell r="S629">
            <v>0</v>
          </cell>
          <cell r="T629">
            <v>0</v>
          </cell>
          <cell r="U629">
            <v>2207473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8829903</v>
          </cell>
          <cell r="AA629">
            <v>8990331</v>
          </cell>
          <cell r="AB629" t="str">
            <v>ERPT</v>
          </cell>
          <cell r="AC629">
            <v>1101</v>
          </cell>
          <cell r="AD629">
            <v>2</v>
          </cell>
          <cell r="AE629">
            <v>757011</v>
          </cell>
        </row>
        <row r="630">
          <cell r="A630" t="str">
            <v>SSE</v>
          </cell>
          <cell r="B630">
            <v>3</v>
          </cell>
          <cell r="C630" t="str">
            <v>DRAS</v>
          </cell>
          <cell r="D630">
            <v>31</v>
          </cell>
          <cell r="E630">
            <v>7</v>
          </cell>
          <cell r="F630" t="str">
            <v>A4</v>
          </cell>
          <cell r="G630">
            <v>22</v>
          </cell>
          <cell r="H630">
            <v>2</v>
          </cell>
          <cell r="I630">
            <v>570084</v>
          </cell>
          <cell r="J630">
            <v>49186</v>
          </cell>
          <cell r="K630">
            <v>520898</v>
          </cell>
          <cell r="L630">
            <v>1670</v>
          </cell>
          <cell r="M630">
            <v>845</v>
          </cell>
          <cell r="N630">
            <v>825</v>
          </cell>
          <cell r="O630">
            <v>3426491</v>
          </cell>
          <cell r="P630">
            <v>1947733</v>
          </cell>
          <cell r="Q630">
            <v>245574</v>
          </cell>
          <cell r="R630">
            <v>0</v>
          </cell>
          <cell r="S630">
            <v>0</v>
          </cell>
          <cell r="T630">
            <v>0</v>
          </cell>
          <cell r="U630">
            <v>1443083</v>
          </cell>
          <cell r="V630">
            <v>0</v>
          </cell>
          <cell r="W630">
            <v>152533</v>
          </cell>
          <cell r="X630">
            <v>0</v>
          </cell>
          <cell r="Y630">
            <v>0</v>
          </cell>
          <cell r="Z630">
            <v>5772331</v>
          </cell>
          <cell r="AA630">
            <v>5772331</v>
          </cell>
          <cell r="AB630" t="str">
            <v>ERPT</v>
          </cell>
          <cell r="AC630">
            <v>1101</v>
          </cell>
          <cell r="AD630">
            <v>2</v>
          </cell>
          <cell r="AE630">
            <v>570084</v>
          </cell>
        </row>
        <row r="631">
          <cell r="A631" t="str">
            <v>SSE</v>
          </cell>
          <cell r="B631">
            <v>3</v>
          </cell>
          <cell r="C631" t="str">
            <v>DRAS</v>
          </cell>
          <cell r="D631">
            <v>31</v>
          </cell>
          <cell r="E631">
            <v>7</v>
          </cell>
          <cell r="F631" t="str">
            <v>A4</v>
          </cell>
          <cell r="G631">
            <v>20</v>
          </cell>
          <cell r="H631">
            <v>6</v>
          </cell>
          <cell r="I631">
            <v>292947</v>
          </cell>
          <cell r="J631">
            <v>0</v>
          </cell>
          <cell r="K631">
            <v>0</v>
          </cell>
          <cell r="L631">
            <v>946</v>
          </cell>
          <cell r="M631">
            <v>0</v>
          </cell>
          <cell r="N631">
            <v>0</v>
          </cell>
          <cell r="O631">
            <v>2857211</v>
          </cell>
          <cell r="P631">
            <v>658688</v>
          </cell>
          <cell r="Q631">
            <v>26647</v>
          </cell>
          <cell r="R631">
            <v>0</v>
          </cell>
          <cell r="S631">
            <v>0</v>
          </cell>
          <cell r="T631">
            <v>0</v>
          </cell>
          <cell r="U631">
            <v>886633</v>
          </cell>
          <cell r="V631">
            <v>0</v>
          </cell>
          <cell r="W631">
            <v>3984</v>
          </cell>
          <cell r="X631">
            <v>0</v>
          </cell>
          <cell r="Y631">
            <v>0</v>
          </cell>
          <cell r="Z631">
            <v>3546530</v>
          </cell>
          <cell r="AA631">
            <v>3546530</v>
          </cell>
          <cell r="AB631" t="str">
            <v>ERPT</v>
          </cell>
          <cell r="AC631">
            <v>1101</v>
          </cell>
          <cell r="AD631">
            <v>2</v>
          </cell>
          <cell r="AE631">
            <v>292947</v>
          </cell>
        </row>
        <row r="632">
          <cell r="A632" t="str">
            <v>SSE</v>
          </cell>
          <cell r="B632">
            <v>3</v>
          </cell>
          <cell r="C632" t="str">
            <v>DRAS</v>
          </cell>
          <cell r="D632">
            <v>31</v>
          </cell>
          <cell r="E632">
            <v>7</v>
          </cell>
          <cell r="F632" t="str">
            <v xml:space="preserve">B </v>
          </cell>
          <cell r="G632">
            <v>0</v>
          </cell>
          <cell r="H632">
            <v>73</v>
          </cell>
          <cell r="I632">
            <v>61870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1094778</v>
          </cell>
          <cell r="P632">
            <v>0</v>
          </cell>
          <cell r="Q632">
            <v>0</v>
          </cell>
          <cell r="R632">
            <v>20447</v>
          </cell>
          <cell r="S632">
            <v>0</v>
          </cell>
          <cell r="T632">
            <v>0</v>
          </cell>
          <cell r="U632">
            <v>273695</v>
          </cell>
          <cell r="V632">
            <v>1226</v>
          </cell>
          <cell r="W632">
            <v>0</v>
          </cell>
          <cell r="X632">
            <v>0</v>
          </cell>
          <cell r="Y632">
            <v>0</v>
          </cell>
          <cell r="Z632">
            <v>1094778</v>
          </cell>
          <cell r="AA632">
            <v>1116451</v>
          </cell>
          <cell r="AB632" t="str">
            <v>ERPT</v>
          </cell>
          <cell r="AC632">
            <v>1101</v>
          </cell>
          <cell r="AD632">
            <v>2</v>
          </cell>
          <cell r="AE632">
            <v>60747</v>
          </cell>
        </row>
        <row r="633">
          <cell r="A633" t="str">
            <v>SSE</v>
          </cell>
          <cell r="B633">
            <v>3</v>
          </cell>
          <cell r="C633" t="str">
            <v>DRAS</v>
          </cell>
          <cell r="D633">
            <v>31</v>
          </cell>
          <cell r="E633">
            <v>8</v>
          </cell>
          <cell r="F633" t="str">
            <v>A4</v>
          </cell>
          <cell r="G633">
            <v>20</v>
          </cell>
          <cell r="H633">
            <v>1</v>
          </cell>
          <cell r="I633">
            <v>14104</v>
          </cell>
          <cell r="J633">
            <v>0</v>
          </cell>
          <cell r="K633">
            <v>0</v>
          </cell>
          <cell r="L633">
            <v>61</v>
          </cell>
          <cell r="M633">
            <v>0</v>
          </cell>
          <cell r="N633">
            <v>0</v>
          </cell>
          <cell r="O633">
            <v>161839</v>
          </cell>
          <cell r="P633">
            <v>47743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52396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209582</v>
          </cell>
          <cell r="AA633">
            <v>209582</v>
          </cell>
          <cell r="AB633" t="str">
            <v>ERPT</v>
          </cell>
          <cell r="AC633">
            <v>1101</v>
          </cell>
          <cell r="AD633">
            <v>2</v>
          </cell>
          <cell r="AE633">
            <v>14104</v>
          </cell>
        </row>
        <row r="634">
          <cell r="A634" t="str">
            <v>SSE</v>
          </cell>
          <cell r="B634">
            <v>3</v>
          </cell>
          <cell r="C634" t="str">
            <v>DRAS</v>
          </cell>
          <cell r="D634">
            <v>31</v>
          </cell>
          <cell r="E634">
            <v>8</v>
          </cell>
          <cell r="F634" t="str">
            <v xml:space="preserve">B </v>
          </cell>
          <cell r="G634">
            <v>0</v>
          </cell>
          <cell r="H634">
            <v>16</v>
          </cell>
          <cell r="I634">
            <v>11836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246410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61603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246410</v>
          </cell>
          <cell r="AA634">
            <v>246410</v>
          </cell>
          <cell r="AB634" t="str">
            <v>ERPT</v>
          </cell>
          <cell r="AC634">
            <v>1101</v>
          </cell>
          <cell r="AD634">
            <v>2</v>
          </cell>
          <cell r="AE634">
            <v>11727</v>
          </cell>
        </row>
        <row r="635">
          <cell r="A635" t="str">
            <v>SSE</v>
          </cell>
          <cell r="B635">
            <v>3</v>
          </cell>
          <cell r="C635" t="str">
            <v>DRAS</v>
          </cell>
          <cell r="D635">
            <v>31</v>
          </cell>
          <cell r="E635">
            <v>90</v>
          </cell>
          <cell r="F635" t="str">
            <v>A4</v>
          </cell>
          <cell r="G635">
            <v>20</v>
          </cell>
          <cell r="H635">
            <v>4</v>
          </cell>
          <cell r="I635">
            <v>179166</v>
          </cell>
          <cell r="J635">
            <v>0</v>
          </cell>
          <cell r="K635">
            <v>0</v>
          </cell>
          <cell r="L635">
            <v>318</v>
          </cell>
          <cell r="M635">
            <v>0</v>
          </cell>
          <cell r="N635">
            <v>0</v>
          </cell>
          <cell r="O635">
            <v>484039</v>
          </cell>
          <cell r="P635">
            <v>271550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755589</v>
          </cell>
          <cell r="AA635">
            <v>755589</v>
          </cell>
          <cell r="AB635" t="str">
            <v>ERPT</v>
          </cell>
          <cell r="AC635">
            <v>1101</v>
          </cell>
          <cell r="AD635">
            <v>2</v>
          </cell>
          <cell r="AE635">
            <v>179166</v>
          </cell>
        </row>
        <row r="636">
          <cell r="A636" t="str">
            <v>SSE</v>
          </cell>
          <cell r="B636">
            <v>3</v>
          </cell>
          <cell r="C636" t="str">
            <v>DRAS</v>
          </cell>
          <cell r="D636">
            <v>32</v>
          </cell>
          <cell r="E636">
            <v>1</v>
          </cell>
          <cell r="F636" t="str">
            <v xml:space="preserve">B </v>
          </cell>
          <cell r="G636">
            <v>1</v>
          </cell>
          <cell r="H636">
            <v>9362</v>
          </cell>
          <cell r="I636">
            <v>192539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3106445</v>
          </cell>
          <cell r="P636">
            <v>0</v>
          </cell>
          <cell r="Q636">
            <v>0</v>
          </cell>
          <cell r="R636">
            <v>35018</v>
          </cell>
          <cell r="S636">
            <v>0</v>
          </cell>
          <cell r="T636">
            <v>354872</v>
          </cell>
          <cell r="U636">
            <v>0</v>
          </cell>
          <cell r="V636">
            <v>21339</v>
          </cell>
          <cell r="W636">
            <v>0</v>
          </cell>
          <cell r="X636">
            <v>0</v>
          </cell>
          <cell r="Y636">
            <v>95223</v>
          </cell>
          <cell r="Z636">
            <v>3106445</v>
          </cell>
          <cell r="AA636">
            <v>3612897</v>
          </cell>
          <cell r="AB636" t="str">
            <v>EROU</v>
          </cell>
          <cell r="AC636">
            <v>1101</v>
          </cell>
          <cell r="AD636">
            <v>2</v>
          </cell>
          <cell r="AE636">
            <v>146719</v>
          </cell>
        </row>
        <row r="637">
          <cell r="A637" t="str">
            <v>SSE</v>
          </cell>
          <cell r="B637">
            <v>3</v>
          </cell>
          <cell r="C637" t="str">
            <v>DRAS</v>
          </cell>
          <cell r="D637">
            <v>32</v>
          </cell>
          <cell r="E637">
            <v>1</v>
          </cell>
          <cell r="F637" t="str">
            <v xml:space="preserve">B </v>
          </cell>
          <cell r="G637">
            <v>2</v>
          </cell>
          <cell r="H637">
            <v>3190</v>
          </cell>
          <cell r="I637">
            <v>128149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2485507</v>
          </cell>
          <cell r="P637">
            <v>0</v>
          </cell>
          <cell r="Q637">
            <v>0</v>
          </cell>
          <cell r="R637">
            <v>23996</v>
          </cell>
          <cell r="S637">
            <v>0</v>
          </cell>
          <cell r="T637">
            <v>64730</v>
          </cell>
          <cell r="U637">
            <v>422420</v>
          </cell>
          <cell r="V637">
            <v>5361</v>
          </cell>
          <cell r="W637">
            <v>0</v>
          </cell>
          <cell r="X637">
            <v>0</v>
          </cell>
          <cell r="Y637">
            <v>124015</v>
          </cell>
          <cell r="Z637">
            <v>2485507</v>
          </cell>
          <cell r="AA637">
            <v>2703609</v>
          </cell>
          <cell r="AB637" t="str">
            <v>EROU</v>
          </cell>
          <cell r="AC637">
            <v>1101</v>
          </cell>
          <cell r="AD637">
            <v>2</v>
          </cell>
          <cell r="AE637">
            <v>128149</v>
          </cell>
        </row>
        <row r="638">
          <cell r="A638" t="str">
            <v>SSE</v>
          </cell>
          <cell r="B638">
            <v>3</v>
          </cell>
          <cell r="C638" t="str">
            <v>DRAS</v>
          </cell>
          <cell r="D638">
            <v>32</v>
          </cell>
          <cell r="E638">
            <v>1</v>
          </cell>
          <cell r="F638" t="str">
            <v xml:space="preserve">B </v>
          </cell>
          <cell r="G638">
            <v>3</v>
          </cell>
          <cell r="H638">
            <v>6501</v>
          </cell>
          <cell r="I638">
            <v>471536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9143423</v>
          </cell>
          <cell r="P638">
            <v>0</v>
          </cell>
          <cell r="Q638">
            <v>0</v>
          </cell>
          <cell r="R638">
            <v>78633</v>
          </cell>
          <cell r="S638">
            <v>0</v>
          </cell>
          <cell r="T638">
            <v>167557</v>
          </cell>
          <cell r="U638">
            <v>1554367</v>
          </cell>
          <cell r="V638">
            <v>6957</v>
          </cell>
          <cell r="W638">
            <v>0</v>
          </cell>
          <cell r="X638">
            <v>0</v>
          </cell>
          <cell r="Y638">
            <v>382006</v>
          </cell>
          <cell r="Z638">
            <v>9143423</v>
          </cell>
          <cell r="AA638">
            <v>9778576</v>
          </cell>
          <cell r="AB638" t="str">
            <v>EROU</v>
          </cell>
          <cell r="AC638">
            <v>1101</v>
          </cell>
          <cell r="AD638">
            <v>2</v>
          </cell>
          <cell r="AE638">
            <v>471246</v>
          </cell>
        </row>
        <row r="639">
          <cell r="A639" t="str">
            <v>SSE</v>
          </cell>
          <cell r="B639">
            <v>3</v>
          </cell>
          <cell r="C639" t="str">
            <v>DRAS</v>
          </cell>
          <cell r="D639">
            <v>32</v>
          </cell>
          <cell r="E639">
            <v>1</v>
          </cell>
          <cell r="F639" t="str">
            <v xml:space="preserve">B </v>
          </cell>
          <cell r="G639">
            <v>4</v>
          </cell>
          <cell r="H639">
            <v>1980</v>
          </cell>
          <cell r="I639">
            <v>233607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4531186</v>
          </cell>
          <cell r="P639">
            <v>0</v>
          </cell>
          <cell r="Q639">
            <v>0</v>
          </cell>
          <cell r="R639">
            <v>42666</v>
          </cell>
          <cell r="S639">
            <v>0</v>
          </cell>
          <cell r="T639">
            <v>62577</v>
          </cell>
          <cell r="U639">
            <v>770319</v>
          </cell>
          <cell r="V639">
            <v>1035</v>
          </cell>
          <cell r="W639">
            <v>0</v>
          </cell>
          <cell r="X639">
            <v>0</v>
          </cell>
          <cell r="Y639">
            <v>216972</v>
          </cell>
          <cell r="Z639">
            <v>4531186</v>
          </cell>
          <cell r="AA639">
            <v>4854436</v>
          </cell>
          <cell r="AB639" t="str">
            <v>EROU</v>
          </cell>
          <cell r="AC639">
            <v>1101</v>
          </cell>
          <cell r="AD639">
            <v>2</v>
          </cell>
          <cell r="AE639">
            <v>233607</v>
          </cell>
        </row>
        <row r="640">
          <cell r="A640" t="str">
            <v>SSE</v>
          </cell>
          <cell r="B640">
            <v>3</v>
          </cell>
          <cell r="C640" t="str">
            <v>DRAS</v>
          </cell>
          <cell r="D640">
            <v>32</v>
          </cell>
          <cell r="E640">
            <v>1</v>
          </cell>
          <cell r="F640" t="str">
            <v xml:space="preserve">B </v>
          </cell>
          <cell r="G640">
            <v>5</v>
          </cell>
          <cell r="H640">
            <v>491</v>
          </cell>
          <cell r="I640">
            <v>83747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1624296</v>
          </cell>
          <cell r="P640">
            <v>0</v>
          </cell>
          <cell r="Q640">
            <v>0</v>
          </cell>
          <cell r="R640">
            <v>13607</v>
          </cell>
          <cell r="S640">
            <v>0</v>
          </cell>
          <cell r="T640">
            <v>31731</v>
          </cell>
          <cell r="U640">
            <v>276139</v>
          </cell>
          <cell r="V640">
            <v>377</v>
          </cell>
          <cell r="W640">
            <v>0</v>
          </cell>
          <cell r="X640">
            <v>0</v>
          </cell>
          <cell r="Y640">
            <v>94973</v>
          </cell>
          <cell r="Z640">
            <v>1624296</v>
          </cell>
          <cell r="AA640">
            <v>1764984</v>
          </cell>
          <cell r="AB640" t="str">
            <v>EROU</v>
          </cell>
          <cell r="AC640">
            <v>1101</v>
          </cell>
          <cell r="AD640">
            <v>2</v>
          </cell>
          <cell r="AE640">
            <v>83747</v>
          </cell>
        </row>
        <row r="641">
          <cell r="A641" t="str">
            <v>SSE</v>
          </cell>
          <cell r="B641">
            <v>3</v>
          </cell>
          <cell r="C641" t="str">
            <v>DRAS</v>
          </cell>
          <cell r="D641">
            <v>32</v>
          </cell>
          <cell r="E641">
            <v>1</v>
          </cell>
          <cell r="F641" t="str">
            <v xml:space="preserve">B </v>
          </cell>
          <cell r="G641">
            <v>6</v>
          </cell>
          <cell r="H641">
            <v>311</v>
          </cell>
          <cell r="I641">
            <v>73502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1425566</v>
          </cell>
          <cell r="P641">
            <v>0</v>
          </cell>
          <cell r="Q641">
            <v>0</v>
          </cell>
          <cell r="R641">
            <v>13220</v>
          </cell>
          <cell r="S641">
            <v>0</v>
          </cell>
          <cell r="T641">
            <v>43616</v>
          </cell>
          <cell r="U641">
            <v>242466</v>
          </cell>
          <cell r="V641">
            <v>754</v>
          </cell>
          <cell r="W641">
            <v>0</v>
          </cell>
          <cell r="X641">
            <v>0</v>
          </cell>
          <cell r="Y641">
            <v>54593</v>
          </cell>
          <cell r="Z641">
            <v>1425566</v>
          </cell>
          <cell r="AA641">
            <v>1537749</v>
          </cell>
          <cell r="AB641" t="str">
            <v>EROU</v>
          </cell>
          <cell r="AC641">
            <v>1101</v>
          </cell>
          <cell r="AD641">
            <v>2</v>
          </cell>
          <cell r="AE641">
            <v>73502</v>
          </cell>
        </row>
        <row r="642">
          <cell r="A642" t="str">
            <v>SSE</v>
          </cell>
          <cell r="B642">
            <v>3</v>
          </cell>
          <cell r="C642" t="str">
            <v>DRAS</v>
          </cell>
          <cell r="D642">
            <v>32</v>
          </cell>
          <cell r="E642">
            <v>1</v>
          </cell>
          <cell r="F642" t="str">
            <v xml:space="preserve">B </v>
          </cell>
          <cell r="G642">
            <v>7</v>
          </cell>
          <cell r="H642">
            <v>91</v>
          </cell>
          <cell r="I642">
            <v>30880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621446</v>
          </cell>
          <cell r="P642">
            <v>0</v>
          </cell>
          <cell r="Q642">
            <v>0</v>
          </cell>
          <cell r="R642">
            <v>4029</v>
          </cell>
          <cell r="S642">
            <v>0</v>
          </cell>
          <cell r="T642">
            <v>18429</v>
          </cell>
          <cell r="U642">
            <v>124342</v>
          </cell>
          <cell r="V642">
            <v>188</v>
          </cell>
          <cell r="W642">
            <v>0</v>
          </cell>
          <cell r="X642">
            <v>0</v>
          </cell>
          <cell r="Y642">
            <v>21883</v>
          </cell>
          <cell r="Z642">
            <v>621446</v>
          </cell>
          <cell r="AA642">
            <v>665975</v>
          </cell>
          <cell r="AB642" t="str">
            <v>EROU</v>
          </cell>
          <cell r="AC642">
            <v>1101</v>
          </cell>
          <cell r="AD642">
            <v>2</v>
          </cell>
          <cell r="AE642">
            <v>30880</v>
          </cell>
        </row>
        <row r="643">
          <cell r="A643" t="str">
            <v>SSE</v>
          </cell>
          <cell r="B643">
            <v>3</v>
          </cell>
          <cell r="C643" t="str">
            <v>DRAS</v>
          </cell>
          <cell r="D643">
            <v>32</v>
          </cell>
          <cell r="E643">
            <v>1</v>
          </cell>
          <cell r="F643" t="str">
            <v xml:space="preserve">B </v>
          </cell>
          <cell r="G643">
            <v>8</v>
          </cell>
          <cell r="H643">
            <v>54</v>
          </cell>
          <cell r="I643">
            <v>23386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470595</v>
          </cell>
          <cell r="P643">
            <v>0</v>
          </cell>
          <cell r="Q643">
            <v>0</v>
          </cell>
          <cell r="R643">
            <v>2967</v>
          </cell>
          <cell r="S643">
            <v>0</v>
          </cell>
          <cell r="T643">
            <v>4715</v>
          </cell>
          <cell r="U643">
            <v>94149</v>
          </cell>
          <cell r="V643">
            <v>0</v>
          </cell>
          <cell r="W643">
            <v>0</v>
          </cell>
          <cell r="X643">
            <v>0</v>
          </cell>
          <cell r="Y643">
            <v>11784</v>
          </cell>
          <cell r="Z643">
            <v>470595</v>
          </cell>
          <cell r="AA643">
            <v>490061</v>
          </cell>
          <cell r="AB643" t="str">
            <v>EROU</v>
          </cell>
          <cell r="AC643">
            <v>1101</v>
          </cell>
          <cell r="AD643">
            <v>2</v>
          </cell>
          <cell r="AE643">
            <v>23386</v>
          </cell>
        </row>
        <row r="644">
          <cell r="A644" t="str">
            <v>SSE</v>
          </cell>
          <cell r="B644">
            <v>3</v>
          </cell>
          <cell r="C644" t="str">
            <v>DRAS</v>
          </cell>
          <cell r="D644">
            <v>32</v>
          </cell>
          <cell r="E644">
            <v>1</v>
          </cell>
          <cell r="F644" t="str">
            <v xml:space="preserve">B </v>
          </cell>
          <cell r="G644">
            <v>9</v>
          </cell>
          <cell r="H644">
            <v>45</v>
          </cell>
          <cell r="I644">
            <v>29776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640757</v>
          </cell>
          <cell r="P644">
            <v>0</v>
          </cell>
          <cell r="Q644">
            <v>0</v>
          </cell>
          <cell r="R644">
            <v>5929</v>
          </cell>
          <cell r="S644">
            <v>0</v>
          </cell>
          <cell r="T644">
            <v>12154</v>
          </cell>
          <cell r="U644">
            <v>160238</v>
          </cell>
          <cell r="V644">
            <v>0</v>
          </cell>
          <cell r="W644">
            <v>0</v>
          </cell>
          <cell r="X644">
            <v>0</v>
          </cell>
          <cell r="Y644">
            <v>12641</v>
          </cell>
          <cell r="Z644">
            <v>640757</v>
          </cell>
          <cell r="AA644">
            <v>671481</v>
          </cell>
          <cell r="AB644" t="str">
            <v>EROU</v>
          </cell>
          <cell r="AC644">
            <v>1101</v>
          </cell>
          <cell r="AD644">
            <v>2</v>
          </cell>
          <cell r="AE644">
            <v>29776</v>
          </cell>
        </row>
        <row r="645">
          <cell r="A645" t="str">
            <v>SSE</v>
          </cell>
          <cell r="B645">
            <v>3</v>
          </cell>
          <cell r="C645" t="str">
            <v>DRAS</v>
          </cell>
          <cell r="D645">
            <v>32</v>
          </cell>
          <cell r="E645">
            <v>1</v>
          </cell>
          <cell r="F645" t="str">
            <v xml:space="preserve">B </v>
          </cell>
          <cell r="G645">
            <v>10</v>
          </cell>
          <cell r="H645">
            <v>10</v>
          </cell>
          <cell r="I645">
            <v>-15193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-326038</v>
          </cell>
          <cell r="P645">
            <v>0</v>
          </cell>
          <cell r="Q645">
            <v>0</v>
          </cell>
          <cell r="R645">
            <v>6893</v>
          </cell>
          <cell r="S645">
            <v>0</v>
          </cell>
          <cell r="T645">
            <v>61775</v>
          </cell>
          <cell r="U645">
            <v>-81505</v>
          </cell>
          <cell r="V645">
            <v>0</v>
          </cell>
          <cell r="W645">
            <v>0</v>
          </cell>
          <cell r="X645">
            <v>0</v>
          </cell>
          <cell r="Y645">
            <v>1017</v>
          </cell>
          <cell r="Z645">
            <v>-326038</v>
          </cell>
          <cell r="AA645">
            <v>-256353</v>
          </cell>
          <cell r="AB645" t="str">
            <v>EROU</v>
          </cell>
          <cell r="AC645">
            <v>1101</v>
          </cell>
          <cell r="AD645">
            <v>2</v>
          </cell>
          <cell r="AE645">
            <v>-15193</v>
          </cell>
        </row>
        <row r="646">
          <cell r="A646" t="str">
            <v>SSE</v>
          </cell>
          <cell r="B646">
            <v>3</v>
          </cell>
          <cell r="C646" t="str">
            <v>DRAS</v>
          </cell>
          <cell r="D646">
            <v>32</v>
          </cell>
          <cell r="E646">
            <v>1</v>
          </cell>
          <cell r="F646" t="str">
            <v xml:space="preserve">B </v>
          </cell>
          <cell r="G646">
            <v>11</v>
          </cell>
          <cell r="H646">
            <v>5651</v>
          </cell>
          <cell r="I646">
            <v>126709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714050</v>
          </cell>
          <cell r="P646">
            <v>0</v>
          </cell>
          <cell r="Q646">
            <v>0</v>
          </cell>
          <cell r="R646">
            <v>7703</v>
          </cell>
          <cell r="S646">
            <v>0</v>
          </cell>
          <cell r="T646">
            <v>67774</v>
          </cell>
          <cell r="U646">
            <v>0</v>
          </cell>
          <cell r="V646">
            <v>11001</v>
          </cell>
          <cell r="W646">
            <v>0</v>
          </cell>
          <cell r="X646">
            <v>0</v>
          </cell>
          <cell r="Y646">
            <v>16652</v>
          </cell>
          <cell r="Z646">
            <v>714050</v>
          </cell>
          <cell r="AA646">
            <v>817180</v>
          </cell>
          <cell r="AB646" t="str">
            <v>EROU</v>
          </cell>
          <cell r="AC646">
            <v>1101</v>
          </cell>
          <cell r="AD646">
            <v>2</v>
          </cell>
          <cell r="AE646">
            <v>92897</v>
          </cell>
        </row>
        <row r="647">
          <cell r="A647" t="str">
            <v>SSE</v>
          </cell>
          <cell r="B647">
            <v>3</v>
          </cell>
          <cell r="C647" t="str">
            <v>DRAS</v>
          </cell>
          <cell r="D647">
            <v>32</v>
          </cell>
          <cell r="E647">
            <v>1</v>
          </cell>
          <cell r="F647" t="str">
            <v xml:space="preserve">B </v>
          </cell>
          <cell r="G647">
            <v>12</v>
          </cell>
          <cell r="H647">
            <v>2422</v>
          </cell>
          <cell r="I647">
            <v>131111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1173811</v>
          </cell>
          <cell r="P647">
            <v>0</v>
          </cell>
          <cell r="Q647">
            <v>0</v>
          </cell>
          <cell r="R647">
            <v>12904</v>
          </cell>
          <cell r="S647">
            <v>0</v>
          </cell>
          <cell r="T647">
            <v>40072</v>
          </cell>
          <cell r="U647">
            <v>199690</v>
          </cell>
          <cell r="V647">
            <v>5076</v>
          </cell>
          <cell r="W647">
            <v>0</v>
          </cell>
          <cell r="X647">
            <v>0</v>
          </cell>
          <cell r="Y647">
            <v>40414</v>
          </cell>
          <cell r="Z647">
            <v>1173811</v>
          </cell>
          <cell r="AA647">
            <v>1272277</v>
          </cell>
          <cell r="AB647" t="str">
            <v>EROU</v>
          </cell>
          <cell r="AC647">
            <v>1101</v>
          </cell>
          <cell r="AD647">
            <v>2</v>
          </cell>
          <cell r="AE647">
            <v>131111</v>
          </cell>
        </row>
        <row r="648">
          <cell r="A648" t="str">
            <v>SSE</v>
          </cell>
          <cell r="B648">
            <v>3</v>
          </cell>
          <cell r="C648" t="str">
            <v>DRAS</v>
          </cell>
          <cell r="D648">
            <v>32</v>
          </cell>
          <cell r="E648">
            <v>1</v>
          </cell>
          <cell r="F648" t="str">
            <v xml:space="preserve">B </v>
          </cell>
          <cell r="G648">
            <v>13</v>
          </cell>
          <cell r="H648">
            <v>143</v>
          </cell>
          <cell r="I648">
            <v>16745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193120</v>
          </cell>
          <cell r="P648">
            <v>0</v>
          </cell>
          <cell r="Q648">
            <v>0</v>
          </cell>
          <cell r="R648">
            <v>2292</v>
          </cell>
          <cell r="S648">
            <v>0</v>
          </cell>
          <cell r="T648">
            <v>9471</v>
          </cell>
          <cell r="U648">
            <v>32831</v>
          </cell>
          <cell r="V648">
            <v>376</v>
          </cell>
          <cell r="W648">
            <v>0</v>
          </cell>
          <cell r="X648">
            <v>0</v>
          </cell>
          <cell r="Y648">
            <v>6403</v>
          </cell>
          <cell r="Z648">
            <v>193120</v>
          </cell>
          <cell r="AA648">
            <v>211662</v>
          </cell>
          <cell r="AB648" t="str">
            <v>EROU</v>
          </cell>
          <cell r="AC648">
            <v>1101</v>
          </cell>
          <cell r="AD648">
            <v>2</v>
          </cell>
          <cell r="AE648">
            <v>16745</v>
          </cell>
        </row>
        <row r="649">
          <cell r="A649" t="str">
            <v>SSE</v>
          </cell>
          <cell r="B649">
            <v>3</v>
          </cell>
          <cell r="C649" t="str">
            <v>DRAS</v>
          </cell>
          <cell r="D649">
            <v>32</v>
          </cell>
          <cell r="E649">
            <v>1</v>
          </cell>
          <cell r="F649" t="str">
            <v xml:space="preserve">B </v>
          </cell>
          <cell r="G649">
            <v>14</v>
          </cell>
          <cell r="H649">
            <v>13</v>
          </cell>
          <cell r="I649">
            <v>1943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24693</v>
          </cell>
          <cell r="P649">
            <v>0</v>
          </cell>
          <cell r="Q649">
            <v>0</v>
          </cell>
          <cell r="R649">
            <v>189</v>
          </cell>
          <cell r="S649">
            <v>0</v>
          </cell>
          <cell r="T649">
            <v>635</v>
          </cell>
          <cell r="U649">
            <v>4199</v>
          </cell>
          <cell r="V649">
            <v>0</v>
          </cell>
          <cell r="W649">
            <v>0</v>
          </cell>
          <cell r="X649">
            <v>0</v>
          </cell>
          <cell r="Y649">
            <v>908</v>
          </cell>
          <cell r="Z649">
            <v>24693</v>
          </cell>
          <cell r="AA649">
            <v>26425</v>
          </cell>
          <cell r="AB649" t="str">
            <v>EROU</v>
          </cell>
          <cell r="AC649">
            <v>1101</v>
          </cell>
          <cell r="AD649">
            <v>2</v>
          </cell>
          <cell r="AE649">
            <v>1943</v>
          </cell>
        </row>
        <row r="650">
          <cell r="A650" t="str">
            <v>SSE</v>
          </cell>
          <cell r="B650">
            <v>3</v>
          </cell>
          <cell r="C650" t="str">
            <v>DRAS</v>
          </cell>
          <cell r="D650">
            <v>32</v>
          </cell>
          <cell r="E650">
            <v>1</v>
          </cell>
          <cell r="F650" t="str">
            <v xml:space="preserve">B </v>
          </cell>
          <cell r="G650">
            <v>15</v>
          </cell>
          <cell r="H650">
            <v>24</v>
          </cell>
          <cell r="I650">
            <v>-1507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-54919</v>
          </cell>
          <cell r="P650">
            <v>0</v>
          </cell>
          <cell r="Q650">
            <v>0</v>
          </cell>
          <cell r="R650">
            <v>158</v>
          </cell>
          <cell r="S650">
            <v>0</v>
          </cell>
          <cell r="T650">
            <v>220</v>
          </cell>
          <cell r="U650">
            <v>-17395</v>
          </cell>
          <cell r="V650">
            <v>0</v>
          </cell>
          <cell r="W650">
            <v>0</v>
          </cell>
          <cell r="X650">
            <v>0</v>
          </cell>
          <cell r="Y650">
            <v>288</v>
          </cell>
          <cell r="Z650">
            <v>-54919</v>
          </cell>
          <cell r="AA650">
            <v>-54253</v>
          </cell>
          <cell r="AB650" t="str">
            <v>EROU</v>
          </cell>
          <cell r="AC650">
            <v>1101</v>
          </cell>
          <cell r="AD650">
            <v>2</v>
          </cell>
          <cell r="AE650">
            <v>-1507</v>
          </cell>
        </row>
        <row r="651">
          <cell r="A651" t="str">
            <v>SSE</v>
          </cell>
          <cell r="B651">
            <v>3</v>
          </cell>
          <cell r="C651" t="str">
            <v>DRAS</v>
          </cell>
          <cell r="D651">
            <v>32</v>
          </cell>
          <cell r="E651">
            <v>2</v>
          </cell>
          <cell r="F651" t="str">
            <v>A4</v>
          </cell>
          <cell r="G651">
            <v>20</v>
          </cell>
          <cell r="H651">
            <v>8</v>
          </cell>
          <cell r="I651">
            <v>40324</v>
          </cell>
          <cell r="J651">
            <v>0</v>
          </cell>
          <cell r="K651">
            <v>0</v>
          </cell>
          <cell r="L651">
            <v>413</v>
          </cell>
          <cell r="M651">
            <v>0</v>
          </cell>
          <cell r="N651">
            <v>0</v>
          </cell>
          <cell r="O651">
            <v>462703</v>
          </cell>
          <cell r="P651">
            <v>323242</v>
          </cell>
          <cell r="Q651">
            <v>84992</v>
          </cell>
          <cell r="R651">
            <v>15756</v>
          </cell>
          <cell r="S651">
            <v>0</v>
          </cell>
          <cell r="T651">
            <v>3703</v>
          </cell>
          <cell r="U651">
            <v>228693</v>
          </cell>
          <cell r="V651">
            <v>0</v>
          </cell>
          <cell r="W651">
            <v>43829</v>
          </cell>
          <cell r="X651">
            <v>0</v>
          </cell>
          <cell r="Y651">
            <v>1139</v>
          </cell>
          <cell r="Z651">
            <v>914766</v>
          </cell>
          <cell r="AA651">
            <v>935364</v>
          </cell>
          <cell r="AB651" t="str">
            <v>EROU</v>
          </cell>
          <cell r="AC651">
            <v>1101</v>
          </cell>
          <cell r="AD651">
            <v>2</v>
          </cell>
          <cell r="AE651">
            <v>40324</v>
          </cell>
        </row>
        <row r="652">
          <cell r="A652" t="str">
            <v>SSE</v>
          </cell>
          <cell r="B652">
            <v>3</v>
          </cell>
          <cell r="C652" t="str">
            <v>DRAS</v>
          </cell>
          <cell r="D652">
            <v>32</v>
          </cell>
          <cell r="E652">
            <v>2</v>
          </cell>
          <cell r="F652" t="str">
            <v xml:space="preserve">B </v>
          </cell>
          <cell r="G652">
            <v>0</v>
          </cell>
          <cell r="H652">
            <v>170</v>
          </cell>
          <cell r="I652">
            <v>67096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1396797</v>
          </cell>
          <cell r="P652">
            <v>0</v>
          </cell>
          <cell r="Q652">
            <v>0</v>
          </cell>
          <cell r="R652">
            <v>25581</v>
          </cell>
          <cell r="S652">
            <v>0</v>
          </cell>
          <cell r="T652">
            <v>415363</v>
          </cell>
          <cell r="U652">
            <v>343173</v>
          </cell>
          <cell r="V652">
            <v>2453</v>
          </cell>
          <cell r="W652">
            <v>0</v>
          </cell>
          <cell r="X652">
            <v>0</v>
          </cell>
          <cell r="Y652">
            <v>25424</v>
          </cell>
          <cell r="Z652">
            <v>1396797</v>
          </cell>
          <cell r="AA652">
            <v>1865618</v>
          </cell>
          <cell r="AB652" t="str">
            <v>EROU</v>
          </cell>
          <cell r="AC652">
            <v>1101</v>
          </cell>
          <cell r="AD652">
            <v>2</v>
          </cell>
          <cell r="AE652">
            <v>64196</v>
          </cell>
        </row>
        <row r="653">
          <cell r="A653" t="str">
            <v>SSE</v>
          </cell>
          <cell r="B653">
            <v>3</v>
          </cell>
          <cell r="C653" t="str">
            <v>DRAS</v>
          </cell>
          <cell r="D653">
            <v>32</v>
          </cell>
          <cell r="E653">
            <v>3</v>
          </cell>
          <cell r="F653" t="str">
            <v>A4</v>
          </cell>
          <cell r="G653">
            <v>20</v>
          </cell>
          <cell r="H653">
            <v>5</v>
          </cell>
          <cell r="I653">
            <v>31374</v>
          </cell>
          <cell r="J653">
            <v>0</v>
          </cell>
          <cell r="K653">
            <v>0</v>
          </cell>
          <cell r="L653">
            <v>207</v>
          </cell>
          <cell r="M653">
            <v>0</v>
          </cell>
          <cell r="N653">
            <v>0</v>
          </cell>
          <cell r="O653">
            <v>360005</v>
          </cell>
          <cell r="P653">
            <v>162013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130505</v>
          </cell>
          <cell r="V653">
            <v>0</v>
          </cell>
          <cell r="W653">
            <v>0</v>
          </cell>
          <cell r="X653">
            <v>0</v>
          </cell>
          <cell r="Y653">
            <v>2669</v>
          </cell>
          <cell r="Z653">
            <v>522018</v>
          </cell>
          <cell r="AA653">
            <v>524687</v>
          </cell>
          <cell r="AB653" t="str">
            <v>EROU</v>
          </cell>
          <cell r="AC653">
            <v>1101</v>
          </cell>
          <cell r="AD653">
            <v>2</v>
          </cell>
          <cell r="AE653">
            <v>31374</v>
          </cell>
        </row>
        <row r="654">
          <cell r="A654" t="str">
            <v>SSE</v>
          </cell>
          <cell r="B654">
            <v>3</v>
          </cell>
          <cell r="C654" t="str">
            <v>DRAS</v>
          </cell>
          <cell r="D654">
            <v>32</v>
          </cell>
          <cell r="E654">
            <v>3</v>
          </cell>
          <cell r="F654" t="str">
            <v xml:space="preserve">B </v>
          </cell>
          <cell r="G654">
            <v>0</v>
          </cell>
          <cell r="H654">
            <v>2546</v>
          </cell>
          <cell r="I654">
            <v>386614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8048195</v>
          </cell>
          <cell r="P654">
            <v>0</v>
          </cell>
          <cell r="Q654">
            <v>0</v>
          </cell>
          <cell r="R654">
            <v>97835</v>
          </cell>
          <cell r="S654">
            <v>0</v>
          </cell>
          <cell r="T654">
            <v>218978</v>
          </cell>
          <cell r="U654">
            <v>1973005</v>
          </cell>
          <cell r="V654">
            <v>1037</v>
          </cell>
          <cell r="W654">
            <v>0</v>
          </cell>
          <cell r="X654">
            <v>0</v>
          </cell>
          <cell r="Y654">
            <v>305922</v>
          </cell>
          <cell r="Z654">
            <v>8048195</v>
          </cell>
          <cell r="AA654">
            <v>8671967</v>
          </cell>
          <cell r="AB654" t="str">
            <v>EROU</v>
          </cell>
          <cell r="AC654">
            <v>1101</v>
          </cell>
          <cell r="AD654">
            <v>2</v>
          </cell>
          <cell r="AE654">
            <v>365648</v>
          </cell>
        </row>
        <row r="655">
          <cell r="A655" t="str">
            <v>SSE</v>
          </cell>
          <cell r="B655">
            <v>3</v>
          </cell>
          <cell r="C655" t="str">
            <v>DRAS</v>
          </cell>
          <cell r="D655">
            <v>32</v>
          </cell>
          <cell r="E655">
            <v>4</v>
          </cell>
          <cell r="F655" t="str">
            <v xml:space="preserve">B </v>
          </cell>
          <cell r="G655">
            <v>0</v>
          </cell>
          <cell r="H655">
            <v>1703</v>
          </cell>
          <cell r="I655">
            <v>158908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1559803</v>
          </cell>
          <cell r="P655">
            <v>0</v>
          </cell>
          <cell r="Q655">
            <v>0</v>
          </cell>
          <cell r="R655">
            <v>150</v>
          </cell>
          <cell r="S655">
            <v>0</v>
          </cell>
          <cell r="T655">
            <v>274153</v>
          </cell>
          <cell r="U655">
            <v>0</v>
          </cell>
          <cell r="V655">
            <v>138170</v>
          </cell>
          <cell r="W655">
            <v>0</v>
          </cell>
          <cell r="X655">
            <v>0</v>
          </cell>
          <cell r="Y655">
            <v>0</v>
          </cell>
          <cell r="Z655">
            <v>1559803</v>
          </cell>
          <cell r="AA655">
            <v>1972276</v>
          </cell>
          <cell r="AB655" t="str">
            <v>EROU</v>
          </cell>
          <cell r="AC655">
            <v>1101</v>
          </cell>
          <cell r="AD655">
            <v>2</v>
          </cell>
          <cell r="AE655">
            <v>143345</v>
          </cell>
        </row>
        <row r="656">
          <cell r="A656" t="str">
            <v>SSE</v>
          </cell>
          <cell r="B656">
            <v>3</v>
          </cell>
          <cell r="C656" t="str">
            <v>DRAS</v>
          </cell>
          <cell r="D656">
            <v>32</v>
          </cell>
          <cell r="E656">
            <v>5</v>
          </cell>
          <cell r="F656" t="str">
            <v>A4</v>
          </cell>
          <cell r="G656">
            <v>20</v>
          </cell>
          <cell r="H656">
            <v>4</v>
          </cell>
          <cell r="I656">
            <v>62758</v>
          </cell>
          <cell r="J656">
            <v>0</v>
          </cell>
          <cell r="K656">
            <v>0</v>
          </cell>
          <cell r="L656">
            <v>290</v>
          </cell>
          <cell r="M656">
            <v>0</v>
          </cell>
          <cell r="N656">
            <v>0</v>
          </cell>
          <cell r="O656">
            <v>667022</v>
          </cell>
          <cell r="P656">
            <v>216408</v>
          </cell>
          <cell r="Q656">
            <v>135963</v>
          </cell>
          <cell r="R656">
            <v>3034</v>
          </cell>
          <cell r="S656">
            <v>0</v>
          </cell>
          <cell r="T656">
            <v>0</v>
          </cell>
          <cell r="U656">
            <v>219003</v>
          </cell>
          <cell r="V656">
            <v>0</v>
          </cell>
          <cell r="W656">
            <v>48525</v>
          </cell>
          <cell r="X656">
            <v>0</v>
          </cell>
          <cell r="Y656">
            <v>0</v>
          </cell>
          <cell r="Z656">
            <v>1067918</v>
          </cell>
          <cell r="AA656">
            <v>1070952</v>
          </cell>
          <cell r="AB656" t="str">
            <v>EROU</v>
          </cell>
          <cell r="AC656">
            <v>1101</v>
          </cell>
          <cell r="AD656">
            <v>2</v>
          </cell>
          <cell r="AE656">
            <v>62758</v>
          </cell>
        </row>
        <row r="657">
          <cell r="A657" t="str">
            <v>SSE</v>
          </cell>
          <cell r="B657">
            <v>3</v>
          </cell>
          <cell r="C657" t="str">
            <v>DRAS</v>
          </cell>
          <cell r="D657">
            <v>32</v>
          </cell>
          <cell r="E657">
            <v>5</v>
          </cell>
          <cell r="F657" t="str">
            <v xml:space="preserve">B </v>
          </cell>
          <cell r="G657">
            <v>0</v>
          </cell>
          <cell r="H657">
            <v>570</v>
          </cell>
          <cell r="I657">
            <v>128589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2544843</v>
          </cell>
          <cell r="P657">
            <v>0</v>
          </cell>
          <cell r="Q657">
            <v>0</v>
          </cell>
          <cell r="R657">
            <v>25769</v>
          </cell>
          <cell r="S657">
            <v>0</v>
          </cell>
          <cell r="T657">
            <v>235332</v>
          </cell>
          <cell r="U657">
            <v>536713</v>
          </cell>
          <cell r="V657">
            <v>188</v>
          </cell>
          <cell r="W657">
            <v>0</v>
          </cell>
          <cell r="X657">
            <v>0</v>
          </cell>
          <cell r="Y657">
            <v>0</v>
          </cell>
          <cell r="Z657">
            <v>2544843</v>
          </cell>
          <cell r="AA657">
            <v>2806132</v>
          </cell>
          <cell r="AB657" t="str">
            <v>EROU</v>
          </cell>
          <cell r="AC657">
            <v>1101</v>
          </cell>
          <cell r="AD657">
            <v>2</v>
          </cell>
          <cell r="AE657">
            <v>125952</v>
          </cell>
        </row>
        <row r="658">
          <cell r="A658" t="str">
            <v>SSE</v>
          </cell>
          <cell r="B658">
            <v>3</v>
          </cell>
          <cell r="C658" t="str">
            <v>DRAS</v>
          </cell>
          <cell r="D658">
            <v>32</v>
          </cell>
          <cell r="E658">
            <v>6</v>
          </cell>
          <cell r="F658" t="str">
            <v xml:space="preserve">B </v>
          </cell>
          <cell r="G658">
            <v>0</v>
          </cell>
          <cell r="H658">
            <v>43</v>
          </cell>
          <cell r="I658">
            <v>252786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2976138</v>
          </cell>
          <cell r="P658">
            <v>0</v>
          </cell>
          <cell r="Q658">
            <v>0</v>
          </cell>
          <cell r="R658">
            <v>39654</v>
          </cell>
          <cell r="S658">
            <v>0</v>
          </cell>
          <cell r="T658">
            <v>39227</v>
          </cell>
          <cell r="U658">
            <v>744034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2976138</v>
          </cell>
          <cell r="AA658">
            <v>3055019</v>
          </cell>
          <cell r="AB658" t="str">
            <v>EROU</v>
          </cell>
          <cell r="AC658">
            <v>1101</v>
          </cell>
          <cell r="AD658">
            <v>2</v>
          </cell>
          <cell r="AE658">
            <v>252786</v>
          </cell>
        </row>
        <row r="659">
          <cell r="A659" t="str">
            <v>SSE</v>
          </cell>
          <cell r="B659">
            <v>3</v>
          </cell>
          <cell r="C659" t="str">
            <v>DRAS</v>
          </cell>
          <cell r="D659">
            <v>32</v>
          </cell>
          <cell r="E659">
            <v>7</v>
          </cell>
          <cell r="F659" t="str">
            <v>A4</v>
          </cell>
          <cell r="G659">
            <v>20</v>
          </cell>
          <cell r="H659">
            <v>5</v>
          </cell>
          <cell r="I659">
            <v>215282</v>
          </cell>
          <cell r="J659">
            <v>0</v>
          </cell>
          <cell r="K659">
            <v>0</v>
          </cell>
          <cell r="L659">
            <v>681</v>
          </cell>
          <cell r="M659">
            <v>0</v>
          </cell>
          <cell r="N659">
            <v>0</v>
          </cell>
          <cell r="O659">
            <v>2099717</v>
          </cell>
          <cell r="P659">
            <v>452184</v>
          </cell>
          <cell r="Q659">
            <v>49556</v>
          </cell>
          <cell r="R659">
            <v>0</v>
          </cell>
          <cell r="S659">
            <v>0</v>
          </cell>
          <cell r="T659">
            <v>0</v>
          </cell>
          <cell r="U659">
            <v>651692</v>
          </cell>
          <cell r="V659">
            <v>0</v>
          </cell>
          <cell r="W659">
            <v>5312</v>
          </cell>
          <cell r="X659">
            <v>0</v>
          </cell>
          <cell r="Y659">
            <v>0</v>
          </cell>
          <cell r="Z659">
            <v>2606769</v>
          </cell>
          <cell r="AA659">
            <v>2606769</v>
          </cell>
          <cell r="AB659" t="str">
            <v>EROU</v>
          </cell>
          <cell r="AC659">
            <v>1101</v>
          </cell>
          <cell r="AD659">
            <v>2</v>
          </cell>
          <cell r="AE659">
            <v>215282</v>
          </cell>
        </row>
        <row r="660">
          <cell r="A660" t="str">
            <v>SSE</v>
          </cell>
          <cell r="B660">
            <v>3</v>
          </cell>
          <cell r="C660" t="str">
            <v>DRAS</v>
          </cell>
          <cell r="D660">
            <v>32</v>
          </cell>
          <cell r="E660">
            <v>7</v>
          </cell>
          <cell r="F660" t="str">
            <v xml:space="preserve">B </v>
          </cell>
          <cell r="G660">
            <v>0</v>
          </cell>
          <cell r="H660">
            <v>21</v>
          </cell>
          <cell r="I660">
            <v>45171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799284</v>
          </cell>
          <cell r="P660">
            <v>0</v>
          </cell>
          <cell r="Q660">
            <v>0</v>
          </cell>
          <cell r="R660">
            <v>1515</v>
          </cell>
          <cell r="S660">
            <v>0</v>
          </cell>
          <cell r="T660">
            <v>0</v>
          </cell>
          <cell r="U660">
            <v>199819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799284</v>
          </cell>
          <cell r="AA660">
            <v>800799</v>
          </cell>
          <cell r="AB660" t="str">
            <v>EROU</v>
          </cell>
          <cell r="AC660">
            <v>1101</v>
          </cell>
          <cell r="AD660">
            <v>2</v>
          </cell>
          <cell r="AE660">
            <v>45049</v>
          </cell>
        </row>
        <row r="661">
          <cell r="A661" t="str">
            <v>SSE</v>
          </cell>
          <cell r="B661">
            <v>3</v>
          </cell>
          <cell r="C661" t="str">
            <v>DRAS</v>
          </cell>
          <cell r="D661">
            <v>32</v>
          </cell>
          <cell r="E661">
            <v>8</v>
          </cell>
          <cell r="F661" t="str">
            <v xml:space="preserve">B </v>
          </cell>
          <cell r="G661">
            <v>0</v>
          </cell>
          <cell r="H661">
            <v>4</v>
          </cell>
          <cell r="I661">
            <v>8551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178020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44506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178020</v>
          </cell>
          <cell r="AA661">
            <v>178020</v>
          </cell>
          <cell r="AB661" t="str">
            <v>EROU</v>
          </cell>
          <cell r="AC661">
            <v>1101</v>
          </cell>
          <cell r="AD661">
            <v>2</v>
          </cell>
          <cell r="AE661">
            <v>8551</v>
          </cell>
        </row>
        <row r="662">
          <cell r="A662" t="str">
            <v>SSE</v>
          </cell>
          <cell r="B662">
            <v>3</v>
          </cell>
          <cell r="C662" t="str">
            <v>DRAS</v>
          </cell>
          <cell r="D662">
            <v>32</v>
          </cell>
          <cell r="E662">
            <v>90</v>
          </cell>
          <cell r="F662" t="str">
            <v>A4</v>
          </cell>
          <cell r="G662">
            <v>20</v>
          </cell>
          <cell r="H662">
            <v>1</v>
          </cell>
          <cell r="I662">
            <v>36480</v>
          </cell>
          <cell r="J662">
            <v>0</v>
          </cell>
          <cell r="K662">
            <v>0</v>
          </cell>
          <cell r="L662">
            <v>108</v>
          </cell>
          <cell r="M662">
            <v>0</v>
          </cell>
          <cell r="N662">
            <v>0</v>
          </cell>
          <cell r="O662">
            <v>99590</v>
          </cell>
          <cell r="P662">
            <v>92772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192362</v>
          </cell>
          <cell r="AA662">
            <v>192362</v>
          </cell>
          <cell r="AB662" t="str">
            <v>EROU</v>
          </cell>
          <cell r="AC662">
            <v>1101</v>
          </cell>
          <cell r="AD662">
            <v>2</v>
          </cell>
          <cell r="AE662">
            <v>36480</v>
          </cell>
        </row>
        <row r="663">
          <cell r="A663" t="str">
            <v>SSE</v>
          </cell>
          <cell r="B663">
            <v>3</v>
          </cell>
          <cell r="C663" t="str">
            <v>DRAS</v>
          </cell>
          <cell r="D663">
            <v>33</v>
          </cell>
          <cell r="E663">
            <v>1</v>
          </cell>
          <cell r="F663" t="str">
            <v xml:space="preserve">B </v>
          </cell>
          <cell r="G663">
            <v>1</v>
          </cell>
          <cell r="H663">
            <v>4604</v>
          </cell>
          <cell r="I663">
            <v>93956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1514715</v>
          </cell>
          <cell r="P663">
            <v>0</v>
          </cell>
          <cell r="Q663">
            <v>0</v>
          </cell>
          <cell r="R663">
            <v>17053</v>
          </cell>
          <cell r="S663">
            <v>0</v>
          </cell>
          <cell r="T663">
            <v>114219</v>
          </cell>
          <cell r="U663">
            <v>0</v>
          </cell>
          <cell r="V663">
            <v>282</v>
          </cell>
          <cell r="W663">
            <v>0</v>
          </cell>
          <cell r="X663">
            <v>0</v>
          </cell>
          <cell r="Y663">
            <v>7992</v>
          </cell>
          <cell r="Z663">
            <v>1514715</v>
          </cell>
          <cell r="AA663">
            <v>1654261</v>
          </cell>
          <cell r="AB663" t="str">
            <v>ERAP</v>
          </cell>
          <cell r="AC663">
            <v>1101</v>
          </cell>
          <cell r="AD663">
            <v>2</v>
          </cell>
          <cell r="AE663">
            <v>69412</v>
          </cell>
        </row>
        <row r="664">
          <cell r="A664" t="str">
            <v>SSE</v>
          </cell>
          <cell r="B664">
            <v>3</v>
          </cell>
          <cell r="C664" t="str">
            <v>DRAS</v>
          </cell>
          <cell r="D664">
            <v>33</v>
          </cell>
          <cell r="E664">
            <v>1</v>
          </cell>
          <cell r="F664" t="str">
            <v xml:space="preserve">B </v>
          </cell>
          <cell r="G664">
            <v>2</v>
          </cell>
          <cell r="H664">
            <v>1830</v>
          </cell>
          <cell r="I664">
            <v>73174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1419146</v>
          </cell>
          <cell r="P664">
            <v>0</v>
          </cell>
          <cell r="Q664">
            <v>0</v>
          </cell>
          <cell r="R664">
            <v>13636</v>
          </cell>
          <cell r="S664">
            <v>0</v>
          </cell>
          <cell r="T664">
            <v>24035</v>
          </cell>
          <cell r="U664">
            <v>241181</v>
          </cell>
          <cell r="V664">
            <v>0</v>
          </cell>
          <cell r="W664">
            <v>0</v>
          </cell>
          <cell r="X664">
            <v>0</v>
          </cell>
          <cell r="Y664">
            <v>100794</v>
          </cell>
          <cell r="Z664">
            <v>1419146</v>
          </cell>
          <cell r="AA664">
            <v>1557611</v>
          </cell>
          <cell r="AB664" t="str">
            <v>ERAP</v>
          </cell>
          <cell r="AC664">
            <v>1101</v>
          </cell>
          <cell r="AD664">
            <v>2</v>
          </cell>
          <cell r="AE664">
            <v>73174</v>
          </cell>
        </row>
        <row r="665">
          <cell r="A665" t="str">
            <v>SSE</v>
          </cell>
          <cell r="B665">
            <v>3</v>
          </cell>
          <cell r="C665" t="str">
            <v>DRAS</v>
          </cell>
          <cell r="D665">
            <v>33</v>
          </cell>
          <cell r="E665">
            <v>1</v>
          </cell>
          <cell r="F665" t="str">
            <v xml:space="preserve">B </v>
          </cell>
          <cell r="G665">
            <v>3</v>
          </cell>
          <cell r="H665">
            <v>4000</v>
          </cell>
          <cell r="I665">
            <v>296578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5751620</v>
          </cell>
          <cell r="P665">
            <v>0</v>
          </cell>
          <cell r="Q665">
            <v>0</v>
          </cell>
          <cell r="R665">
            <v>47047</v>
          </cell>
          <cell r="S665">
            <v>0</v>
          </cell>
          <cell r="T665">
            <v>78566</v>
          </cell>
          <cell r="U665">
            <v>977777</v>
          </cell>
          <cell r="V665">
            <v>283</v>
          </cell>
          <cell r="W665">
            <v>0</v>
          </cell>
          <cell r="X665">
            <v>0</v>
          </cell>
          <cell r="Y665">
            <v>327087</v>
          </cell>
          <cell r="Z665">
            <v>5751620</v>
          </cell>
          <cell r="AA665">
            <v>6204603</v>
          </cell>
          <cell r="AB665" t="str">
            <v>ERAP</v>
          </cell>
          <cell r="AC665">
            <v>1101</v>
          </cell>
          <cell r="AD665">
            <v>2</v>
          </cell>
          <cell r="AE665">
            <v>295843</v>
          </cell>
        </row>
        <row r="666">
          <cell r="A666" t="str">
            <v>SSE</v>
          </cell>
          <cell r="B666">
            <v>3</v>
          </cell>
          <cell r="C666" t="str">
            <v>DRAS</v>
          </cell>
          <cell r="D666">
            <v>33</v>
          </cell>
          <cell r="E666">
            <v>1</v>
          </cell>
          <cell r="F666" t="str">
            <v xml:space="preserve">B </v>
          </cell>
          <cell r="G666">
            <v>4</v>
          </cell>
          <cell r="H666">
            <v>1511</v>
          </cell>
          <cell r="I666">
            <v>180822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3507295</v>
          </cell>
          <cell r="P666">
            <v>0</v>
          </cell>
          <cell r="Q666">
            <v>0</v>
          </cell>
          <cell r="R666">
            <v>35234</v>
          </cell>
          <cell r="S666">
            <v>0</v>
          </cell>
          <cell r="T666">
            <v>47966</v>
          </cell>
          <cell r="U666">
            <v>596236</v>
          </cell>
          <cell r="V666">
            <v>0</v>
          </cell>
          <cell r="W666">
            <v>0</v>
          </cell>
          <cell r="X666">
            <v>0</v>
          </cell>
          <cell r="Y666">
            <v>165652</v>
          </cell>
          <cell r="Z666">
            <v>3507295</v>
          </cell>
          <cell r="AA666">
            <v>3756147</v>
          </cell>
          <cell r="AB666" t="str">
            <v>ERAP</v>
          </cell>
          <cell r="AC666">
            <v>1101</v>
          </cell>
          <cell r="AD666">
            <v>2</v>
          </cell>
          <cell r="AE666">
            <v>180822</v>
          </cell>
        </row>
        <row r="667">
          <cell r="A667" t="str">
            <v>SSE</v>
          </cell>
          <cell r="B667">
            <v>3</v>
          </cell>
          <cell r="C667" t="str">
            <v>DRAS</v>
          </cell>
          <cell r="D667">
            <v>33</v>
          </cell>
          <cell r="E667">
            <v>1</v>
          </cell>
          <cell r="F667" t="str">
            <v xml:space="preserve">B </v>
          </cell>
          <cell r="G667">
            <v>5</v>
          </cell>
          <cell r="H667">
            <v>408</v>
          </cell>
          <cell r="I667">
            <v>69896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1355661</v>
          </cell>
          <cell r="P667">
            <v>0</v>
          </cell>
          <cell r="Q667">
            <v>0</v>
          </cell>
          <cell r="R667">
            <v>13469</v>
          </cell>
          <cell r="S667">
            <v>0</v>
          </cell>
          <cell r="T667">
            <v>14851</v>
          </cell>
          <cell r="U667">
            <v>230474</v>
          </cell>
          <cell r="V667">
            <v>94</v>
          </cell>
          <cell r="W667">
            <v>0</v>
          </cell>
          <cell r="X667">
            <v>0</v>
          </cell>
          <cell r="Y667">
            <v>62967</v>
          </cell>
          <cell r="Z667">
            <v>1355661</v>
          </cell>
          <cell r="AA667">
            <v>1447042</v>
          </cell>
          <cell r="AB667" t="str">
            <v>ERAP</v>
          </cell>
          <cell r="AC667">
            <v>1101</v>
          </cell>
          <cell r="AD667">
            <v>2</v>
          </cell>
          <cell r="AE667">
            <v>69896</v>
          </cell>
        </row>
        <row r="668">
          <cell r="A668" t="str">
            <v>SSE</v>
          </cell>
          <cell r="B668">
            <v>3</v>
          </cell>
          <cell r="C668" t="str">
            <v>DRAS</v>
          </cell>
          <cell r="D668">
            <v>33</v>
          </cell>
          <cell r="E668">
            <v>1</v>
          </cell>
          <cell r="F668" t="str">
            <v xml:space="preserve">B </v>
          </cell>
          <cell r="G668">
            <v>6</v>
          </cell>
          <cell r="H668">
            <v>275</v>
          </cell>
          <cell r="I668">
            <v>64990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1260598</v>
          </cell>
          <cell r="P668">
            <v>0</v>
          </cell>
          <cell r="Q668">
            <v>0</v>
          </cell>
          <cell r="R668">
            <v>12907</v>
          </cell>
          <cell r="S668">
            <v>0</v>
          </cell>
          <cell r="T668">
            <v>11670</v>
          </cell>
          <cell r="U668">
            <v>214401</v>
          </cell>
          <cell r="V668">
            <v>0</v>
          </cell>
          <cell r="W668">
            <v>0</v>
          </cell>
          <cell r="X668">
            <v>0</v>
          </cell>
          <cell r="Y668">
            <v>42500</v>
          </cell>
          <cell r="Z668">
            <v>1260598</v>
          </cell>
          <cell r="AA668">
            <v>1327675</v>
          </cell>
          <cell r="AB668" t="str">
            <v>ERAP</v>
          </cell>
          <cell r="AC668">
            <v>1101</v>
          </cell>
          <cell r="AD668">
            <v>2</v>
          </cell>
          <cell r="AE668">
            <v>64990</v>
          </cell>
        </row>
        <row r="669">
          <cell r="A669" t="str">
            <v>SSE</v>
          </cell>
          <cell r="B669">
            <v>3</v>
          </cell>
          <cell r="C669" t="str">
            <v>DRAS</v>
          </cell>
          <cell r="D669">
            <v>33</v>
          </cell>
          <cell r="E669">
            <v>1</v>
          </cell>
          <cell r="F669" t="str">
            <v xml:space="preserve">B </v>
          </cell>
          <cell r="G669">
            <v>7</v>
          </cell>
          <cell r="H669">
            <v>99</v>
          </cell>
          <cell r="I669">
            <v>33468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673533</v>
          </cell>
          <cell r="P669">
            <v>0</v>
          </cell>
          <cell r="Q669">
            <v>0</v>
          </cell>
          <cell r="R669">
            <v>6472</v>
          </cell>
          <cell r="S669">
            <v>0</v>
          </cell>
          <cell r="T669">
            <v>6995</v>
          </cell>
          <cell r="U669">
            <v>134769</v>
          </cell>
          <cell r="V669">
            <v>0</v>
          </cell>
          <cell r="W669">
            <v>0</v>
          </cell>
          <cell r="X669">
            <v>0</v>
          </cell>
          <cell r="Y669">
            <v>19029</v>
          </cell>
          <cell r="Z669">
            <v>673533</v>
          </cell>
          <cell r="AA669">
            <v>706029</v>
          </cell>
          <cell r="AB669" t="str">
            <v>ERAP</v>
          </cell>
          <cell r="AC669">
            <v>1101</v>
          </cell>
          <cell r="AD669">
            <v>2</v>
          </cell>
          <cell r="AE669">
            <v>33468</v>
          </cell>
        </row>
        <row r="670">
          <cell r="A670" t="str">
            <v>SSE</v>
          </cell>
          <cell r="B670">
            <v>3</v>
          </cell>
          <cell r="C670" t="str">
            <v>DRAS</v>
          </cell>
          <cell r="D670">
            <v>33</v>
          </cell>
          <cell r="E670">
            <v>1</v>
          </cell>
          <cell r="F670" t="str">
            <v xml:space="preserve">B </v>
          </cell>
          <cell r="G670">
            <v>8</v>
          </cell>
          <cell r="H670">
            <v>48</v>
          </cell>
          <cell r="I670">
            <v>21198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426565</v>
          </cell>
          <cell r="P670">
            <v>0</v>
          </cell>
          <cell r="Q670">
            <v>0</v>
          </cell>
          <cell r="R670">
            <v>4123</v>
          </cell>
          <cell r="S670">
            <v>0</v>
          </cell>
          <cell r="T670">
            <v>10757</v>
          </cell>
          <cell r="U670">
            <v>85335</v>
          </cell>
          <cell r="V670">
            <v>566</v>
          </cell>
          <cell r="W670">
            <v>0</v>
          </cell>
          <cell r="X670">
            <v>0</v>
          </cell>
          <cell r="Y670">
            <v>10188</v>
          </cell>
          <cell r="Z670">
            <v>426565</v>
          </cell>
          <cell r="AA670">
            <v>452199</v>
          </cell>
          <cell r="AB670" t="str">
            <v>ERAP</v>
          </cell>
          <cell r="AC670">
            <v>1101</v>
          </cell>
          <cell r="AD670">
            <v>2</v>
          </cell>
          <cell r="AE670">
            <v>21198</v>
          </cell>
        </row>
        <row r="671">
          <cell r="A671" t="str">
            <v>SSE</v>
          </cell>
          <cell r="B671">
            <v>3</v>
          </cell>
          <cell r="C671" t="str">
            <v>DRAS</v>
          </cell>
          <cell r="D671">
            <v>33</v>
          </cell>
          <cell r="E671">
            <v>1</v>
          </cell>
          <cell r="F671" t="str">
            <v xml:space="preserve">B </v>
          </cell>
          <cell r="G671">
            <v>9</v>
          </cell>
          <cell r="H671">
            <v>51</v>
          </cell>
          <cell r="I671">
            <v>33338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713611</v>
          </cell>
          <cell r="P671">
            <v>0</v>
          </cell>
          <cell r="Q671">
            <v>0</v>
          </cell>
          <cell r="R671">
            <v>5140</v>
          </cell>
          <cell r="S671">
            <v>0</v>
          </cell>
          <cell r="T671">
            <v>14122</v>
          </cell>
          <cell r="U671">
            <v>178460</v>
          </cell>
          <cell r="V671">
            <v>0</v>
          </cell>
          <cell r="W671">
            <v>0</v>
          </cell>
          <cell r="X671">
            <v>0</v>
          </cell>
          <cell r="Y671">
            <v>17452</v>
          </cell>
          <cell r="Z671">
            <v>713611</v>
          </cell>
          <cell r="AA671">
            <v>750325</v>
          </cell>
          <cell r="AB671" t="str">
            <v>ERAP</v>
          </cell>
          <cell r="AC671">
            <v>1101</v>
          </cell>
          <cell r="AD671">
            <v>2</v>
          </cell>
          <cell r="AE671">
            <v>33338</v>
          </cell>
        </row>
        <row r="672">
          <cell r="A672" t="str">
            <v>SSE</v>
          </cell>
          <cell r="B672">
            <v>3</v>
          </cell>
          <cell r="C672" t="str">
            <v>DRAS</v>
          </cell>
          <cell r="D672">
            <v>33</v>
          </cell>
          <cell r="E672">
            <v>1</v>
          </cell>
          <cell r="F672" t="str">
            <v xml:space="preserve">B </v>
          </cell>
          <cell r="G672">
            <v>10</v>
          </cell>
          <cell r="H672">
            <v>10</v>
          </cell>
          <cell r="I672">
            <v>-3680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-41439</v>
          </cell>
          <cell r="P672">
            <v>0</v>
          </cell>
          <cell r="Q672">
            <v>0</v>
          </cell>
          <cell r="R672">
            <v>2543</v>
          </cell>
          <cell r="S672">
            <v>0</v>
          </cell>
          <cell r="T672">
            <v>1721</v>
          </cell>
          <cell r="U672">
            <v>-10350</v>
          </cell>
          <cell r="V672">
            <v>-189</v>
          </cell>
          <cell r="W672">
            <v>0</v>
          </cell>
          <cell r="X672">
            <v>0</v>
          </cell>
          <cell r="Y672">
            <v>2908</v>
          </cell>
          <cell r="Z672">
            <v>-41439</v>
          </cell>
          <cell r="AA672">
            <v>-34456</v>
          </cell>
          <cell r="AB672" t="str">
            <v>ERAP</v>
          </cell>
          <cell r="AC672">
            <v>1101</v>
          </cell>
          <cell r="AD672">
            <v>2</v>
          </cell>
          <cell r="AE672">
            <v>-3680</v>
          </cell>
        </row>
        <row r="673">
          <cell r="A673" t="str">
            <v>SSE</v>
          </cell>
          <cell r="B673">
            <v>3</v>
          </cell>
          <cell r="C673" t="str">
            <v>DRAS</v>
          </cell>
          <cell r="D673">
            <v>33</v>
          </cell>
          <cell r="E673">
            <v>1</v>
          </cell>
          <cell r="F673" t="str">
            <v xml:space="preserve">B </v>
          </cell>
          <cell r="G673">
            <v>11</v>
          </cell>
          <cell r="H673">
            <v>2683</v>
          </cell>
          <cell r="I673">
            <v>58328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328636</v>
          </cell>
          <cell r="P673">
            <v>0</v>
          </cell>
          <cell r="Q673">
            <v>0</v>
          </cell>
          <cell r="R673">
            <v>6005</v>
          </cell>
          <cell r="S673">
            <v>0</v>
          </cell>
          <cell r="T673">
            <v>49589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9444</v>
          </cell>
          <cell r="Z673">
            <v>328636</v>
          </cell>
          <cell r="AA673">
            <v>393674</v>
          </cell>
          <cell r="AB673" t="str">
            <v>ERAP</v>
          </cell>
          <cell r="AC673">
            <v>1101</v>
          </cell>
          <cell r="AD673">
            <v>2</v>
          </cell>
          <cell r="AE673">
            <v>43233</v>
          </cell>
        </row>
        <row r="674">
          <cell r="A674" t="str">
            <v>SSE</v>
          </cell>
          <cell r="B674">
            <v>3</v>
          </cell>
          <cell r="C674" t="str">
            <v>DRAS</v>
          </cell>
          <cell r="D674">
            <v>33</v>
          </cell>
          <cell r="E674">
            <v>1</v>
          </cell>
          <cell r="F674" t="str">
            <v xml:space="preserve">B </v>
          </cell>
          <cell r="G674">
            <v>12</v>
          </cell>
          <cell r="H674">
            <v>2536</v>
          </cell>
          <cell r="I674">
            <v>147707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1350185</v>
          </cell>
          <cell r="P674">
            <v>0</v>
          </cell>
          <cell r="Q674">
            <v>0</v>
          </cell>
          <cell r="R674">
            <v>12110</v>
          </cell>
          <cell r="S674">
            <v>0</v>
          </cell>
          <cell r="T674">
            <v>21062</v>
          </cell>
          <cell r="U674">
            <v>229678</v>
          </cell>
          <cell r="V674">
            <v>94</v>
          </cell>
          <cell r="W674">
            <v>0</v>
          </cell>
          <cell r="X674">
            <v>0</v>
          </cell>
          <cell r="Y674">
            <v>176921</v>
          </cell>
          <cell r="Z674">
            <v>1350185</v>
          </cell>
          <cell r="AA674">
            <v>1560372</v>
          </cell>
          <cell r="AB674" t="str">
            <v>ERAP</v>
          </cell>
          <cell r="AC674">
            <v>1101</v>
          </cell>
          <cell r="AD674">
            <v>2</v>
          </cell>
          <cell r="AE674">
            <v>147707</v>
          </cell>
        </row>
        <row r="675">
          <cell r="A675" t="str">
            <v>SSE</v>
          </cell>
          <cell r="B675">
            <v>3</v>
          </cell>
          <cell r="C675" t="str">
            <v>DRAS</v>
          </cell>
          <cell r="D675">
            <v>33</v>
          </cell>
          <cell r="E675">
            <v>1</v>
          </cell>
          <cell r="F675" t="str">
            <v xml:space="preserve">B </v>
          </cell>
          <cell r="G675">
            <v>13</v>
          </cell>
          <cell r="H675">
            <v>227</v>
          </cell>
          <cell r="I675">
            <v>26032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293078</v>
          </cell>
          <cell r="P675">
            <v>0</v>
          </cell>
          <cell r="Q675">
            <v>0</v>
          </cell>
          <cell r="R675">
            <v>2969</v>
          </cell>
          <cell r="S675">
            <v>0</v>
          </cell>
          <cell r="T675">
            <v>1715</v>
          </cell>
          <cell r="U675">
            <v>49834</v>
          </cell>
          <cell r="V675">
            <v>94</v>
          </cell>
          <cell r="W675">
            <v>0</v>
          </cell>
          <cell r="X675">
            <v>0</v>
          </cell>
          <cell r="Y675">
            <v>22118</v>
          </cell>
          <cell r="Z675">
            <v>293078</v>
          </cell>
          <cell r="AA675">
            <v>319974</v>
          </cell>
          <cell r="AB675" t="str">
            <v>ERAP</v>
          </cell>
          <cell r="AC675">
            <v>1101</v>
          </cell>
          <cell r="AD675">
            <v>2</v>
          </cell>
          <cell r="AE675">
            <v>26032</v>
          </cell>
        </row>
        <row r="676">
          <cell r="A676" t="str">
            <v>SSE</v>
          </cell>
          <cell r="B676">
            <v>3</v>
          </cell>
          <cell r="C676" t="str">
            <v>DRAS</v>
          </cell>
          <cell r="D676">
            <v>33</v>
          </cell>
          <cell r="E676">
            <v>1</v>
          </cell>
          <cell r="F676" t="str">
            <v xml:space="preserve">B </v>
          </cell>
          <cell r="G676">
            <v>14</v>
          </cell>
          <cell r="H676">
            <v>20</v>
          </cell>
          <cell r="I676">
            <v>2991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38021</v>
          </cell>
          <cell r="P676">
            <v>0</v>
          </cell>
          <cell r="Q676">
            <v>0</v>
          </cell>
          <cell r="R676">
            <v>340</v>
          </cell>
          <cell r="S676">
            <v>0</v>
          </cell>
          <cell r="T676">
            <v>110</v>
          </cell>
          <cell r="U676">
            <v>6464</v>
          </cell>
          <cell r="V676">
            <v>0</v>
          </cell>
          <cell r="W676">
            <v>0</v>
          </cell>
          <cell r="X676">
            <v>0</v>
          </cell>
          <cell r="Y676">
            <v>3283</v>
          </cell>
          <cell r="Z676">
            <v>38021</v>
          </cell>
          <cell r="AA676">
            <v>41754</v>
          </cell>
          <cell r="AB676" t="str">
            <v>ERAP</v>
          </cell>
          <cell r="AC676">
            <v>1101</v>
          </cell>
          <cell r="AD676">
            <v>2</v>
          </cell>
          <cell r="AE676">
            <v>2991</v>
          </cell>
        </row>
        <row r="677">
          <cell r="A677" t="str">
            <v>SSE</v>
          </cell>
          <cell r="B677">
            <v>3</v>
          </cell>
          <cell r="C677" t="str">
            <v>DRAS</v>
          </cell>
          <cell r="D677">
            <v>33</v>
          </cell>
          <cell r="E677">
            <v>1</v>
          </cell>
          <cell r="F677" t="str">
            <v xml:space="preserve">B </v>
          </cell>
          <cell r="G677">
            <v>15</v>
          </cell>
          <cell r="H677">
            <v>21</v>
          </cell>
          <cell r="I677">
            <v>29312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600788</v>
          </cell>
          <cell r="P677">
            <v>0</v>
          </cell>
          <cell r="Q677">
            <v>0</v>
          </cell>
          <cell r="R677">
            <v>794</v>
          </cell>
          <cell r="S677">
            <v>0</v>
          </cell>
          <cell r="T677">
            <v>1092</v>
          </cell>
          <cell r="U677">
            <v>145598</v>
          </cell>
          <cell r="V677">
            <v>0</v>
          </cell>
          <cell r="W677">
            <v>0</v>
          </cell>
          <cell r="X677">
            <v>0</v>
          </cell>
          <cell r="Y677">
            <v>4365</v>
          </cell>
          <cell r="Z677">
            <v>600788</v>
          </cell>
          <cell r="AA677">
            <v>607039</v>
          </cell>
          <cell r="AB677" t="str">
            <v>ERAP</v>
          </cell>
          <cell r="AC677">
            <v>1101</v>
          </cell>
          <cell r="AD677">
            <v>2</v>
          </cell>
          <cell r="AE677">
            <v>29312</v>
          </cell>
        </row>
        <row r="678">
          <cell r="A678" t="str">
            <v>SSE</v>
          </cell>
          <cell r="B678">
            <v>3</v>
          </cell>
          <cell r="C678" t="str">
            <v>DRAS</v>
          </cell>
          <cell r="D678">
            <v>33</v>
          </cell>
          <cell r="E678">
            <v>2</v>
          </cell>
          <cell r="F678" t="str">
            <v>A4</v>
          </cell>
          <cell r="G678">
            <v>22</v>
          </cell>
          <cell r="H678">
            <v>1</v>
          </cell>
          <cell r="I678">
            <v>769676</v>
          </cell>
          <cell r="J678">
            <v>51169</v>
          </cell>
          <cell r="K678">
            <v>718507</v>
          </cell>
          <cell r="L678">
            <v>847</v>
          </cell>
          <cell r="M678">
            <v>847</v>
          </cell>
          <cell r="N678">
            <v>837</v>
          </cell>
          <cell r="O678">
            <v>4476400</v>
          </cell>
          <cell r="P678">
            <v>2318143</v>
          </cell>
          <cell r="Q678">
            <v>66551</v>
          </cell>
          <cell r="R678">
            <v>0</v>
          </cell>
          <cell r="S678">
            <v>0</v>
          </cell>
          <cell r="T678">
            <v>3676106</v>
          </cell>
          <cell r="U678">
            <v>1726837</v>
          </cell>
          <cell r="V678">
            <v>0</v>
          </cell>
          <cell r="W678">
            <v>46254</v>
          </cell>
          <cell r="X678">
            <v>0</v>
          </cell>
          <cell r="Y678">
            <v>0</v>
          </cell>
          <cell r="Z678">
            <v>6907348</v>
          </cell>
          <cell r="AA678">
            <v>10583454</v>
          </cell>
          <cell r="AB678" t="str">
            <v>ERAP</v>
          </cell>
          <cell r="AC678">
            <v>1101</v>
          </cell>
          <cell r="AD678">
            <v>2</v>
          </cell>
          <cell r="AE678">
            <v>769676</v>
          </cell>
        </row>
        <row r="679">
          <cell r="A679" t="str">
            <v>SSE</v>
          </cell>
          <cell r="B679">
            <v>3</v>
          </cell>
          <cell r="C679" t="str">
            <v>DRAS</v>
          </cell>
          <cell r="D679">
            <v>33</v>
          </cell>
          <cell r="E679">
            <v>2</v>
          </cell>
          <cell r="F679" t="str">
            <v>A4</v>
          </cell>
          <cell r="G679">
            <v>21</v>
          </cell>
          <cell r="H679">
            <v>5</v>
          </cell>
          <cell r="I679">
            <v>1585281</v>
          </cell>
          <cell r="J679">
            <v>102789</v>
          </cell>
          <cell r="K679">
            <v>1482492</v>
          </cell>
          <cell r="L679">
            <v>3290</v>
          </cell>
          <cell r="M679">
            <v>3119</v>
          </cell>
          <cell r="N679">
            <v>0</v>
          </cell>
          <cell r="O679">
            <v>15891590</v>
          </cell>
          <cell r="P679">
            <v>2508274</v>
          </cell>
          <cell r="Q679">
            <v>173435</v>
          </cell>
          <cell r="R679">
            <v>247598</v>
          </cell>
          <cell r="S679">
            <v>0</v>
          </cell>
          <cell r="T679">
            <v>3391169</v>
          </cell>
          <cell r="U679">
            <v>4645225</v>
          </cell>
          <cell r="V679">
            <v>0</v>
          </cell>
          <cell r="W679">
            <v>7597</v>
          </cell>
          <cell r="X679">
            <v>0</v>
          </cell>
          <cell r="Y679">
            <v>1454</v>
          </cell>
          <cell r="Z679">
            <v>18580896</v>
          </cell>
          <cell r="AA679">
            <v>22221117</v>
          </cell>
          <cell r="AB679" t="str">
            <v>ERAP</v>
          </cell>
          <cell r="AC679">
            <v>1101</v>
          </cell>
          <cell r="AD679">
            <v>2</v>
          </cell>
          <cell r="AE679">
            <v>1585281</v>
          </cell>
        </row>
        <row r="680">
          <cell r="A680" t="str">
            <v>SSE</v>
          </cell>
          <cell r="B680">
            <v>3</v>
          </cell>
          <cell r="C680" t="str">
            <v>DRAS</v>
          </cell>
          <cell r="D680">
            <v>33</v>
          </cell>
          <cell r="E680">
            <v>2</v>
          </cell>
          <cell r="F680" t="str">
            <v>A4</v>
          </cell>
          <cell r="G680">
            <v>20</v>
          </cell>
          <cell r="H680">
            <v>70</v>
          </cell>
          <cell r="I680">
            <v>1014303</v>
          </cell>
          <cell r="J680">
            <v>0</v>
          </cell>
          <cell r="K680">
            <v>0</v>
          </cell>
          <cell r="L680">
            <v>4906</v>
          </cell>
          <cell r="M680">
            <v>0</v>
          </cell>
          <cell r="N680">
            <v>0</v>
          </cell>
          <cell r="O680">
            <v>11638776</v>
          </cell>
          <cell r="P680">
            <v>3839763</v>
          </cell>
          <cell r="Q680">
            <v>1624296</v>
          </cell>
          <cell r="R680">
            <v>234592</v>
          </cell>
          <cell r="S680">
            <v>0</v>
          </cell>
          <cell r="T680">
            <v>1751222</v>
          </cell>
          <cell r="U680">
            <v>4434404</v>
          </cell>
          <cell r="V680">
            <v>0</v>
          </cell>
          <cell r="W680">
            <v>634743</v>
          </cell>
          <cell r="X680">
            <v>0</v>
          </cell>
          <cell r="Y680">
            <v>7302</v>
          </cell>
          <cell r="Z680">
            <v>17737578</v>
          </cell>
          <cell r="AA680">
            <v>19730694</v>
          </cell>
          <cell r="AB680" t="str">
            <v>ERAP</v>
          </cell>
          <cell r="AC680">
            <v>1101</v>
          </cell>
          <cell r="AD680">
            <v>2</v>
          </cell>
          <cell r="AE680">
            <v>1014303</v>
          </cell>
        </row>
        <row r="681">
          <cell r="A681" t="str">
            <v>SSE</v>
          </cell>
          <cell r="B681">
            <v>3</v>
          </cell>
          <cell r="C681" t="str">
            <v>DRAS</v>
          </cell>
          <cell r="D681">
            <v>33</v>
          </cell>
          <cell r="E681">
            <v>2</v>
          </cell>
          <cell r="F681" t="str">
            <v xml:space="preserve">B </v>
          </cell>
          <cell r="G681">
            <v>0</v>
          </cell>
          <cell r="H681">
            <v>213</v>
          </cell>
          <cell r="I681">
            <v>187335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3900016</v>
          </cell>
          <cell r="P681">
            <v>0</v>
          </cell>
          <cell r="Q681">
            <v>0</v>
          </cell>
          <cell r="R681">
            <v>82227</v>
          </cell>
          <cell r="S681">
            <v>0</v>
          </cell>
          <cell r="T681">
            <v>918047</v>
          </cell>
          <cell r="U681">
            <v>961362</v>
          </cell>
          <cell r="V681">
            <v>10849</v>
          </cell>
          <cell r="W681">
            <v>0</v>
          </cell>
          <cell r="X681">
            <v>0</v>
          </cell>
          <cell r="Y681">
            <v>39443</v>
          </cell>
          <cell r="Z681">
            <v>3900016</v>
          </cell>
          <cell r="AA681">
            <v>4950582</v>
          </cell>
          <cell r="AB681" t="str">
            <v>ERAP</v>
          </cell>
          <cell r="AC681">
            <v>1101</v>
          </cell>
          <cell r="AD681">
            <v>2</v>
          </cell>
          <cell r="AE681">
            <v>185575</v>
          </cell>
        </row>
        <row r="682">
          <cell r="A682" t="str">
            <v>SSE</v>
          </cell>
          <cell r="B682">
            <v>3</v>
          </cell>
          <cell r="C682" t="str">
            <v>DRAS</v>
          </cell>
          <cell r="D682">
            <v>33</v>
          </cell>
          <cell r="E682">
            <v>3</v>
          </cell>
          <cell r="F682" t="str">
            <v>A4</v>
          </cell>
          <cell r="G682">
            <v>20</v>
          </cell>
          <cell r="H682">
            <v>8</v>
          </cell>
          <cell r="I682">
            <v>44630</v>
          </cell>
          <cell r="J682">
            <v>0</v>
          </cell>
          <cell r="K682">
            <v>0</v>
          </cell>
          <cell r="L682">
            <v>230</v>
          </cell>
          <cell r="M682">
            <v>0</v>
          </cell>
          <cell r="N682">
            <v>0</v>
          </cell>
          <cell r="O682">
            <v>512114</v>
          </cell>
          <cell r="P682">
            <v>180015</v>
          </cell>
          <cell r="Q682">
            <v>39828</v>
          </cell>
          <cell r="R682">
            <v>2686</v>
          </cell>
          <cell r="S682">
            <v>0</v>
          </cell>
          <cell r="T682">
            <v>0</v>
          </cell>
          <cell r="U682">
            <v>186905</v>
          </cell>
          <cell r="V682">
            <v>0</v>
          </cell>
          <cell r="W682">
            <v>15654</v>
          </cell>
          <cell r="X682">
            <v>0</v>
          </cell>
          <cell r="Y682">
            <v>8724</v>
          </cell>
          <cell r="Z682">
            <v>747611</v>
          </cell>
          <cell r="AA682">
            <v>759021</v>
          </cell>
          <cell r="AB682" t="str">
            <v>ERAP</v>
          </cell>
          <cell r="AC682">
            <v>1101</v>
          </cell>
          <cell r="AD682">
            <v>2</v>
          </cell>
          <cell r="AE682">
            <v>44630</v>
          </cell>
        </row>
        <row r="683">
          <cell r="A683" t="str">
            <v>SSE</v>
          </cell>
          <cell r="B683">
            <v>3</v>
          </cell>
          <cell r="C683" t="str">
            <v>DRAS</v>
          </cell>
          <cell r="D683">
            <v>33</v>
          </cell>
          <cell r="E683">
            <v>3</v>
          </cell>
          <cell r="F683" t="str">
            <v xml:space="preserve">B </v>
          </cell>
          <cell r="G683">
            <v>0</v>
          </cell>
          <cell r="H683">
            <v>2336</v>
          </cell>
          <cell r="I683">
            <v>342576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7131911</v>
          </cell>
          <cell r="P683">
            <v>0</v>
          </cell>
          <cell r="Q683">
            <v>0</v>
          </cell>
          <cell r="R683">
            <v>90612</v>
          </cell>
          <cell r="S683">
            <v>0</v>
          </cell>
          <cell r="T683">
            <v>324030</v>
          </cell>
          <cell r="U683">
            <v>1733948</v>
          </cell>
          <cell r="V683">
            <v>4808</v>
          </cell>
          <cell r="W683">
            <v>0</v>
          </cell>
          <cell r="X683">
            <v>0</v>
          </cell>
          <cell r="Y683">
            <v>328531</v>
          </cell>
          <cell r="Z683">
            <v>7131911</v>
          </cell>
          <cell r="AA683">
            <v>7879892</v>
          </cell>
          <cell r="AB683" t="str">
            <v>ERAP</v>
          </cell>
          <cell r="AC683">
            <v>1101</v>
          </cell>
          <cell r="AD683">
            <v>2</v>
          </cell>
          <cell r="AE683">
            <v>322925</v>
          </cell>
        </row>
        <row r="684">
          <cell r="A684" t="str">
            <v>SSE</v>
          </cell>
          <cell r="B684">
            <v>3</v>
          </cell>
          <cell r="C684" t="str">
            <v>DRAS</v>
          </cell>
          <cell r="D684">
            <v>33</v>
          </cell>
          <cell r="E684">
            <v>4</v>
          </cell>
          <cell r="F684" t="str">
            <v>A4</v>
          </cell>
          <cell r="G684">
            <v>20</v>
          </cell>
          <cell r="H684">
            <v>3</v>
          </cell>
          <cell r="I684">
            <v>18881</v>
          </cell>
          <cell r="J684">
            <v>0</v>
          </cell>
          <cell r="K684">
            <v>0</v>
          </cell>
          <cell r="L684">
            <v>102</v>
          </cell>
          <cell r="M684">
            <v>0</v>
          </cell>
          <cell r="N684">
            <v>0</v>
          </cell>
          <cell r="O684">
            <v>146233</v>
          </cell>
          <cell r="P684">
            <v>53856</v>
          </cell>
          <cell r="Q684">
            <v>33234</v>
          </cell>
          <cell r="R684">
            <v>2461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16896</v>
          </cell>
          <cell r="X684">
            <v>0</v>
          </cell>
          <cell r="Y684">
            <v>0</v>
          </cell>
          <cell r="Z684">
            <v>250219</v>
          </cell>
          <cell r="AA684">
            <v>252680</v>
          </cell>
          <cell r="AB684" t="str">
            <v>ERAP</v>
          </cell>
          <cell r="AC684">
            <v>1101</v>
          </cell>
          <cell r="AD684">
            <v>2</v>
          </cell>
          <cell r="AE684">
            <v>18881</v>
          </cell>
        </row>
        <row r="685">
          <cell r="A685" t="str">
            <v>SSE</v>
          </cell>
          <cell r="B685">
            <v>3</v>
          </cell>
          <cell r="C685" t="str">
            <v>DRAS</v>
          </cell>
          <cell r="D685">
            <v>33</v>
          </cell>
          <cell r="E685">
            <v>4</v>
          </cell>
          <cell r="F685" t="str">
            <v xml:space="preserve">B </v>
          </cell>
          <cell r="G685">
            <v>0</v>
          </cell>
          <cell r="H685">
            <v>5928</v>
          </cell>
          <cell r="I685">
            <v>311541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3054026</v>
          </cell>
          <cell r="P685">
            <v>0</v>
          </cell>
          <cell r="Q685">
            <v>0</v>
          </cell>
          <cell r="R685">
            <v>1334</v>
          </cell>
          <cell r="S685">
            <v>0</v>
          </cell>
          <cell r="T685">
            <v>394357</v>
          </cell>
          <cell r="U685">
            <v>0</v>
          </cell>
          <cell r="V685">
            <v>116334</v>
          </cell>
          <cell r="W685">
            <v>0</v>
          </cell>
          <cell r="X685">
            <v>0</v>
          </cell>
          <cell r="Y685">
            <v>0</v>
          </cell>
          <cell r="Z685">
            <v>3054026</v>
          </cell>
          <cell r="AA685">
            <v>3566051</v>
          </cell>
          <cell r="AB685" t="str">
            <v>ERAP</v>
          </cell>
          <cell r="AC685">
            <v>1101</v>
          </cell>
          <cell r="AD685">
            <v>2</v>
          </cell>
          <cell r="AE685">
            <v>259960</v>
          </cell>
        </row>
        <row r="686">
          <cell r="A686" t="str">
            <v>SSE</v>
          </cell>
          <cell r="B686">
            <v>3</v>
          </cell>
          <cell r="C686" t="str">
            <v>DRAS</v>
          </cell>
          <cell r="D686">
            <v>33</v>
          </cell>
          <cell r="E686">
            <v>5</v>
          </cell>
          <cell r="F686" t="str">
            <v>A4</v>
          </cell>
          <cell r="G686">
            <v>20</v>
          </cell>
          <cell r="H686">
            <v>1</v>
          </cell>
          <cell r="I686">
            <v>6406</v>
          </cell>
          <cell r="J686">
            <v>0</v>
          </cell>
          <cell r="K686">
            <v>0</v>
          </cell>
          <cell r="L686">
            <v>43</v>
          </cell>
          <cell r="M686">
            <v>0</v>
          </cell>
          <cell r="N686">
            <v>0</v>
          </cell>
          <cell r="O686">
            <v>73507</v>
          </cell>
          <cell r="P686">
            <v>33655</v>
          </cell>
          <cell r="Q686">
            <v>2995</v>
          </cell>
          <cell r="R686">
            <v>2438</v>
          </cell>
          <cell r="S686">
            <v>0</v>
          </cell>
          <cell r="T686">
            <v>0</v>
          </cell>
          <cell r="U686">
            <v>27931</v>
          </cell>
          <cell r="V686">
            <v>0</v>
          </cell>
          <cell r="W686">
            <v>1565</v>
          </cell>
          <cell r="X686">
            <v>0</v>
          </cell>
          <cell r="Y686">
            <v>0</v>
          </cell>
          <cell r="Z686">
            <v>111722</v>
          </cell>
          <cell r="AA686">
            <v>114160</v>
          </cell>
          <cell r="AB686" t="str">
            <v>ERAP</v>
          </cell>
          <cell r="AC686">
            <v>1101</v>
          </cell>
          <cell r="AD686">
            <v>2</v>
          </cell>
          <cell r="AE686">
            <v>6406</v>
          </cell>
        </row>
        <row r="687">
          <cell r="A687" t="str">
            <v>SSE</v>
          </cell>
          <cell r="B687">
            <v>3</v>
          </cell>
          <cell r="C687" t="str">
            <v>DRAS</v>
          </cell>
          <cell r="D687">
            <v>33</v>
          </cell>
          <cell r="E687">
            <v>5</v>
          </cell>
          <cell r="F687" t="str">
            <v xml:space="preserve">B </v>
          </cell>
          <cell r="G687">
            <v>0</v>
          </cell>
          <cell r="H687">
            <v>252</v>
          </cell>
          <cell r="I687">
            <v>83871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1646453</v>
          </cell>
          <cell r="P687">
            <v>0</v>
          </cell>
          <cell r="Q687">
            <v>0</v>
          </cell>
          <cell r="R687">
            <v>17194</v>
          </cell>
          <cell r="S687">
            <v>0</v>
          </cell>
          <cell r="T687">
            <v>92167</v>
          </cell>
          <cell r="U687">
            <v>336938</v>
          </cell>
          <cell r="V687">
            <v>283</v>
          </cell>
          <cell r="W687">
            <v>0</v>
          </cell>
          <cell r="X687">
            <v>0</v>
          </cell>
          <cell r="Y687">
            <v>0</v>
          </cell>
          <cell r="Z687">
            <v>1646453</v>
          </cell>
          <cell r="AA687">
            <v>1756097</v>
          </cell>
          <cell r="AB687" t="str">
            <v>ERAP</v>
          </cell>
          <cell r="AC687">
            <v>1101</v>
          </cell>
          <cell r="AD687">
            <v>2</v>
          </cell>
          <cell r="AE687">
            <v>81698</v>
          </cell>
        </row>
        <row r="688">
          <cell r="A688" t="str">
            <v>SSE</v>
          </cell>
          <cell r="B688">
            <v>3</v>
          </cell>
          <cell r="C688" t="str">
            <v>DRAS</v>
          </cell>
          <cell r="D688">
            <v>33</v>
          </cell>
          <cell r="E688">
            <v>6</v>
          </cell>
          <cell r="F688" t="str">
            <v xml:space="preserve">B </v>
          </cell>
          <cell r="G688">
            <v>0</v>
          </cell>
          <cell r="H688">
            <v>16</v>
          </cell>
          <cell r="I688">
            <v>155529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1831096</v>
          </cell>
          <cell r="P688">
            <v>0</v>
          </cell>
          <cell r="Q688">
            <v>0</v>
          </cell>
          <cell r="R688">
            <v>29484</v>
          </cell>
          <cell r="S688">
            <v>0</v>
          </cell>
          <cell r="T688">
            <v>86300</v>
          </cell>
          <cell r="U688">
            <v>457773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1831096</v>
          </cell>
          <cell r="AA688">
            <v>1946880</v>
          </cell>
          <cell r="AB688" t="str">
            <v>ERAP</v>
          </cell>
          <cell r="AC688">
            <v>1101</v>
          </cell>
          <cell r="AD688">
            <v>2</v>
          </cell>
          <cell r="AE688">
            <v>155529</v>
          </cell>
        </row>
        <row r="689">
          <cell r="A689" t="str">
            <v>SSE</v>
          </cell>
          <cell r="B689">
            <v>3</v>
          </cell>
          <cell r="C689" t="str">
            <v>DRAS</v>
          </cell>
          <cell r="D689">
            <v>33</v>
          </cell>
          <cell r="E689">
            <v>7</v>
          </cell>
          <cell r="F689" t="str">
            <v>A4</v>
          </cell>
          <cell r="G689">
            <v>20</v>
          </cell>
          <cell r="H689">
            <v>6</v>
          </cell>
          <cell r="I689">
            <v>101260</v>
          </cell>
          <cell r="J689">
            <v>0</v>
          </cell>
          <cell r="K689">
            <v>0</v>
          </cell>
          <cell r="L689">
            <v>683</v>
          </cell>
          <cell r="M689">
            <v>0</v>
          </cell>
          <cell r="N689">
            <v>0</v>
          </cell>
          <cell r="O689">
            <v>987623</v>
          </cell>
          <cell r="P689">
            <v>453512</v>
          </cell>
          <cell r="Q689">
            <v>35619</v>
          </cell>
          <cell r="R689">
            <v>0</v>
          </cell>
          <cell r="S689">
            <v>0</v>
          </cell>
          <cell r="T689">
            <v>0</v>
          </cell>
          <cell r="U689">
            <v>372675</v>
          </cell>
          <cell r="V689">
            <v>0</v>
          </cell>
          <cell r="W689">
            <v>13944</v>
          </cell>
          <cell r="X689">
            <v>0</v>
          </cell>
          <cell r="Y689">
            <v>0</v>
          </cell>
          <cell r="Z689">
            <v>1490698</v>
          </cell>
          <cell r="AA689">
            <v>1490698</v>
          </cell>
          <cell r="AB689" t="str">
            <v>ERAP</v>
          </cell>
          <cell r="AC689">
            <v>1101</v>
          </cell>
          <cell r="AD689">
            <v>2</v>
          </cell>
          <cell r="AE689">
            <v>101260</v>
          </cell>
        </row>
        <row r="690">
          <cell r="A690" t="str">
            <v>SSE</v>
          </cell>
          <cell r="B690">
            <v>3</v>
          </cell>
          <cell r="C690" t="str">
            <v>DRAS</v>
          </cell>
          <cell r="D690">
            <v>33</v>
          </cell>
          <cell r="E690">
            <v>7</v>
          </cell>
          <cell r="F690" t="str">
            <v xml:space="preserve">B </v>
          </cell>
          <cell r="G690">
            <v>0</v>
          </cell>
          <cell r="H690">
            <v>10</v>
          </cell>
          <cell r="I690">
            <v>7067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125046</v>
          </cell>
          <cell r="P690">
            <v>0</v>
          </cell>
          <cell r="Q690">
            <v>0</v>
          </cell>
          <cell r="R690">
            <v>35</v>
          </cell>
          <cell r="S690">
            <v>0</v>
          </cell>
          <cell r="T690">
            <v>0</v>
          </cell>
          <cell r="U690">
            <v>31260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125046</v>
          </cell>
          <cell r="AA690">
            <v>125081</v>
          </cell>
          <cell r="AB690" t="str">
            <v>ERAP</v>
          </cell>
          <cell r="AC690">
            <v>1101</v>
          </cell>
          <cell r="AD690">
            <v>2</v>
          </cell>
          <cell r="AE690">
            <v>6603</v>
          </cell>
        </row>
        <row r="691">
          <cell r="A691" t="str">
            <v>SSE</v>
          </cell>
          <cell r="B691">
            <v>3</v>
          </cell>
          <cell r="C691" t="str">
            <v>DRAS</v>
          </cell>
          <cell r="D691">
            <v>33</v>
          </cell>
          <cell r="E691">
            <v>8</v>
          </cell>
          <cell r="F691" t="str">
            <v xml:space="preserve">B </v>
          </cell>
          <cell r="G691">
            <v>0</v>
          </cell>
          <cell r="H691">
            <v>3</v>
          </cell>
          <cell r="I691">
            <v>5759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119894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29973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119894</v>
          </cell>
          <cell r="AA691">
            <v>119894</v>
          </cell>
          <cell r="AB691" t="str">
            <v>ERAP</v>
          </cell>
          <cell r="AC691">
            <v>1101</v>
          </cell>
          <cell r="AD691">
            <v>2</v>
          </cell>
          <cell r="AE691">
            <v>5759</v>
          </cell>
        </row>
        <row r="692">
          <cell r="A692" t="str">
            <v>SSE</v>
          </cell>
          <cell r="B692">
            <v>3</v>
          </cell>
          <cell r="C692" t="str">
            <v>DRAS</v>
          </cell>
          <cell r="D692">
            <v>33</v>
          </cell>
          <cell r="E692">
            <v>90</v>
          </cell>
          <cell r="F692" t="str">
            <v>A4</v>
          </cell>
          <cell r="G692">
            <v>20</v>
          </cell>
          <cell r="H692">
            <v>1</v>
          </cell>
          <cell r="I692">
            <v>840</v>
          </cell>
          <cell r="J692">
            <v>0</v>
          </cell>
          <cell r="K692">
            <v>0</v>
          </cell>
          <cell r="L692">
            <v>26</v>
          </cell>
          <cell r="M692">
            <v>0</v>
          </cell>
          <cell r="N692">
            <v>0</v>
          </cell>
          <cell r="O692">
            <v>2293</v>
          </cell>
          <cell r="P692">
            <v>22334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24627</v>
          </cell>
          <cell r="AA692">
            <v>24627</v>
          </cell>
          <cell r="AB692" t="str">
            <v>ERAP</v>
          </cell>
          <cell r="AC692">
            <v>1101</v>
          </cell>
          <cell r="AD692">
            <v>2</v>
          </cell>
          <cell r="AE692">
            <v>840</v>
          </cell>
        </row>
        <row r="693">
          <cell r="A693" t="str">
            <v>SSE</v>
          </cell>
          <cell r="B693">
            <v>3</v>
          </cell>
          <cell r="C693" t="str">
            <v>DRAS</v>
          </cell>
          <cell r="D693">
            <v>34</v>
          </cell>
          <cell r="E693">
            <v>1</v>
          </cell>
          <cell r="F693" t="str">
            <v xml:space="preserve">B </v>
          </cell>
          <cell r="G693">
            <v>1</v>
          </cell>
          <cell r="H693">
            <v>1317</v>
          </cell>
          <cell r="I693">
            <v>28666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461455</v>
          </cell>
          <cell r="P693">
            <v>0</v>
          </cell>
          <cell r="Q693">
            <v>0</v>
          </cell>
          <cell r="R693">
            <v>7240</v>
          </cell>
          <cell r="S693">
            <v>0</v>
          </cell>
          <cell r="T693">
            <v>129669</v>
          </cell>
          <cell r="U693">
            <v>0</v>
          </cell>
          <cell r="V693">
            <v>282</v>
          </cell>
          <cell r="W693">
            <v>0</v>
          </cell>
          <cell r="X693">
            <v>0</v>
          </cell>
          <cell r="Y693">
            <v>0</v>
          </cell>
          <cell r="Z693">
            <v>461455</v>
          </cell>
          <cell r="AA693">
            <v>598646</v>
          </cell>
          <cell r="AB693" t="str">
            <v>RPEL</v>
          </cell>
          <cell r="AC693">
            <v>1101</v>
          </cell>
          <cell r="AD693">
            <v>2</v>
          </cell>
          <cell r="AE693">
            <v>20726</v>
          </cell>
        </row>
        <row r="694">
          <cell r="A694" t="str">
            <v>SSE</v>
          </cell>
          <cell r="B694">
            <v>3</v>
          </cell>
          <cell r="C694" t="str">
            <v>DRAS</v>
          </cell>
          <cell r="D694">
            <v>34</v>
          </cell>
          <cell r="E694">
            <v>1</v>
          </cell>
          <cell r="F694" t="str">
            <v xml:space="preserve">B </v>
          </cell>
          <cell r="G694">
            <v>2</v>
          </cell>
          <cell r="H694">
            <v>818</v>
          </cell>
          <cell r="I694">
            <v>33310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646045</v>
          </cell>
          <cell r="P694">
            <v>0</v>
          </cell>
          <cell r="Q694">
            <v>0</v>
          </cell>
          <cell r="R694">
            <v>6598</v>
          </cell>
          <cell r="S694">
            <v>0</v>
          </cell>
          <cell r="T694">
            <v>18929</v>
          </cell>
          <cell r="U694">
            <v>109798</v>
          </cell>
          <cell r="V694">
            <v>659</v>
          </cell>
          <cell r="W694">
            <v>0</v>
          </cell>
          <cell r="X694">
            <v>0</v>
          </cell>
          <cell r="Y694">
            <v>0</v>
          </cell>
          <cell r="Z694">
            <v>646045</v>
          </cell>
          <cell r="AA694">
            <v>672231</v>
          </cell>
          <cell r="AB694" t="str">
            <v>RPEL</v>
          </cell>
          <cell r="AC694">
            <v>1101</v>
          </cell>
          <cell r="AD694">
            <v>2</v>
          </cell>
          <cell r="AE694">
            <v>33310</v>
          </cell>
        </row>
        <row r="695">
          <cell r="A695" t="str">
            <v>SSE</v>
          </cell>
          <cell r="B695">
            <v>3</v>
          </cell>
          <cell r="C695" t="str">
            <v>DRAS</v>
          </cell>
          <cell r="D695">
            <v>34</v>
          </cell>
          <cell r="E695">
            <v>1</v>
          </cell>
          <cell r="F695" t="str">
            <v xml:space="preserve">B </v>
          </cell>
          <cell r="G695">
            <v>3</v>
          </cell>
          <cell r="H695">
            <v>2152</v>
          </cell>
          <cell r="I695">
            <v>156445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3034121</v>
          </cell>
          <cell r="P695">
            <v>0</v>
          </cell>
          <cell r="Q695">
            <v>0</v>
          </cell>
          <cell r="R695">
            <v>25576</v>
          </cell>
          <cell r="S695">
            <v>0</v>
          </cell>
          <cell r="T695">
            <v>49864</v>
          </cell>
          <cell r="U695">
            <v>515824</v>
          </cell>
          <cell r="V695">
            <v>1034</v>
          </cell>
          <cell r="W695">
            <v>0</v>
          </cell>
          <cell r="X695">
            <v>0</v>
          </cell>
          <cell r="Y695">
            <v>0</v>
          </cell>
          <cell r="Z695">
            <v>3034121</v>
          </cell>
          <cell r="AA695">
            <v>3110595</v>
          </cell>
          <cell r="AB695" t="str">
            <v>RPEL</v>
          </cell>
          <cell r="AC695">
            <v>1101</v>
          </cell>
          <cell r="AD695">
            <v>2</v>
          </cell>
          <cell r="AE695">
            <v>156445</v>
          </cell>
        </row>
        <row r="696">
          <cell r="A696" t="str">
            <v>SSE</v>
          </cell>
          <cell r="B696">
            <v>3</v>
          </cell>
          <cell r="C696" t="str">
            <v>DRAS</v>
          </cell>
          <cell r="D696">
            <v>34</v>
          </cell>
          <cell r="E696">
            <v>1</v>
          </cell>
          <cell r="F696" t="str">
            <v xml:space="preserve">B </v>
          </cell>
          <cell r="G696">
            <v>4</v>
          </cell>
          <cell r="H696">
            <v>532</v>
          </cell>
          <cell r="I696">
            <v>63390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1229552</v>
          </cell>
          <cell r="P696">
            <v>0</v>
          </cell>
          <cell r="Q696">
            <v>0</v>
          </cell>
          <cell r="R696">
            <v>17372</v>
          </cell>
          <cell r="S696">
            <v>0</v>
          </cell>
          <cell r="T696">
            <v>20389</v>
          </cell>
          <cell r="U696">
            <v>209028</v>
          </cell>
          <cell r="V696">
            <v>376</v>
          </cell>
          <cell r="W696">
            <v>0</v>
          </cell>
          <cell r="X696">
            <v>0</v>
          </cell>
          <cell r="Y696">
            <v>0</v>
          </cell>
          <cell r="Z696">
            <v>1229552</v>
          </cell>
          <cell r="AA696">
            <v>1267689</v>
          </cell>
          <cell r="AB696" t="str">
            <v>RPEL</v>
          </cell>
          <cell r="AC696">
            <v>1101</v>
          </cell>
          <cell r="AD696">
            <v>2</v>
          </cell>
          <cell r="AE696">
            <v>63390</v>
          </cell>
        </row>
        <row r="697">
          <cell r="A697" t="str">
            <v>SSE</v>
          </cell>
          <cell r="B697">
            <v>3</v>
          </cell>
          <cell r="C697" t="str">
            <v>DRAS</v>
          </cell>
          <cell r="D697">
            <v>34</v>
          </cell>
          <cell r="E697">
            <v>1</v>
          </cell>
          <cell r="F697" t="str">
            <v xml:space="preserve">B </v>
          </cell>
          <cell r="G697">
            <v>5</v>
          </cell>
          <cell r="H697">
            <v>146</v>
          </cell>
          <cell r="I697">
            <v>24730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479639</v>
          </cell>
          <cell r="P697">
            <v>0</v>
          </cell>
          <cell r="Q697">
            <v>0</v>
          </cell>
          <cell r="R697">
            <v>6148</v>
          </cell>
          <cell r="S697">
            <v>0</v>
          </cell>
          <cell r="T697">
            <v>9839</v>
          </cell>
          <cell r="U697">
            <v>81537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479639</v>
          </cell>
          <cell r="AA697">
            <v>495626</v>
          </cell>
          <cell r="AB697" t="str">
            <v>RPEL</v>
          </cell>
          <cell r="AC697">
            <v>1101</v>
          </cell>
          <cell r="AD697">
            <v>2</v>
          </cell>
          <cell r="AE697">
            <v>24730</v>
          </cell>
        </row>
        <row r="698">
          <cell r="A698" t="str">
            <v>SSE</v>
          </cell>
          <cell r="B698">
            <v>3</v>
          </cell>
          <cell r="C698" t="str">
            <v>DRAS</v>
          </cell>
          <cell r="D698">
            <v>34</v>
          </cell>
          <cell r="E698">
            <v>1</v>
          </cell>
          <cell r="F698" t="str">
            <v xml:space="preserve">B </v>
          </cell>
          <cell r="G698">
            <v>6</v>
          </cell>
          <cell r="H698">
            <v>87</v>
          </cell>
          <cell r="I698">
            <v>20669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400909</v>
          </cell>
          <cell r="P698">
            <v>0</v>
          </cell>
          <cell r="Q698">
            <v>0</v>
          </cell>
          <cell r="R698">
            <v>5396</v>
          </cell>
          <cell r="S698">
            <v>0</v>
          </cell>
          <cell r="T698">
            <v>10672</v>
          </cell>
          <cell r="U698">
            <v>68170</v>
          </cell>
          <cell r="V698">
            <v>377</v>
          </cell>
          <cell r="W698">
            <v>0</v>
          </cell>
          <cell r="X698">
            <v>0</v>
          </cell>
          <cell r="Y698">
            <v>0</v>
          </cell>
          <cell r="Z698">
            <v>400909</v>
          </cell>
          <cell r="AA698">
            <v>417354</v>
          </cell>
          <cell r="AB698" t="str">
            <v>RPEL</v>
          </cell>
          <cell r="AC698">
            <v>1101</v>
          </cell>
          <cell r="AD698">
            <v>2</v>
          </cell>
          <cell r="AE698">
            <v>20669</v>
          </cell>
        </row>
        <row r="699">
          <cell r="A699" t="str">
            <v>SSE</v>
          </cell>
          <cell r="B699">
            <v>3</v>
          </cell>
          <cell r="C699" t="str">
            <v>DRAS</v>
          </cell>
          <cell r="D699">
            <v>34</v>
          </cell>
          <cell r="E699">
            <v>1</v>
          </cell>
          <cell r="F699" t="str">
            <v xml:space="preserve">B </v>
          </cell>
          <cell r="G699">
            <v>7</v>
          </cell>
          <cell r="H699">
            <v>13</v>
          </cell>
          <cell r="I699">
            <v>4403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88612</v>
          </cell>
          <cell r="P699">
            <v>0</v>
          </cell>
          <cell r="Q699">
            <v>0</v>
          </cell>
          <cell r="R699">
            <v>511</v>
          </cell>
          <cell r="S699">
            <v>0</v>
          </cell>
          <cell r="T699">
            <v>11589</v>
          </cell>
          <cell r="U699">
            <v>17730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88612</v>
          </cell>
          <cell r="AA699">
            <v>100712</v>
          </cell>
          <cell r="AB699" t="str">
            <v>RPEL</v>
          </cell>
          <cell r="AC699">
            <v>1101</v>
          </cell>
          <cell r="AD699">
            <v>2</v>
          </cell>
          <cell r="AE699">
            <v>4403</v>
          </cell>
        </row>
        <row r="700">
          <cell r="A700" t="str">
            <v>SSE</v>
          </cell>
          <cell r="B700">
            <v>3</v>
          </cell>
          <cell r="C700" t="str">
            <v>DRAS</v>
          </cell>
          <cell r="D700">
            <v>34</v>
          </cell>
          <cell r="E700">
            <v>1</v>
          </cell>
          <cell r="F700" t="str">
            <v xml:space="preserve">B </v>
          </cell>
          <cell r="G700">
            <v>8</v>
          </cell>
          <cell r="H700">
            <v>6</v>
          </cell>
          <cell r="I700">
            <v>2648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53285</v>
          </cell>
          <cell r="P700">
            <v>0</v>
          </cell>
          <cell r="Q700">
            <v>0</v>
          </cell>
          <cell r="R700">
            <v>743</v>
          </cell>
          <cell r="S700">
            <v>0</v>
          </cell>
          <cell r="T700">
            <v>295</v>
          </cell>
          <cell r="U700">
            <v>10658</v>
          </cell>
          <cell r="V700">
            <v>94</v>
          </cell>
          <cell r="W700">
            <v>0</v>
          </cell>
          <cell r="X700">
            <v>0</v>
          </cell>
          <cell r="Y700">
            <v>0</v>
          </cell>
          <cell r="Z700">
            <v>53285</v>
          </cell>
          <cell r="AA700">
            <v>54417</v>
          </cell>
          <cell r="AB700" t="str">
            <v>RPEL</v>
          </cell>
          <cell r="AC700">
            <v>1101</v>
          </cell>
          <cell r="AD700">
            <v>2</v>
          </cell>
          <cell r="AE700">
            <v>2648</v>
          </cell>
        </row>
        <row r="701">
          <cell r="A701" t="str">
            <v>SSE</v>
          </cell>
          <cell r="B701">
            <v>3</v>
          </cell>
          <cell r="C701" t="str">
            <v>DRAS</v>
          </cell>
          <cell r="D701">
            <v>34</v>
          </cell>
          <cell r="E701">
            <v>1</v>
          </cell>
          <cell r="F701" t="str">
            <v xml:space="preserve">B </v>
          </cell>
          <cell r="G701">
            <v>9</v>
          </cell>
          <cell r="H701">
            <v>4</v>
          </cell>
          <cell r="I701">
            <v>2659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57068</v>
          </cell>
          <cell r="P701">
            <v>0</v>
          </cell>
          <cell r="Q701">
            <v>0</v>
          </cell>
          <cell r="R701">
            <v>161</v>
          </cell>
          <cell r="S701">
            <v>0</v>
          </cell>
          <cell r="T701">
            <v>12765</v>
          </cell>
          <cell r="U701">
            <v>14267</v>
          </cell>
          <cell r="V701">
            <v>283</v>
          </cell>
          <cell r="W701">
            <v>0</v>
          </cell>
          <cell r="X701">
            <v>0</v>
          </cell>
          <cell r="Y701">
            <v>0</v>
          </cell>
          <cell r="Z701">
            <v>57068</v>
          </cell>
          <cell r="AA701">
            <v>70277</v>
          </cell>
          <cell r="AB701" t="str">
            <v>RPEL</v>
          </cell>
          <cell r="AC701">
            <v>1101</v>
          </cell>
          <cell r="AD701">
            <v>2</v>
          </cell>
          <cell r="AE701">
            <v>2659</v>
          </cell>
        </row>
        <row r="702">
          <cell r="A702" t="str">
            <v>SSE</v>
          </cell>
          <cell r="B702">
            <v>3</v>
          </cell>
          <cell r="C702" t="str">
            <v>DRAS</v>
          </cell>
          <cell r="D702">
            <v>34</v>
          </cell>
          <cell r="E702">
            <v>1</v>
          </cell>
          <cell r="F702" t="str">
            <v xml:space="preserve">B </v>
          </cell>
          <cell r="G702">
            <v>11</v>
          </cell>
          <cell r="H702">
            <v>1940</v>
          </cell>
          <cell r="I702">
            <v>44937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253328</v>
          </cell>
          <cell r="P702">
            <v>0</v>
          </cell>
          <cell r="Q702">
            <v>0</v>
          </cell>
          <cell r="R702">
            <v>2804</v>
          </cell>
          <cell r="S702">
            <v>0</v>
          </cell>
          <cell r="T702">
            <v>26443</v>
          </cell>
          <cell r="U702">
            <v>0</v>
          </cell>
          <cell r="V702">
            <v>376</v>
          </cell>
          <cell r="W702">
            <v>0</v>
          </cell>
          <cell r="X702">
            <v>0</v>
          </cell>
          <cell r="Y702">
            <v>0</v>
          </cell>
          <cell r="Z702">
            <v>253328</v>
          </cell>
          <cell r="AA702">
            <v>282951</v>
          </cell>
          <cell r="AB702" t="str">
            <v>RPEL</v>
          </cell>
          <cell r="AC702">
            <v>1101</v>
          </cell>
          <cell r="AD702">
            <v>2</v>
          </cell>
          <cell r="AE702">
            <v>29907</v>
          </cell>
        </row>
        <row r="703">
          <cell r="A703" t="str">
            <v>SSE</v>
          </cell>
          <cell r="B703">
            <v>3</v>
          </cell>
          <cell r="C703" t="str">
            <v>DRAS</v>
          </cell>
          <cell r="D703">
            <v>34</v>
          </cell>
          <cell r="E703">
            <v>1</v>
          </cell>
          <cell r="F703" t="str">
            <v xml:space="preserve">B </v>
          </cell>
          <cell r="G703">
            <v>12</v>
          </cell>
          <cell r="H703">
            <v>1904</v>
          </cell>
          <cell r="I703">
            <v>112252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1029976</v>
          </cell>
          <cell r="P703">
            <v>0</v>
          </cell>
          <cell r="Q703">
            <v>0</v>
          </cell>
          <cell r="R703">
            <v>9988</v>
          </cell>
          <cell r="S703">
            <v>0</v>
          </cell>
          <cell r="T703">
            <v>10342</v>
          </cell>
          <cell r="U703">
            <v>175204</v>
          </cell>
          <cell r="V703">
            <v>1128</v>
          </cell>
          <cell r="W703">
            <v>0</v>
          </cell>
          <cell r="X703">
            <v>0</v>
          </cell>
          <cell r="Y703">
            <v>0</v>
          </cell>
          <cell r="Z703">
            <v>1029976</v>
          </cell>
          <cell r="AA703">
            <v>1051434</v>
          </cell>
          <cell r="AB703" t="str">
            <v>RPEL</v>
          </cell>
          <cell r="AC703">
            <v>1101</v>
          </cell>
          <cell r="AD703">
            <v>2</v>
          </cell>
          <cell r="AE703">
            <v>112252</v>
          </cell>
        </row>
        <row r="704">
          <cell r="A704" t="str">
            <v>SSE</v>
          </cell>
          <cell r="B704">
            <v>3</v>
          </cell>
          <cell r="C704" t="str">
            <v>DRAS</v>
          </cell>
          <cell r="D704">
            <v>34</v>
          </cell>
          <cell r="E704">
            <v>1</v>
          </cell>
          <cell r="F704" t="str">
            <v xml:space="preserve">B </v>
          </cell>
          <cell r="G704">
            <v>13</v>
          </cell>
          <cell r="H704">
            <v>156</v>
          </cell>
          <cell r="I704">
            <v>17808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205752</v>
          </cell>
          <cell r="P704">
            <v>0</v>
          </cell>
          <cell r="Q704">
            <v>0</v>
          </cell>
          <cell r="R704">
            <v>2158</v>
          </cell>
          <cell r="S704">
            <v>0</v>
          </cell>
          <cell r="T704">
            <v>2642</v>
          </cell>
          <cell r="U704">
            <v>34979</v>
          </cell>
          <cell r="V704">
            <v>282</v>
          </cell>
          <cell r="W704">
            <v>0</v>
          </cell>
          <cell r="X704">
            <v>0</v>
          </cell>
          <cell r="Y704">
            <v>0</v>
          </cell>
          <cell r="Z704">
            <v>205752</v>
          </cell>
          <cell r="AA704">
            <v>210834</v>
          </cell>
          <cell r="AB704" t="str">
            <v>RPEL</v>
          </cell>
          <cell r="AC704">
            <v>1101</v>
          </cell>
          <cell r="AD704">
            <v>2</v>
          </cell>
          <cell r="AE704">
            <v>17808</v>
          </cell>
        </row>
        <row r="705">
          <cell r="A705" t="str">
            <v>SSE</v>
          </cell>
          <cell r="B705">
            <v>3</v>
          </cell>
          <cell r="C705" t="str">
            <v>DRAS</v>
          </cell>
          <cell r="D705">
            <v>34</v>
          </cell>
          <cell r="E705">
            <v>1</v>
          </cell>
          <cell r="F705" t="str">
            <v xml:space="preserve">B </v>
          </cell>
          <cell r="G705">
            <v>14</v>
          </cell>
          <cell r="H705">
            <v>15</v>
          </cell>
          <cell r="I705">
            <v>2248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28609</v>
          </cell>
          <cell r="P705">
            <v>0</v>
          </cell>
          <cell r="Q705">
            <v>0</v>
          </cell>
          <cell r="R705">
            <v>261</v>
          </cell>
          <cell r="S705">
            <v>0</v>
          </cell>
          <cell r="T705">
            <v>1808</v>
          </cell>
          <cell r="U705">
            <v>4865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28609</v>
          </cell>
          <cell r="AA705">
            <v>30678</v>
          </cell>
          <cell r="AB705" t="str">
            <v>RPEL</v>
          </cell>
          <cell r="AC705">
            <v>1101</v>
          </cell>
          <cell r="AD705">
            <v>2</v>
          </cell>
          <cell r="AE705">
            <v>2248</v>
          </cell>
        </row>
        <row r="706">
          <cell r="A706" t="str">
            <v>SSE</v>
          </cell>
          <cell r="B706">
            <v>3</v>
          </cell>
          <cell r="C706" t="str">
            <v>DRAS</v>
          </cell>
          <cell r="D706">
            <v>34</v>
          </cell>
          <cell r="E706">
            <v>1</v>
          </cell>
          <cell r="F706" t="str">
            <v xml:space="preserve">B </v>
          </cell>
          <cell r="G706">
            <v>15</v>
          </cell>
          <cell r="H706">
            <v>14</v>
          </cell>
          <cell r="I706">
            <v>1512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16421</v>
          </cell>
          <cell r="P706">
            <v>0</v>
          </cell>
          <cell r="Q706">
            <v>0</v>
          </cell>
          <cell r="R706">
            <v>442</v>
          </cell>
          <cell r="S706">
            <v>0</v>
          </cell>
          <cell r="T706">
            <v>0</v>
          </cell>
          <cell r="U706">
            <v>1203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16421</v>
          </cell>
          <cell r="AA706">
            <v>16863</v>
          </cell>
          <cell r="AB706" t="str">
            <v>RPEL</v>
          </cell>
          <cell r="AC706">
            <v>1101</v>
          </cell>
          <cell r="AD706">
            <v>2</v>
          </cell>
          <cell r="AE706">
            <v>1512</v>
          </cell>
        </row>
        <row r="707">
          <cell r="A707" t="str">
            <v>SSE</v>
          </cell>
          <cell r="B707">
            <v>3</v>
          </cell>
          <cell r="C707" t="str">
            <v>DRAS</v>
          </cell>
          <cell r="D707">
            <v>34</v>
          </cell>
          <cell r="E707">
            <v>2</v>
          </cell>
          <cell r="F707" t="str">
            <v xml:space="preserve">B </v>
          </cell>
          <cell r="G707">
            <v>0</v>
          </cell>
          <cell r="H707">
            <v>14</v>
          </cell>
          <cell r="I707">
            <v>8109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168815</v>
          </cell>
          <cell r="P707">
            <v>0</v>
          </cell>
          <cell r="Q707">
            <v>0</v>
          </cell>
          <cell r="R707">
            <v>2878</v>
          </cell>
          <cell r="S707">
            <v>0</v>
          </cell>
          <cell r="T707">
            <v>64</v>
          </cell>
          <cell r="U707">
            <v>42203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168815</v>
          </cell>
          <cell r="AA707">
            <v>171757</v>
          </cell>
          <cell r="AB707" t="str">
            <v>RPEL</v>
          </cell>
          <cell r="AC707">
            <v>1101</v>
          </cell>
          <cell r="AD707">
            <v>2</v>
          </cell>
          <cell r="AE707">
            <v>8054</v>
          </cell>
        </row>
        <row r="708">
          <cell r="A708" t="str">
            <v>SSE</v>
          </cell>
          <cell r="B708">
            <v>3</v>
          </cell>
          <cell r="C708" t="str">
            <v>DRAS</v>
          </cell>
          <cell r="D708">
            <v>34</v>
          </cell>
          <cell r="E708">
            <v>3</v>
          </cell>
          <cell r="F708" t="str">
            <v xml:space="preserve">B </v>
          </cell>
          <cell r="G708">
            <v>0</v>
          </cell>
          <cell r="H708">
            <v>658</v>
          </cell>
          <cell r="I708">
            <v>126531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2634661</v>
          </cell>
          <cell r="P708">
            <v>0</v>
          </cell>
          <cell r="Q708">
            <v>0</v>
          </cell>
          <cell r="R708">
            <v>31014</v>
          </cell>
          <cell r="S708">
            <v>0</v>
          </cell>
          <cell r="T708">
            <v>290759</v>
          </cell>
          <cell r="U708">
            <v>638754</v>
          </cell>
          <cell r="V708">
            <v>11118</v>
          </cell>
          <cell r="W708">
            <v>0</v>
          </cell>
          <cell r="X708">
            <v>0</v>
          </cell>
          <cell r="Y708">
            <v>0</v>
          </cell>
          <cell r="Z708">
            <v>2634661</v>
          </cell>
          <cell r="AA708">
            <v>2967552</v>
          </cell>
          <cell r="AB708" t="str">
            <v>RPEL</v>
          </cell>
          <cell r="AC708">
            <v>1101</v>
          </cell>
          <cell r="AD708">
            <v>2</v>
          </cell>
          <cell r="AE708">
            <v>119238</v>
          </cell>
        </row>
        <row r="709">
          <cell r="A709" t="str">
            <v>SSE</v>
          </cell>
          <cell r="B709">
            <v>3</v>
          </cell>
          <cell r="C709" t="str">
            <v>DRAS</v>
          </cell>
          <cell r="D709">
            <v>34</v>
          </cell>
          <cell r="E709">
            <v>4</v>
          </cell>
          <cell r="F709" t="str">
            <v xml:space="preserve">B </v>
          </cell>
          <cell r="G709">
            <v>0</v>
          </cell>
          <cell r="H709">
            <v>9141</v>
          </cell>
          <cell r="I709">
            <v>1491058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14050090</v>
          </cell>
          <cell r="P709">
            <v>0</v>
          </cell>
          <cell r="Q709">
            <v>0</v>
          </cell>
          <cell r="R709">
            <v>19</v>
          </cell>
          <cell r="S709">
            <v>0</v>
          </cell>
          <cell r="T709">
            <v>771271</v>
          </cell>
          <cell r="U709">
            <v>0</v>
          </cell>
          <cell r="V709">
            <v>355573</v>
          </cell>
          <cell r="W709">
            <v>0</v>
          </cell>
          <cell r="X709">
            <v>0</v>
          </cell>
          <cell r="Y709">
            <v>0</v>
          </cell>
          <cell r="Z709">
            <v>14050090</v>
          </cell>
          <cell r="AA709">
            <v>15176953</v>
          </cell>
          <cell r="AB709" t="str">
            <v>RPEL</v>
          </cell>
          <cell r="AC709">
            <v>1101</v>
          </cell>
          <cell r="AD709">
            <v>2</v>
          </cell>
          <cell r="AE709">
            <v>1426454</v>
          </cell>
        </row>
        <row r="710">
          <cell r="A710" t="str">
            <v>SMA</v>
          </cell>
          <cell r="B710">
            <v>4</v>
          </cell>
          <cell r="C710" t="str">
            <v>DRMS</v>
          </cell>
          <cell r="D710">
            <v>41</v>
          </cell>
          <cell r="E710">
            <v>1</v>
          </cell>
          <cell r="F710" t="str">
            <v>A4</v>
          </cell>
          <cell r="G710">
            <v>20</v>
          </cell>
          <cell r="H710">
            <v>3</v>
          </cell>
          <cell r="I710">
            <v>2993</v>
          </cell>
          <cell r="J710">
            <v>0</v>
          </cell>
          <cell r="K710">
            <v>0</v>
          </cell>
          <cell r="L710">
            <v>30</v>
          </cell>
          <cell r="M710">
            <v>0</v>
          </cell>
          <cell r="N710">
            <v>0</v>
          </cell>
          <cell r="O710">
            <v>33992</v>
          </cell>
          <cell r="P710">
            <v>22991</v>
          </cell>
          <cell r="Q710">
            <v>757</v>
          </cell>
          <cell r="R710">
            <v>0</v>
          </cell>
          <cell r="S710">
            <v>0</v>
          </cell>
          <cell r="T710">
            <v>0</v>
          </cell>
          <cell r="U710">
            <v>13999</v>
          </cell>
          <cell r="V710">
            <v>0</v>
          </cell>
          <cell r="W710">
            <v>783</v>
          </cell>
          <cell r="X710">
            <v>0</v>
          </cell>
          <cell r="Y710">
            <v>1683</v>
          </cell>
          <cell r="Z710">
            <v>58523</v>
          </cell>
          <cell r="AA710">
            <v>60206</v>
          </cell>
          <cell r="AB710" t="str">
            <v>ERGT</v>
          </cell>
          <cell r="AC710">
            <v>1101</v>
          </cell>
          <cell r="AD710">
            <v>2</v>
          </cell>
          <cell r="AE710">
            <v>2993</v>
          </cell>
        </row>
        <row r="711">
          <cell r="A711" t="str">
            <v>SMA</v>
          </cell>
          <cell r="B711">
            <v>4</v>
          </cell>
          <cell r="C711" t="str">
            <v>DRMS</v>
          </cell>
          <cell r="D711">
            <v>41</v>
          </cell>
          <cell r="E711">
            <v>1</v>
          </cell>
          <cell r="F711" t="str">
            <v xml:space="preserve">B </v>
          </cell>
          <cell r="G711">
            <v>1</v>
          </cell>
          <cell r="H711">
            <v>4404</v>
          </cell>
          <cell r="I711">
            <v>98497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1590665</v>
          </cell>
          <cell r="P711">
            <v>0</v>
          </cell>
          <cell r="Q711">
            <v>0</v>
          </cell>
          <cell r="R711">
            <v>19333</v>
          </cell>
          <cell r="S711">
            <v>0</v>
          </cell>
          <cell r="T711">
            <v>240039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183427</v>
          </cell>
          <cell r="Z711">
            <v>1590665</v>
          </cell>
          <cell r="AA711">
            <v>2033464</v>
          </cell>
          <cell r="AB711" t="str">
            <v>ERGT</v>
          </cell>
          <cell r="AC711">
            <v>1101</v>
          </cell>
          <cell r="AD711">
            <v>2</v>
          </cell>
          <cell r="AE711">
            <v>70449</v>
          </cell>
        </row>
        <row r="712">
          <cell r="A712" t="str">
            <v>SMA</v>
          </cell>
          <cell r="B712">
            <v>4</v>
          </cell>
          <cell r="C712" t="str">
            <v>DRMS</v>
          </cell>
          <cell r="D712">
            <v>41</v>
          </cell>
          <cell r="E712">
            <v>1</v>
          </cell>
          <cell r="F712" t="str">
            <v xml:space="preserve">B </v>
          </cell>
          <cell r="G712">
            <v>2</v>
          </cell>
          <cell r="H712">
            <v>2356</v>
          </cell>
          <cell r="I712">
            <v>95965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1860813</v>
          </cell>
          <cell r="P712">
            <v>0</v>
          </cell>
          <cell r="Q712">
            <v>0</v>
          </cell>
          <cell r="R712">
            <v>16006</v>
          </cell>
          <cell r="S712">
            <v>0</v>
          </cell>
          <cell r="T712">
            <v>47377</v>
          </cell>
          <cell r="U712">
            <v>316262</v>
          </cell>
          <cell r="V712">
            <v>0</v>
          </cell>
          <cell r="W712">
            <v>0</v>
          </cell>
          <cell r="X712">
            <v>0</v>
          </cell>
          <cell r="Y712">
            <v>154254</v>
          </cell>
          <cell r="Z712">
            <v>1860813</v>
          </cell>
          <cell r="AA712">
            <v>2078450</v>
          </cell>
          <cell r="AB712" t="str">
            <v>ERGT</v>
          </cell>
          <cell r="AC712">
            <v>1101</v>
          </cell>
          <cell r="AD712">
            <v>2</v>
          </cell>
          <cell r="AE712">
            <v>95965</v>
          </cell>
        </row>
        <row r="713">
          <cell r="A713" t="str">
            <v>SMA</v>
          </cell>
          <cell r="B713">
            <v>4</v>
          </cell>
          <cell r="C713" t="str">
            <v>DRMS</v>
          </cell>
          <cell r="D713">
            <v>41</v>
          </cell>
          <cell r="E713">
            <v>1</v>
          </cell>
          <cell r="F713" t="str">
            <v xml:space="preserve">B </v>
          </cell>
          <cell r="G713">
            <v>3</v>
          </cell>
          <cell r="H713">
            <v>6796</v>
          </cell>
          <cell r="I713">
            <v>502500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9744186</v>
          </cell>
          <cell r="P713">
            <v>0</v>
          </cell>
          <cell r="Q713">
            <v>0</v>
          </cell>
          <cell r="R713">
            <v>77143</v>
          </cell>
          <cell r="S713">
            <v>0</v>
          </cell>
          <cell r="T713">
            <v>203261</v>
          </cell>
          <cell r="U713">
            <v>1656521</v>
          </cell>
          <cell r="V713">
            <v>189</v>
          </cell>
          <cell r="W713">
            <v>0</v>
          </cell>
          <cell r="X713">
            <v>0</v>
          </cell>
          <cell r="Y713">
            <v>622442</v>
          </cell>
          <cell r="Z713">
            <v>9744186</v>
          </cell>
          <cell r="AA713">
            <v>10647221</v>
          </cell>
          <cell r="AB713" t="str">
            <v>ERGT</v>
          </cell>
          <cell r="AC713">
            <v>1101</v>
          </cell>
          <cell r="AD713">
            <v>2</v>
          </cell>
          <cell r="AE713">
            <v>496551</v>
          </cell>
        </row>
        <row r="714">
          <cell r="A714" t="str">
            <v>SMA</v>
          </cell>
          <cell r="B714">
            <v>4</v>
          </cell>
          <cell r="C714" t="str">
            <v>DRMS</v>
          </cell>
          <cell r="D714">
            <v>41</v>
          </cell>
          <cell r="E714">
            <v>1</v>
          </cell>
          <cell r="F714" t="str">
            <v xml:space="preserve">B </v>
          </cell>
          <cell r="G714">
            <v>4</v>
          </cell>
          <cell r="H714">
            <v>2261</v>
          </cell>
          <cell r="I714">
            <v>270628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5247809</v>
          </cell>
          <cell r="P714">
            <v>0</v>
          </cell>
          <cell r="Q714">
            <v>0</v>
          </cell>
          <cell r="R714">
            <v>48382</v>
          </cell>
          <cell r="S714">
            <v>0</v>
          </cell>
          <cell r="T714">
            <v>136545</v>
          </cell>
          <cell r="U714">
            <v>892153</v>
          </cell>
          <cell r="V714">
            <v>0</v>
          </cell>
          <cell r="W714">
            <v>0</v>
          </cell>
          <cell r="X714">
            <v>0</v>
          </cell>
          <cell r="Y714">
            <v>360712</v>
          </cell>
          <cell r="Z714">
            <v>5247809</v>
          </cell>
          <cell r="AA714">
            <v>5793448</v>
          </cell>
          <cell r="AB714" t="str">
            <v>ERGT</v>
          </cell>
          <cell r="AC714">
            <v>1101</v>
          </cell>
          <cell r="AD714">
            <v>2</v>
          </cell>
          <cell r="AE714">
            <v>270628</v>
          </cell>
        </row>
        <row r="715">
          <cell r="A715" t="str">
            <v>SMA</v>
          </cell>
          <cell r="B715">
            <v>4</v>
          </cell>
          <cell r="C715" t="str">
            <v>DRMS</v>
          </cell>
          <cell r="D715">
            <v>41</v>
          </cell>
          <cell r="E715">
            <v>1</v>
          </cell>
          <cell r="F715" t="str">
            <v xml:space="preserve">B </v>
          </cell>
          <cell r="G715">
            <v>5</v>
          </cell>
          <cell r="H715">
            <v>753</v>
          </cell>
          <cell r="I715">
            <v>129127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2502968</v>
          </cell>
          <cell r="P715">
            <v>0</v>
          </cell>
          <cell r="Q715">
            <v>0</v>
          </cell>
          <cell r="R715">
            <v>24848</v>
          </cell>
          <cell r="S715">
            <v>0</v>
          </cell>
          <cell r="T715">
            <v>72675</v>
          </cell>
          <cell r="U715">
            <v>425519</v>
          </cell>
          <cell r="V715">
            <v>0</v>
          </cell>
          <cell r="W715">
            <v>0</v>
          </cell>
          <cell r="X715">
            <v>0</v>
          </cell>
          <cell r="Y715">
            <v>249940</v>
          </cell>
          <cell r="Z715">
            <v>2502968</v>
          </cell>
          <cell r="AA715">
            <v>2850431</v>
          </cell>
          <cell r="AB715" t="str">
            <v>ERGT</v>
          </cell>
          <cell r="AC715">
            <v>1101</v>
          </cell>
          <cell r="AD715">
            <v>2</v>
          </cell>
          <cell r="AE715">
            <v>129127</v>
          </cell>
        </row>
        <row r="716">
          <cell r="A716" t="str">
            <v>SMA</v>
          </cell>
          <cell r="B716">
            <v>4</v>
          </cell>
          <cell r="C716" t="str">
            <v>DRMS</v>
          </cell>
          <cell r="D716">
            <v>41</v>
          </cell>
          <cell r="E716">
            <v>1</v>
          </cell>
          <cell r="F716" t="str">
            <v xml:space="preserve">B </v>
          </cell>
          <cell r="G716">
            <v>6</v>
          </cell>
          <cell r="H716">
            <v>570</v>
          </cell>
          <cell r="I716">
            <v>135664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2629275</v>
          </cell>
          <cell r="P716">
            <v>0</v>
          </cell>
          <cell r="Q716">
            <v>0</v>
          </cell>
          <cell r="R716">
            <v>26439</v>
          </cell>
          <cell r="S716">
            <v>0</v>
          </cell>
          <cell r="T716">
            <v>108558</v>
          </cell>
          <cell r="U716">
            <v>447124</v>
          </cell>
          <cell r="V716">
            <v>0</v>
          </cell>
          <cell r="W716">
            <v>0</v>
          </cell>
          <cell r="X716">
            <v>0</v>
          </cell>
          <cell r="Y716">
            <v>184620</v>
          </cell>
          <cell r="Z716">
            <v>2629275</v>
          </cell>
          <cell r="AA716">
            <v>2948892</v>
          </cell>
          <cell r="AB716" t="str">
            <v>ERGT</v>
          </cell>
          <cell r="AC716">
            <v>1101</v>
          </cell>
          <cell r="AD716">
            <v>2</v>
          </cell>
          <cell r="AE716">
            <v>135664</v>
          </cell>
        </row>
        <row r="717">
          <cell r="A717" t="str">
            <v>SMA</v>
          </cell>
          <cell r="B717">
            <v>4</v>
          </cell>
          <cell r="C717" t="str">
            <v>DRMS</v>
          </cell>
          <cell r="D717">
            <v>41</v>
          </cell>
          <cell r="E717">
            <v>1</v>
          </cell>
          <cell r="F717" t="str">
            <v xml:space="preserve">B </v>
          </cell>
          <cell r="G717">
            <v>7</v>
          </cell>
          <cell r="H717">
            <v>188</v>
          </cell>
          <cell r="I717">
            <v>62976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1266166</v>
          </cell>
          <cell r="P717">
            <v>0</v>
          </cell>
          <cell r="Q717">
            <v>0</v>
          </cell>
          <cell r="R717">
            <v>14171</v>
          </cell>
          <cell r="S717">
            <v>0</v>
          </cell>
          <cell r="T717">
            <v>26401</v>
          </cell>
          <cell r="U717">
            <v>253312</v>
          </cell>
          <cell r="V717">
            <v>0</v>
          </cell>
          <cell r="W717">
            <v>0</v>
          </cell>
          <cell r="X717">
            <v>0</v>
          </cell>
          <cell r="Y717">
            <v>81625</v>
          </cell>
          <cell r="Z717">
            <v>1266166</v>
          </cell>
          <cell r="AA717">
            <v>1388363</v>
          </cell>
          <cell r="AB717" t="str">
            <v>ERGT</v>
          </cell>
          <cell r="AC717">
            <v>1101</v>
          </cell>
          <cell r="AD717">
            <v>2</v>
          </cell>
          <cell r="AE717">
            <v>62976</v>
          </cell>
        </row>
        <row r="718">
          <cell r="A718" t="str">
            <v>SMA</v>
          </cell>
          <cell r="B718">
            <v>4</v>
          </cell>
          <cell r="C718" t="str">
            <v>DRMS</v>
          </cell>
          <cell r="D718">
            <v>41</v>
          </cell>
          <cell r="E718">
            <v>1</v>
          </cell>
          <cell r="F718" t="str">
            <v xml:space="preserve">B </v>
          </cell>
          <cell r="G718">
            <v>8</v>
          </cell>
          <cell r="H718">
            <v>63</v>
          </cell>
          <cell r="I718">
            <v>26860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539418</v>
          </cell>
          <cell r="P718">
            <v>0</v>
          </cell>
          <cell r="Q718">
            <v>0</v>
          </cell>
          <cell r="R718">
            <v>7746</v>
          </cell>
          <cell r="S718">
            <v>0</v>
          </cell>
          <cell r="T718">
            <v>14869</v>
          </cell>
          <cell r="U718">
            <v>107906</v>
          </cell>
          <cell r="V718">
            <v>0</v>
          </cell>
          <cell r="W718">
            <v>0</v>
          </cell>
          <cell r="X718">
            <v>0</v>
          </cell>
          <cell r="Y718">
            <v>26407</v>
          </cell>
          <cell r="Z718">
            <v>539418</v>
          </cell>
          <cell r="AA718">
            <v>588440</v>
          </cell>
          <cell r="AB718" t="str">
            <v>ERGT</v>
          </cell>
          <cell r="AC718">
            <v>1101</v>
          </cell>
          <cell r="AD718">
            <v>2</v>
          </cell>
          <cell r="AE718">
            <v>26860</v>
          </cell>
        </row>
        <row r="719">
          <cell r="A719" t="str">
            <v>SMA</v>
          </cell>
          <cell r="B719">
            <v>4</v>
          </cell>
          <cell r="C719" t="str">
            <v>DRMS</v>
          </cell>
          <cell r="D719">
            <v>41</v>
          </cell>
          <cell r="E719">
            <v>1</v>
          </cell>
          <cell r="F719" t="str">
            <v xml:space="preserve">B </v>
          </cell>
          <cell r="G719">
            <v>9</v>
          </cell>
          <cell r="H719">
            <v>95</v>
          </cell>
          <cell r="I719">
            <v>58888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1259749</v>
          </cell>
          <cell r="P719">
            <v>0</v>
          </cell>
          <cell r="Q719">
            <v>0</v>
          </cell>
          <cell r="R719">
            <v>8587</v>
          </cell>
          <cell r="S719">
            <v>0</v>
          </cell>
          <cell r="T719">
            <v>10952</v>
          </cell>
          <cell r="U719">
            <v>314970</v>
          </cell>
          <cell r="V719">
            <v>0</v>
          </cell>
          <cell r="W719">
            <v>0</v>
          </cell>
          <cell r="X719">
            <v>0</v>
          </cell>
          <cell r="Y719">
            <v>60552</v>
          </cell>
          <cell r="Z719">
            <v>1259749</v>
          </cell>
          <cell r="AA719">
            <v>1339840</v>
          </cell>
          <cell r="AB719" t="str">
            <v>ERGT</v>
          </cell>
          <cell r="AC719">
            <v>1101</v>
          </cell>
          <cell r="AD719">
            <v>2</v>
          </cell>
          <cell r="AE719">
            <v>58888</v>
          </cell>
        </row>
        <row r="720">
          <cell r="A720" t="str">
            <v>SMA</v>
          </cell>
          <cell r="B720">
            <v>4</v>
          </cell>
          <cell r="C720" t="str">
            <v>DRMS</v>
          </cell>
          <cell r="D720">
            <v>41</v>
          </cell>
          <cell r="E720">
            <v>1</v>
          </cell>
          <cell r="F720" t="str">
            <v xml:space="preserve">B </v>
          </cell>
          <cell r="G720">
            <v>10</v>
          </cell>
          <cell r="H720">
            <v>29</v>
          </cell>
          <cell r="I720">
            <v>9771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205414</v>
          </cell>
          <cell r="P720">
            <v>0</v>
          </cell>
          <cell r="Q720">
            <v>0</v>
          </cell>
          <cell r="R720">
            <v>49233</v>
          </cell>
          <cell r="S720">
            <v>0</v>
          </cell>
          <cell r="T720">
            <v>5433</v>
          </cell>
          <cell r="U720">
            <v>51355</v>
          </cell>
          <cell r="V720">
            <v>0</v>
          </cell>
          <cell r="W720">
            <v>0</v>
          </cell>
          <cell r="X720">
            <v>0</v>
          </cell>
          <cell r="Y720">
            <v>15748</v>
          </cell>
          <cell r="Z720">
            <v>205414</v>
          </cell>
          <cell r="AA720">
            <v>275828</v>
          </cell>
          <cell r="AB720" t="str">
            <v>ERGT</v>
          </cell>
          <cell r="AC720">
            <v>1101</v>
          </cell>
          <cell r="AD720">
            <v>2</v>
          </cell>
          <cell r="AE720">
            <v>9771</v>
          </cell>
        </row>
        <row r="721">
          <cell r="A721" t="str">
            <v>SMA</v>
          </cell>
          <cell r="B721">
            <v>4</v>
          </cell>
          <cell r="C721" t="str">
            <v>DRMS</v>
          </cell>
          <cell r="D721">
            <v>41</v>
          </cell>
          <cell r="E721">
            <v>1</v>
          </cell>
          <cell r="F721" t="str">
            <v xml:space="preserve">B </v>
          </cell>
          <cell r="G721">
            <v>11</v>
          </cell>
          <cell r="H721">
            <v>1853</v>
          </cell>
          <cell r="I721">
            <v>42631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240535</v>
          </cell>
          <cell r="P721">
            <v>0</v>
          </cell>
          <cell r="Q721">
            <v>0</v>
          </cell>
          <cell r="R721">
            <v>3832</v>
          </cell>
          <cell r="S721">
            <v>0</v>
          </cell>
          <cell r="T721">
            <v>26232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62115</v>
          </cell>
          <cell r="Z721">
            <v>240535</v>
          </cell>
          <cell r="AA721">
            <v>332714</v>
          </cell>
          <cell r="AB721" t="str">
            <v>ERGT</v>
          </cell>
          <cell r="AC721">
            <v>1101</v>
          </cell>
          <cell r="AD721">
            <v>2</v>
          </cell>
          <cell r="AE721">
            <v>29989</v>
          </cell>
        </row>
        <row r="722">
          <cell r="A722" t="str">
            <v>SMA</v>
          </cell>
          <cell r="B722">
            <v>4</v>
          </cell>
          <cell r="C722" t="str">
            <v>DRMS</v>
          </cell>
          <cell r="D722">
            <v>41</v>
          </cell>
          <cell r="E722">
            <v>1</v>
          </cell>
          <cell r="F722" t="str">
            <v xml:space="preserve">B </v>
          </cell>
          <cell r="G722">
            <v>12</v>
          </cell>
          <cell r="H722">
            <v>1820</v>
          </cell>
          <cell r="I722">
            <v>102459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929369</v>
          </cell>
          <cell r="P722">
            <v>0</v>
          </cell>
          <cell r="Q722">
            <v>0</v>
          </cell>
          <cell r="R722">
            <v>10542</v>
          </cell>
          <cell r="S722">
            <v>0</v>
          </cell>
          <cell r="T722">
            <v>47651</v>
          </cell>
          <cell r="U722">
            <v>158073</v>
          </cell>
          <cell r="V722">
            <v>0</v>
          </cell>
          <cell r="W722">
            <v>0</v>
          </cell>
          <cell r="X722">
            <v>0</v>
          </cell>
          <cell r="Y722">
            <v>127806</v>
          </cell>
          <cell r="Z722">
            <v>929369</v>
          </cell>
          <cell r="AA722">
            <v>1115368</v>
          </cell>
          <cell r="AB722" t="str">
            <v>ERGT</v>
          </cell>
          <cell r="AC722">
            <v>1101</v>
          </cell>
          <cell r="AD722">
            <v>2</v>
          </cell>
          <cell r="AE722">
            <v>102459</v>
          </cell>
        </row>
        <row r="723">
          <cell r="A723" t="str">
            <v>SMA</v>
          </cell>
          <cell r="B723">
            <v>4</v>
          </cell>
          <cell r="C723" t="str">
            <v>DRMS</v>
          </cell>
          <cell r="D723">
            <v>41</v>
          </cell>
          <cell r="E723">
            <v>1</v>
          </cell>
          <cell r="F723" t="str">
            <v xml:space="preserve">B </v>
          </cell>
          <cell r="G723">
            <v>13</v>
          </cell>
          <cell r="H723">
            <v>130</v>
          </cell>
          <cell r="I723">
            <v>14572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169461</v>
          </cell>
          <cell r="P723">
            <v>0</v>
          </cell>
          <cell r="Q723">
            <v>0</v>
          </cell>
          <cell r="R723">
            <v>1347</v>
          </cell>
          <cell r="S723">
            <v>0</v>
          </cell>
          <cell r="T723">
            <v>2852</v>
          </cell>
          <cell r="U723">
            <v>28815</v>
          </cell>
          <cell r="V723">
            <v>0</v>
          </cell>
          <cell r="W723">
            <v>0</v>
          </cell>
          <cell r="X723">
            <v>0</v>
          </cell>
          <cell r="Y723">
            <v>19964</v>
          </cell>
          <cell r="Z723">
            <v>169461</v>
          </cell>
          <cell r="AA723">
            <v>193624</v>
          </cell>
          <cell r="AB723" t="str">
            <v>ERGT</v>
          </cell>
          <cell r="AC723">
            <v>1101</v>
          </cell>
          <cell r="AD723">
            <v>2</v>
          </cell>
          <cell r="AE723">
            <v>14572</v>
          </cell>
        </row>
        <row r="724">
          <cell r="A724" t="str">
            <v>SMA</v>
          </cell>
          <cell r="B724">
            <v>4</v>
          </cell>
          <cell r="C724" t="str">
            <v>DRMS</v>
          </cell>
          <cell r="D724">
            <v>41</v>
          </cell>
          <cell r="E724">
            <v>1</v>
          </cell>
          <cell r="F724" t="str">
            <v xml:space="preserve">B </v>
          </cell>
          <cell r="G724">
            <v>14</v>
          </cell>
          <cell r="H724">
            <v>16</v>
          </cell>
          <cell r="I724">
            <v>2253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28709</v>
          </cell>
          <cell r="P724">
            <v>0</v>
          </cell>
          <cell r="Q724">
            <v>0</v>
          </cell>
          <cell r="R724">
            <v>132</v>
          </cell>
          <cell r="S724">
            <v>0</v>
          </cell>
          <cell r="T724">
            <v>252</v>
          </cell>
          <cell r="U724">
            <v>4882</v>
          </cell>
          <cell r="V724">
            <v>0</v>
          </cell>
          <cell r="W724">
            <v>0</v>
          </cell>
          <cell r="X724">
            <v>0</v>
          </cell>
          <cell r="Y724">
            <v>4028</v>
          </cell>
          <cell r="Z724">
            <v>28709</v>
          </cell>
          <cell r="AA724">
            <v>33121</v>
          </cell>
          <cell r="AB724" t="str">
            <v>ERGT</v>
          </cell>
          <cell r="AC724">
            <v>1101</v>
          </cell>
          <cell r="AD724">
            <v>2</v>
          </cell>
          <cell r="AE724">
            <v>2253</v>
          </cell>
        </row>
        <row r="725">
          <cell r="A725" t="str">
            <v>SMA</v>
          </cell>
          <cell r="B725">
            <v>4</v>
          </cell>
          <cell r="C725" t="str">
            <v>DRMS</v>
          </cell>
          <cell r="D725">
            <v>41</v>
          </cell>
          <cell r="E725">
            <v>1</v>
          </cell>
          <cell r="F725" t="str">
            <v xml:space="preserve">B </v>
          </cell>
          <cell r="G725">
            <v>15</v>
          </cell>
          <cell r="H725">
            <v>30</v>
          </cell>
          <cell r="I725">
            <v>15158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288911</v>
          </cell>
          <cell r="P725">
            <v>0</v>
          </cell>
          <cell r="Q725">
            <v>0</v>
          </cell>
          <cell r="R725">
            <v>704</v>
          </cell>
          <cell r="S725">
            <v>0</v>
          </cell>
          <cell r="T725">
            <v>1540</v>
          </cell>
          <cell r="U725">
            <v>67339</v>
          </cell>
          <cell r="V725">
            <v>0</v>
          </cell>
          <cell r="W725">
            <v>0</v>
          </cell>
          <cell r="X725">
            <v>0</v>
          </cell>
          <cell r="Y725">
            <v>11469</v>
          </cell>
          <cell r="Z725">
            <v>288911</v>
          </cell>
          <cell r="AA725">
            <v>302624</v>
          </cell>
          <cell r="AB725" t="str">
            <v>ERGT</v>
          </cell>
          <cell r="AC725">
            <v>1101</v>
          </cell>
          <cell r="AD725">
            <v>2</v>
          </cell>
          <cell r="AE725">
            <v>15158</v>
          </cell>
        </row>
        <row r="726">
          <cell r="A726" t="str">
            <v>SMA</v>
          </cell>
          <cell r="B726">
            <v>4</v>
          </cell>
          <cell r="C726" t="str">
            <v>DRMS</v>
          </cell>
          <cell r="D726">
            <v>41</v>
          </cell>
          <cell r="E726">
            <v>2</v>
          </cell>
          <cell r="F726" t="str">
            <v>A4</v>
          </cell>
          <cell r="G726">
            <v>20</v>
          </cell>
          <cell r="H726">
            <v>11</v>
          </cell>
          <cell r="I726">
            <v>271724</v>
          </cell>
          <cell r="J726">
            <v>0</v>
          </cell>
          <cell r="K726">
            <v>0</v>
          </cell>
          <cell r="L726">
            <v>2181</v>
          </cell>
          <cell r="M726">
            <v>0</v>
          </cell>
          <cell r="N726">
            <v>0</v>
          </cell>
          <cell r="O726">
            <v>3117944</v>
          </cell>
          <cell r="P726">
            <v>1706996</v>
          </cell>
          <cell r="Q726">
            <v>43903</v>
          </cell>
          <cell r="R726">
            <v>61159</v>
          </cell>
          <cell r="S726">
            <v>0</v>
          </cell>
          <cell r="T726">
            <v>20755</v>
          </cell>
          <cell r="U726">
            <v>1227778</v>
          </cell>
          <cell r="V726">
            <v>0</v>
          </cell>
          <cell r="W726">
            <v>42264</v>
          </cell>
          <cell r="X726">
            <v>0</v>
          </cell>
          <cell r="Y726">
            <v>15708</v>
          </cell>
          <cell r="Z726">
            <v>4911107</v>
          </cell>
          <cell r="AA726">
            <v>5008729</v>
          </cell>
          <cell r="AB726" t="str">
            <v>ERGT</v>
          </cell>
          <cell r="AC726">
            <v>1101</v>
          </cell>
          <cell r="AD726">
            <v>2</v>
          </cell>
          <cell r="AE726">
            <v>271724</v>
          </cell>
        </row>
        <row r="727">
          <cell r="A727" t="str">
            <v>SMA</v>
          </cell>
          <cell r="B727">
            <v>4</v>
          </cell>
          <cell r="C727" t="str">
            <v>DRMS</v>
          </cell>
          <cell r="D727">
            <v>41</v>
          </cell>
          <cell r="E727">
            <v>2</v>
          </cell>
          <cell r="F727" t="str">
            <v xml:space="preserve">B </v>
          </cell>
          <cell r="G727">
            <v>0</v>
          </cell>
          <cell r="H727">
            <v>157</v>
          </cell>
          <cell r="I727">
            <v>77164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1606404</v>
          </cell>
          <cell r="P727">
            <v>0</v>
          </cell>
          <cell r="Q727">
            <v>0</v>
          </cell>
          <cell r="R727">
            <v>24662</v>
          </cell>
          <cell r="S727">
            <v>0</v>
          </cell>
          <cell r="T727">
            <v>312581</v>
          </cell>
          <cell r="U727">
            <v>394768</v>
          </cell>
          <cell r="V727">
            <v>189</v>
          </cell>
          <cell r="W727">
            <v>0</v>
          </cell>
          <cell r="X727">
            <v>0</v>
          </cell>
          <cell r="Y727">
            <v>77955</v>
          </cell>
          <cell r="Z727">
            <v>1606404</v>
          </cell>
          <cell r="AA727">
            <v>2021791</v>
          </cell>
          <cell r="AB727" t="str">
            <v>ERGT</v>
          </cell>
          <cell r="AC727">
            <v>1101</v>
          </cell>
          <cell r="AD727">
            <v>2</v>
          </cell>
          <cell r="AE727">
            <v>75483</v>
          </cell>
        </row>
        <row r="728">
          <cell r="A728" t="str">
            <v>SMA</v>
          </cell>
          <cell r="B728">
            <v>4</v>
          </cell>
          <cell r="C728" t="str">
            <v>DRMS</v>
          </cell>
          <cell r="D728">
            <v>41</v>
          </cell>
          <cell r="E728">
            <v>3</v>
          </cell>
          <cell r="F728" t="str">
            <v>A4</v>
          </cell>
          <cell r="G728">
            <v>20</v>
          </cell>
          <cell r="H728">
            <v>9</v>
          </cell>
          <cell r="I728">
            <v>113422</v>
          </cell>
          <cell r="J728">
            <v>0</v>
          </cell>
          <cell r="K728">
            <v>0</v>
          </cell>
          <cell r="L728">
            <v>463</v>
          </cell>
          <cell r="M728">
            <v>0</v>
          </cell>
          <cell r="N728">
            <v>0</v>
          </cell>
          <cell r="O728">
            <v>1301480</v>
          </cell>
          <cell r="P728">
            <v>362375</v>
          </cell>
          <cell r="Q728">
            <v>82159</v>
          </cell>
          <cell r="R728">
            <v>1222</v>
          </cell>
          <cell r="S728">
            <v>0</v>
          </cell>
          <cell r="T728">
            <v>0</v>
          </cell>
          <cell r="U728">
            <v>441788</v>
          </cell>
          <cell r="V728">
            <v>0</v>
          </cell>
          <cell r="W728">
            <v>21132</v>
          </cell>
          <cell r="X728">
            <v>0</v>
          </cell>
          <cell r="Y728">
            <v>20196</v>
          </cell>
          <cell r="Z728">
            <v>1767146</v>
          </cell>
          <cell r="AA728">
            <v>1788564</v>
          </cell>
          <cell r="AB728" t="str">
            <v>ERGT</v>
          </cell>
          <cell r="AC728">
            <v>1101</v>
          </cell>
          <cell r="AD728">
            <v>2</v>
          </cell>
          <cell r="AE728">
            <v>113422</v>
          </cell>
        </row>
        <row r="729">
          <cell r="A729" t="str">
            <v>SMA</v>
          </cell>
          <cell r="B729">
            <v>4</v>
          </cell>
          <cell r="C729" t="str">
            <v>DRMS</v>
          </cell>
          <cell r="D729">
            <v>41</v>
          </cell>
          <cell r="E729">
            <v>3</v>
          </cell>
          <cell r="F729" t="str">
            <v xml:space="preserve">B </v>
          </cell>
          <cell r="G729">
            <v>0</v>
          </cell>
          <cell r="H729">
            <v>1409</v>
          </cell>
          <cell r="I729">
            <v>349307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7272453</v>
          </cell>
          <cell r="P729">
            <v>0</v>
          </cell>
          <cell r="Q729">
            <v>0</v>
          </cell>
          <cell r="R729">
            <v>82233</v>
          </cell>
          <cell r="S729">
            <v>0</v>
          </cell>
          <cell r="T729">
            <v>186418</v>
          </cell>
          <cell r="U729">
            <v>1770416</v>
          </cell>
          <cell r="V729">
            <v>0</v>
          </cell>
          <cell r="W729">
            <v>0</v>
          </cell>
          <cell r="X729">
            <v>0</v>
          </cell>
          <cell r="Y729">
            <v>524347</v>
          </cell>
          <cell r="Z729">
            <v>7272453</v>
          </cell>
          <cell r="AA729">
            <v>8065451</v>
          </cell>
          <cell r="AB729" t="str">
            <v>ERGT</v>
          </cell>
          <cell r="AC729">
            <v>1101</v>
          </cell>
          <cell r="AD729">
            <v>2</v>
          </cell>
          <cell r="AE729">
            <v>338251</v>
          </cell>
        </row>
        <row r="730">
          <cell r="A730" t="str">
            <v>SMA</v>
          </cell>
          <cell r="B730">
            <v>4</v>
          </cell>
          <cell r="C730" t="str">
            <v>DRMS</v>
          </cell>
          <cell r="D730">
            <v>41</v>
          </cell>
          <cell r="E730">
            <v>4</v>
          </cell>
          <cell r="F730" t="str">
            <v>A4</v>
          </cell>
          <cell r="G730">
            <v>20</v>
          </cell>
          <cell r="H730">
            <v>7</v>
          </cell>
          <cell r="I730">
            <v>14206</v>
          </cell>
          <cell r="J730">
            <v>0</v>
          </cell>
          <cell r="K730">
            <v>0</v>
          </cell>
          <cell r="L730">
            <v>119</v>
          </cell>
          <cell r="M730">
            <v>0</v>
          </cell>
          <cell r="N730">
            <v>0</v>
          </cell>
          <cell r="O730">
            <v>110025</v>
          </cell>
          <cell r="P730">
            <v>62832</v>
          </cell>
          <cell r="Q730">
            <v>573</v>
          </cell>
          <cell r="R730">
            <v>1000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528</v>
          </cell>
          <cell r="X730">
            <v>0</v>
          </cell>
          <cell r="Y730">
            <v>0</v>
          </cell>
          <cell r="Z730">
            <v>173958</v>
          </cell>
          <cell r="AA730">
            <v>174958</v>
          </cell>
          <cell r="AB730" t="str">
            <v>ERGT</v>
          </cell>
          <cell r="AC730">
            <v>1101</v>
          </cell>
          <cell r="AD730">
            <v>2</v>
          </cell>
          <cell r="AE730">
            <v>14206</v>
          </cell>
        </row>
        <row r="731">
          <cell r="A731" t="str">
            <v>SMA</v>
          </cell>
          <cell r="B731">
            <v>4</v>
          </cell>
          <cell r="C731" t="str">
            <v>DRMS</v>
          </cell>
          <cell r="D731">
            <v>41</v>
          </cell>
          <cell r="E731">
            <v>4</v>
          </cell>
          <cell r="F731" t="str">
            <v xml:space="preserve">B </v>
          </cell>
          <cell r="G731">
            <v>0</v>
          </cell>
          <cell r="H731">
            <v>802</v>
          </cell>
          <cell r="I731">
            <v>225670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2184715</v>
          </cell>
          <cell r="P731">
            <v>0</v>
          </cell>
          <cell r="Q731">
            <v>0</v>
          </cell>
          <cell r="R731">
            <v>38</v>
          </cell>
          <cell r="S731">
            <v>0</v>
          </cell>
          <cell r="T731">
            <v>296734</v>
          </cell>
          <cell r="U731">
            <v>0</v>
          </cell>
          <cell r="V731">
            <v>30643</v>
          </cell>
          <cell r="W731">
            <v>0</v>
          </cell>
          <cell r="X731">
            <v>0</v>
          </cell>
          <cell r="Y731">
            <v>0</v>
          </cell>
          <cell r="Z731">
            <v>2184715</v>
          </cell>
          <cell r="AA731">
            <v>2512130</v>
          </cell>
          <cell r="AB731" t="str">
            <v>ERGT</v>
          </cell>
          <cell r="AC731">
            <v>1101</v>
          </cell>
          <cell r="AD731">
            <v>2</v>
          </cell>
          <cell r="AE731">
            <v>218824</v>
          </cell>
        </row>
        <row r="732">
          <cell r="A732" t="str">
            <v>SMA</v>
          </cell>
          <cell r="B732">
            <v>4</v>
          </cell>
          <cell r="C732" t="str">
            <v>DRMS</v>
          </cell>
          <cell r="D732">
            <v>41</v>
          </cell>
          <cell r="E732">
            <v>5</v>
          </cell>
          <cell r="F732" t="str">
            <v>A4</v>
          </cell>
          <cell r="G732">
            <v>20</v>
          </cell>
          <cell r="H732">
            <v>4</v>
          </cell>
          <cell r="I732">
            <v>17128</v>
          </cell>
          <cell r="J732">
            <v>0</v>
          </cell>
          <cell r="K732">
            <v>0</v>
          </cell>
          <cell r="L732">
            <v>107</v>
          </cell>
          <cell r="M732">
            <v>0</v>
          </cell>
          <cell r="N732">
            <v>0</v>
          </cell>
          <cell r="O732">
            <v>184542</v>
          </cell>
          <cell r="P732">
            <v>81202</v>
          </cell>
          <cell r="Q732">
            <v>9043</v>
          </cell>
          <cell r="R732">
            <v>2746</v>
          </cell>
          <cell r="S732">
            <v>0</v>
          </cell>
          <cell r="T732">
            <v>0</v>
          </cell>
          <cell r="U732">
            <v>58379</v>
          </cell>
          <cell r="V732">
            <v>0</v>
          </cell>
          <cell r="W732">
            <v>2348</v>
          </cell>
          <cell r="X732">
            <v>0</v>
          </cell>
          <cell r="Y732">
            <v>0</v>
          </cell>
          <cell r="Z732">
            <v>277135</v>
          </cell>
          <cell r="AA732">
            <v>279881</v>
          </cell>
          <cell r="AB732" t="str">
            <v>ERGT</v>
          </cell>
          <cell r="AC732">
            <v>1101</v>
          </cell>
          <cell r="AD732">
            <v>2</v>
          </cell>
          <cell r="AE732">
            <v>17128</v>
          </cell>
        </row>
        <row r="733">
          <cell r="A733" t="str">
            <v>SMA</v>
          </cell>
          <cell r="B733">
            <v>4</v>
          </cell>
          <cell r="C733" t="str">
            <v>DRMS</v>
          </cell>
          <cell r="D733">
            <v>41</v>
          </cell>
          <cell r="E733">
            <v>5</v>
          </cell>
          <cell r="F733" t="str">
            <v xml:space="preserve">B </v>
          </cell>
          <cell r="G733">
            <v>0</v>
          </cell>
          <cell r="H733">
            <v>122</v>
          </cell>
          <cell r="I733">
            <v>29256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562478</v>
          </cell>
          <cell r="P733">
            <v>0</v>
          </cell>
          <cell r="Q733">
            <v>0</v>
          </cell>
          <cell r="R733">
            <v>3114</v>
          </cell>
          <cell r="S733">
            <v>0</v>
          </cell>
          <cell r="T733">
            <v>1221</v>
          </cell>
          <cell r="U733">
            <v>101376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562478</v>
          </cell>
          <cell r="AA733">
            <v>566813</v>
          </cell>
          <cell r="AB733" t="str">
            <v>ERGT</v>
          </cell>
          <cell r="AC733">
            <v>1101</v>
          </cell>
          <cell r="AD733">
            <v>2</v>
          </cell>
          <cell r="AE733">
            <v>28299</v>
          </cell>
        </row>
        <row r="734">
          <cell r="A734" t="str">
            <v>SMA</v>
          </cell>
          <cell r="B734">
            <v>4</v>
          </cell>
          <cell r="C734" t="str">
            <v>DRMS</v>
          </cell>
          <cell r="D734">
            <v>41</v>
          </cell>
          <cell r="E734">
            <v>6</v>
          </cell>
          <cell r="F734" t="str">
            <v xml:space="preserve">B </v>
          </cell>
          <cell r="G734">
            <v>0</v>
          </cell>
          <cell r="H734">
            <v>9</v>
          </cell>
          <cell r="I734">
            <v>149315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1757934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439484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1757934</v>
          </cell>
          <cell r="AA734">
            <v>1757934</v>
          </cell>
          <cell r="AB734" t="str">
            <v>ERGT</v>
          </cell>
          <cell r="AC734">
            <v>1101</v>
          </cell>
          <cell r="AD734">
            <v>2</v>
          </cell>
          <cell r="AE734">
            <v>149315</v>
          </cell>
        </row>
        <row r="735">
          <cell r="A735" t="str">
            <v>SMA</v>
          </cell>
          <cell r="B735">
            <v>4</v>
          </cell>
          <cell r="C735" t="str">
            <v>DRMS</v>
          </cell>
          <cell r="D735">
            <v>41</v>
          </cell>
          <cell r="E735">
            <v>7</v>
          </cell>
          <cell r="F735" t="str">
            <v>A4</v>
          </cell>
          <cell r="G735">
            <v>22</v>
          </cell>
          <cell r="H735">
            <v>1</v>
          </cell>
          <cell r="I735">
            <v>206087</v>
          </cell>
          <cell r="J735">
            <v>15337</v>
          </cell>
          <cell r="K735">
            <v>190750</v>
          </cell>
          <cell r="L735">
            <v>737</v>
          </cell>
          <cell r="M735">
            <v>384</v>
          </cell>
          <cell r="N735">
            <v>353</v>
          </cell>
          <cell r="O735">
            <v>1223887</v>
          </cell>
          <cell r="P735">
            <v>846560</v>
          </cell>
          <cell r="Q735">
            <v>8473</v>
          </cell>
          <cell r="R735">
            <v>0</v>
          </cell>
          <cell r="S735">
            <v>0</v>
          </cell>
          <cell r="T735">
            <v>0</v>
          </cell>
          <cell r="U735">
            <v>527210</v>
          </cell>
          <cell r="V735">
            <v>0</v>
          </cell>
          <cell r="W735">
            <v>29920</v>
          </cell>
          <cell r="X735">
            <v>0</v>
          </cell>
          <cell r="Y735">
            <v>0</v>
          </cell>
          <cell r="Z735">
            <v>2108840</v>
          </cell>
          <cell r="AA735">
            <v>2108840</v>
          </cell>
          <cell r="AB735" t="str">
            <v>ERGT</v>
          </cell>
          <cell r="AC735">
            <v>1101</v>
          </cell>
          <cell r="AD735">
            <v>2</v>
          </cell>
          <cell r="AE735">
            <v>206087</v>
          </cell>
        </row>
        <row r="736">
          <cell r="A736" t="str">
            <v>SMA</v>
          </cell>
          <cell r="B736">
            <v>4</v>
          </cell>
          <cell r="C736" t="str">
            <v>DRMS</v>
          </cell>
          <cell r="D736">
            <v>41</v>
          </cell>
          <cell r="E736">
            <v>7</v>
          </cell>
          <cell r="F736" t="str">
            <v>A4</v>
          </cell>
          <cell r="G736">
            <v>20</v>
          </cell>
          <cell r="H736">
            <v>3</v>
          </cell>
          <cell r="I736">
            <v>142527</v>
          </cell>
          <cell r="J736">
            <v>0</v>
          </cell>
          <cell r="K736">
            <v>0</v>
          </cell>
          <cell r="L736">
            <v>213</v>
          </cell>
          <cell r="M736">
            <v>0</v>
          </cell>
          <cell r="N736">
            <v>0</v>
          </cell>
          <cell r="O736">
            <v>1390115</v>
          </cell>
          <cell r="P736">
            <v>141432</v>
          </cell>
          <cell r="Q736">
            <v>59213</v>
          </cell>
          <cell r="R736">
            <v>0</v>
          </cell>
          <cell r="S736">
            <v>0</v>
          </cell>
          <cell r="T736">
            <v>0</v>
          </cell>
          <cell r="U736">
            <v>399185</v>
          </cell>
          <cell r="V736">
            <v>0</v>
          </cell>
          <cell r="W736">
            <v>5976</v>
          </cell>
          <cell r="X736">
            <v>0</v>
          </cell>
          <cell r="Y736">
            <v>0</v>
          </cell>
          <cell r="Z736">
            <v>1596736</v>
          </cell>
          <cell r="AA736">
            <v>1596736</v>
          </cell>
          <cell r="AB736" t="str">
            <v>ERGT</v>
          </cell>
          <cell r="AC736">
            <v>1101</v>
          </cell>
          <cell r="AD736">
            <v>2</v>
          </cell>
          <cell r="AE736">
            <v>142527</v>
          </cell>
        </row>
        <row r="737">
          <cell r="A737" t="str">
            <v>SMA</v>
          </cell>
          <cell r="B737">
            <v>4</v>
          </cell>
          <cell r="C737" t="str">
            <v>DRMS</v>
          </cell>
          <cell r="D737">
            <v>41</v>
          </cell>
          <cell r="E737">
            <v>7</v>
          </cell>
          <cell r="F737" t="str">
            <v xml:space="preserve">B </v>
          </cell>
          <cell r="G737">
            <v>0</v>
          </cell>
          <cell r="H737">
            <v>2</v>
          </cell>
          <cell r="I737">
            <v>25487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450984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112746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450984</v>
          </cell>
          <cell r="AA737">
            <v>450984</v>
          </cell>
          <cell r="AB737" t="str">
            <v>ERGT</v>
          </cell>
          <cell r="AC737">
            <v>1101</v>
          </cell>
          <cell r="AD737">
            <v>2</v>
          </cell>
          <cell r="AE737">
            <v>25487</v>
          </cell>
        </row>
        <row r="738">
          <cell r="A738" t="str">
            <v>SMA</v>
          </cell>
          <cell r="B738">
            <v>4</v>
          </cell>
          <cell r="C738" t="str">
            <v>DRMS</v>
          </cell>
          <cell r="D738">
            <v>41</v>
          </cell>
          <cell r="E738">
            <v>8</v>
          </cell>
          <cell r="F738" t="str">
            <v xml:space="preserve">B </v>
          </cell>
          <cell r="G738">
            <v>0</v>
          </cell>
          <cell r="H738">
            <v>2</v>
          </cell>
          <cell r="I738">
            <v>1574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32768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8192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32768</v>
          </cell>
          <cell r="AA738">
            <v>32768</v>
          </cell>
          <cell r="AB738" t="str">
            <v>ERGT</v>
          </cell>
          <cell r="AC738">
            <v>1101</v>
          </cell>
          <cell r="AD738">
            <v>2</v>
          </cell>
          <cell r="AE738">
            <v>1574</v>
          </cell>
        </row>
        <row r="739">
          <cell r="A739" t="str">
            <v>SMA</v>
          </cell>
          <cell r="B739">
            <v>4</v>
          </cell>
          <cell r="C739" t="str">
            <v>DRMS</v>
          </cell>
          <cell r="D739">
            <v>42</v>
          </cell>
          <cell r="E739">
            <v>1</v>
          </cell>
          <cell r="F739" t="str">
            <v xml:space="preserve">B </v>
          </cell>
          <cell r="G739">
            <v>1</v>
          </cell>
          <cell r="H739">
            <v>4950</v>
          </cell>
          <cell r="I739">
            <v>105162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1695453</v>
          </cell>
          <cell r="P739">
            <v>0</v>
          </cell>
          <cell r="Q739">
            <v>0</v>
          </cell>
          <cell r="R739">
            <v>23317</v>
          </cell>
          <cell r="S739">
            <v>0</v>
          </cell>
          <cell r="T739">
            <v>144213</v>
          </cell>
          <cell r="U739">
            <v>0</v>
          </cell>
          <cell r="V739">
            <v>470</v>
          </cell>
          <cell r="W739">
            <v>0</v>
          </cell>
          <cell r="X739">
            <v>0</v>
          </cell>
          <cell r="Y739">
            <v>14466</v>
          </cell>
          <cell r="Z739">
            <v>1695453</v>
          </cell>
          <cell r="AA739">
            <v>1877919</v>
          </cell>
          <cell r="AB739" t="str">
            <v>ERRI</v>
          </cell>
          <cell r="AC739">
            <v>1101</v>
          </cell>
          <cell r="AD739">
            <v>2</v>
          </cell>
          <cell r="AE739">
            <v>83657</v>
          </cell>
        </row>
        <row r="740">
          <cell r="A740" t="str">
            <v>SMA</v>
          </cell>
          <cell r="B740">
            <v>4</v>
          </cell>
          <cell r="C740" t="str">
            <v>DRMS</v>
          </cell>
          <cell r="D740">
            <v>42</v>
          </cell>
          <cell r="E740">
            <v>1</v>
          </cell>
          <cell r="F740" t="str">
            <v xml:space="preserve">B </v>
          </cell>
          <cell r="G740">
            <v>2</v>
          </cell>
          <cell r="H740">
            <v>2796</v>
          </cell>
          <cell r="I740">
            <v>113130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2194295</v>
          </cell>
          <cell r="P740">
            <v>0</v>
          </cell>
          <cell r="Q740">
            <v>0</v>
          </cell>
          <cell r="R740">
            <v>19897</v>
          </cell>
          <cell r="S740">
            <v>0</v>
          </cell>
          <cell r="T740">
            <v>33986</v>
          </cell>
          <cell r="U740">
            <v>372941</v>
          </cell>
          <cell r="V740">
            <v>188</v>
          </cell>
          <cell r="W740">
            <v>0</v>
          </cell>
          <cell r="X740">
            <v>0</v>
          </cell>
          <cell r="Y740">
            <v>14136</v>
          </cell>
          <cell r="Z740">
            <v>2194295</v>
          </cell>
          <cell r="AA740">
            <v>2262502</v>
          </cell>
          <cell r="AB740" t="str">
            <v>ERRI</v>
          </cell>
          <cell r="AC740">
            <v>1101</v>
          </cell>
          <cell r="AD740">
            <v>2</v>
          </cell>
          <cell r="AE740">
            <v>113130</v>
          </cell>
        </row>
        <row r="741">
          <cell r="A741" t="str">
            <v>SMA</v>
          </cell>
          <cell r="B741">
            <v>4</v>
          </cell>
          <cell r="C741" t="str">
            <v>DRMS</v>
          </cell>
          <cell r="D741">
            <v>42</v>
          </cell>
          <cell r="E741">
            <v>1</v>
          </cell>
          <cell r="F741" t="str">
            <v xml:space="preserve">B </v>
          </cell>
          <cell r="G741">
            <v>3</v>
          </cell>
          <cell r="H741">
            <v>7081</v>
          </cell>
          <cell r="I741">
            <v>513115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9951610</v>
          </cell>
          <cell r="P741">
            <v>0</v>
          </cell>
          <cell r="Q741">
            <v>0</v>
          </cell>
          <cell r="R741">
            <v>93515</v>
          </cell>
          <cell r="S741">
            <v>0</v>
          </cell>
          <cell r="T741">
            <v>81347</v>
          </cell>
          <cell r="U741">
            <v>1691798</v>
          </cell>
          <cell r="V741">
            <v>470</v>
          </cell>
          <cell r="W741">
            <v>0</v>
          </cell>
          <cell r="X741">
            <v>0</v>
          </cell>
          <cell r="Y741">
            <v>34620</v>
          </cell>
          <cell r="Z741">
            <v>9951610</v>
          </cell>
          <cell r="AA741">
            <v>10161562</v>
          </cell>
          <cell r="AB741" t="str">
            <v>ERRI</v>
          </cell>
          <cell r="AC741">
            <v>1101</v>
          </cell>
          <cell r="AD741">
            <v>2</v>
          </cell>
          <cell r="AE741">
            <v>512749</v>
          </cell>
        </row>
        <row r="742">
          <cell r="A742" t="str">
            <v>SMA</v>
          </cell>
          <cell r="B742">
            <v>4</v>
          </cell>
          <cell r="C742" t="str">
            <v>DRMS</v>
          </cell>
          <cell r="D742">
            <v>42</v>
          </cell>
          <cell r="E742">
            <v>1</v>
          </cell>
          <cell r="F742" t="str">
            <v xml:space="preserve">B </v>
          </cell>
          <cell r="G742">
            <v>4</v>
          </cell>
          <cell r="H742">
            <v>1667</v>
          </cell>
          <cell r="I742">
            <v>197298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3827217</v>
          </cell>
          <cell r="P742">
            <v>0</v>
          </cell>
          <cell r="Q742">
            <v>0</v>
          </cell>
          <cell r="R742">
            <v>46594</v>
          </cell>
          <cell r="S742">
            <v>0</v>
          </cell>
          <cell r="T742">
            <v>33295</v>
          </cell>
          <cell r="U742">
            <v>650645</v>
          </cell>
          <cell r="V742">
            <v>0</v>
          </cell>
          <cell r="W742">
            <v>0</v>
          </cell>
          <cell r="X742">
            <v>0</v>
          </cell>
          <cell r="Y742">
            <v>6642</v>
          </cell>
          <cell r="Z742">
            <v>3827217</v>
          </cell>
          <cell r="AA742">
            <v>3913748</v>
          </cell>
          <cell r="AB742" t="str">
            <v>ERRI</v>
          </cell>
          <cell r="AC742">
            <v>1101</v>
          </cell>
          <cell r="AD742">
            <v>2</v>
          </cell>
          <cell r="AE742">
            <v>197298</v>
          </cell>
        </row>
        <row r="743">
          <cell r="A743" t="str">
            <v>SMA</v>
          </cell>
          <cell r="B743">
            <v>4</v>
          </cell>
          <cell r="C743" t="str">
            <v>DRMS</v>
          </cell>
          <cell r="D743">
            <v>42</v>
          </cell>
          <cell r="E743">
            <v>1</v>
          </cell>
          <cell r="F743" t="str">
            <v xml:space="preserve">B </v>
          </cell>
          <cell r="G743">
            <v>5</v>
          </cell>
          <cell r="H743">
            <v>418</v>
          </cell>
          <cell r="I743">
            <v>71618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1389058</v>
          </cell>
          <cell r="P743">
            <v>0</v>
          </cell>
          <cell r="Q743">
            <v>0</v>
          </cell>
          <cell r="R743">
            <v>16898</v>
          </cell>
          <cell r="S743">
            <v>0</v>
          </cell>
          <cell r="T743">
            <v>13192</v>
          </cell>
          <cell r="U743">
            <v>236150</v>
          </cell>
          <cell r="V743">
            <v>0</v>
          </cell>
          <cell r="W743">
            <v>0</v>
          </cell>
          <cell r="X743">
            <v>0</v>
          </cell>
          <cell r="Y743">
            <v>2315</v>
          </cell>
          <cell r="Z743">
            <v>1389058</v>
          </cell>
          <cell r="AA743">
            <v>1421463</v>
          </cell>
          <cell r="AB743" t="str">
            <v>ERRI</v>
          </cell>
          <cell r="AC743">
            <v>1101</v>
          </cell>
          <cell r="AD743">
            <v>2</v>
          </cell>
          <cell r="AE743">
            <v>71618</v>
          </cell>
        </row>
        <row r="744">
          <cell r="A744" t="str">
            <v>SMA</v>
          </cell>
          <cell r="B744">
            <v>4</v>
          </cell>
          <cell r="C744" t="str">
            <v>DRMS</v>
          </cell>
          <cell r="D744">
            <v>42</v>
          </cell>
          <cell r="E744">
            <v>1</v>
          </cell>
          <cell r="F744" t="str">
            <v xml:space="preserve">B </v>
          </cell>
          <cell r="G744">
            <v>6</v>
          </cell>
          <cell r="H744">
            <v>202</v>
          </cell>
          <cell r="I744">
            <v>48119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933358</v>
          </cell>
          <cell r="P744">
            <v>0</v>
          </cell>
          <cell r="Q744">
            <v>0</v>
          </cell>
          <cell r="R744">
            <v>12753</v>
          </cell>
          <cell r="S744">
            <v>0</v>
          </cell>
          <cell r="T744">
            <v>9449</v>
          </cell>
          <cell r="U744">
            <v>158721</v>
          </cell>
          <cell r="V744">
            <v>0</v>
          </cell>
          <cell r="W744">
            <v>0</v>
          </cell>
          <cell r="X744">
            <v>0</v>
          </cell>
          <cell r="Y744">
            <v>1376</v>
          </cell>
          <cell r="Z744">
            <v>933358</v>
          </cell>
          <cell r="AA744">
            <v>956936</v>
          </cell>
          <cell r="AB744" t="str">
            <v>ERRI</v>
          </cell>
          <cell r="AC744">
            <v>1101</v>
          </cell>
          <cell r="AD744">
            <v>2</v>
          </cell>
          <cell r="AE744">
            <v>48119</v>
          </cell>
        </row>
        <row r="745">
          <cell r="A745" t="str">
            <v>SMA</v>
          </cell>
          <cell r="B745">
            <v>4</v>
          </cell>
          <cell r="C745" t="str">
            <v>DRMS</v>
          </cell>
          <cell r="D745">
            <v>42</v>
          </cell>
          <cell r="E745">
            <v>1</v>
          </cell>
          <cell r="F745" t="str">
            <v xml:space="preserve">B </v>
          </cell>
          <cell r="G745">
            <v>7</v>
          </cell>
          <cell r="H745">
            <v>46</v>
          </cell>
          <cell r="I745">
            <v>15306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308031</v>
          </cell>
          <cell r="P745">
            <v>0</v>
          </cell>
          <cell r="Q745">
            <v>0</v>
          </cell>
          <cell r="R745">
            <v>4178</v>
          </cell>
          <cell r="S745">
            <v>0</v>
          </cell>
          <cell r="T745">
            <v>1559</v>
          </cell>
          <cell r="U745">
            <v>61630</v>
          </cell>
          <cell r="V745">
            <v>0</v>
          </cell>
          <cell r="W745">
            <v>0</v>
          </cell>
          <cell r="X745">
            <v>0</v>
          </cell>
          <cell r="Y745">
            <v>295</v>
          </cell>
          <cell r="Z745">
            <v>308031</v>
          </cell>
          <cell r="AA745">
            <v>314063</v>
          </cell>
          <cell r="AB745" t="str">
            <v>ERRI</v>
          </cell>
          <cell r="AC745">
            <v>1101</v>
          </cell>
          <cell r="AD745">
            <v>2</v>
          </cell>
          <cell r="AE745">
            <v>15306</v>
          </cell>
        </row>
        <row r="746">
          <cell r="A746" t="str">
            <v>SMA</v>
          </cell>
          <cell r="B746">
            <v>4</v>
          </cell>
          <cell r="C746" t="str">
            <v>DRMS</v>
          </cell>
          <cell r="D746">
            <v>42</v>
          </cell>
          <cell r="E746">
            <v>1</v>
          </cell>
          <cell r="F746" t="str">
            <v xml:space="preserve">B </v>
          </cell>
          <cell r="G746">
            <v>8</v>
          </cell>
          <cell r="H746">
            <v>15</v>
          </cell>
          <cell r="I746">
            <v>6552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131848</v>
          </cell>
          <cell r="P746">
            <v>0</v>
          </cell>
          <cell r="Q746">
            <v>0</v>
          </cell>
          <cell r="R746">
            <v>408</v>
          </cell>
          <cell r="S746">
            <v>0</v>
          </cell>
          <cell r="T746">
            <v>0</v>
          </cell>
          <cell r="U746">
            <v>26375</v>
          </cell>
          <cell r="V746">
            <v>0</v>
          </cell>
          <cell r="W746">
            <v>0</v>
          </cell>
          <cell r="X746">
            <v>0</v>
          </cell>
          <cell r="Y746">
            <v>92</v>
          </cell>
          <cell r="Z746">
            <v>131848</v>
          </cell>
          <cell r="AA746">
            <v>132348</v>
          </cell>
          <cell r="AB746" t="str">
            <v>ERRI</v>
          </cell>
          <cell r="AC746">
            <v>1101</v>
          </cell>
          <cell r="AD746">
            <v>2</v>
          </cell>
          <cell r="AE746">
            <v>6552</v>
          </cell>
        </row>
        <row r="747">
          <cell r="A747" t="str">
            <v>SMA</v>
          </cell>
          <cell r="B747">
            <v>4</v>
          </cell>
          <cell r="C747" t="str">
            <v>DRMS</v>
          </cell>
          <cell r="D747">
            <v>42</v>
          </cell>
          <cell r="E747">
            <v>1</v>
          </cell>
          <cell r="F747" t="str">
            <v xml:space="preserve">B </v>
          </cell>
          <cell r="G747">
            <v>9</v>
          </cell>
          <cell r="H747">
            <v>13</v>
          </cell>
          <cell r="I747">
            <v>6618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142046</v>
          </cell>
          <cell r="P747">
            <v>0</v>
          </cell>
          <cell r="Q747">
            <v>0</v>
          </cell>
          <cell r="R747">
            <v>1032</v>
          </cell>
          <cell r="S747">
            <v>0</v>
          </cell>
          <cell r="T747">
            <v>610</v>
          </cell>
          <cell r="U747">
            <v>35528</v>
          </cell>
          <cell r="V747">
            <v>0</v>
          </cell>
          <cell r="W747">
            <v>0</v>
          </cell>
          <cell r="X747">
            <v>0</v>
          </cell>
          <cell r="Y747">
            <v>166</v>
          </cell>
          <cell r="Z747">
            <v>142046</v>
          </cell>
          <cell r="AA747">
            <v>143854</v>
          </cell>
          <cell r="AB747" t="str">
            <v>ERRI</v>
          </cell>
          <cell r="AC747">
            <v>1101</v>
          </cell>
          <cell r="AD747">
            <v>2</v>
          </cell>
          <cell r="AE747">
            <v>6618</v>
          </cell>
        </row>
        <row r="748">
          <cell r="A748" t="str">
            <v>SMA</v>
          </cell>
          <cell r="B748">
            <v>4</v>
          </cell>
          <cell r="C748" t="str">
            <v>DRMS</v>
          </cell>
          <cell r="D748">
            <v>42</v>
          </cell>
          <cell r="E748">
            <v>1</v>
          </cell>
          <cell r="F748" t="str">
            <v xml:space="preserve">B </v>
          </cell>
          <cell r="G748">
            <v>10</v>
          </cell>
          <cell r="H748">
            <v>2</v>
          </cell>
          <cell r="I748">
            <v>1484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31848</v>
          </cell>
          <cell r="P748">
            <v>0</v>
          </cell>
          <cell r="Q748">
            <v>0</v>
          </cell>
          <cell r="R748">
            <v>626</v>
          </cell>
          <cell r="S748">
            <v>0</v>
          </cell>
          <cell r="T748">
            <v>0</v>
          </cell>
          <cell r="U748">
            <v>7962</v>
          </cell>
          <cell r="V748">
            <v>0</v>
          </cell>
          <cell r="W748">
            <v>0</v>
          </cell>
          <cell r="X748">
            <v>0</v>
          </cell>
          <cell r="Y748">
            <v>6</v>
          </cell>
          <cell r="Z748">
            <v>31848</v>
          </cell>
          <cell r="AA748">
            <v>32480</v>
          </cell>
          <cell r="AB748" t="str">
            <v>ERRI</v>
          </cell>
          <cell r="AC748">
            <v>1101</v>
          </cell>
          <cell r="AD748">
            <v>2</v>
          </cell>
          <cell r="AE748">
            <v>1484</v>
          </cell>
        </row>
        <row r="749">
          <cell r="A749" t="str">
            <v>SMA</v>
          </cell>
          <cell r="B749">
            <v>4</v>
          </cell>
          <cell r="C749" t="str">
            <v>DRMS</v>
          </cell>
          <cell r="D749">
            <v>42</v>
          </cell>
          <cell r="E749">
            <v>1</v>
          </cell>
          <cell r="F749" t="str">
            <v xml:space="preserve">B </v>
          </cell>
          <cell r="G749">
            <v>11</v>
          </cell>
          <cell r="H749">
            <v>1770</v>
          </cell>
          <cell r="I749">
            <v>41481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233706</v>
          </cell>
          <cell r="P749">
            <v>0</v>
          </cell>
          <cell r="Q749">
            <v>0</v>
          </cell>
          <cell r="R749">
            <v>3779</v>
          </cell>
          <cell r="S749">
            <v>0</v>
          </cell>
          <cell r="T749">
            <v>57810</v>
          </cell>
          <cell r="U749">
            <v>0</v>
          </cell>
          <cell r="V749">
            <v>5264</v>
          </cell>
          <cell r="W749">
            <v>0</v>
          </cell>
          <cell r="X749">
            <v>0</v>
          </cell>
          <cell r="Y749">
            <v>5250</v>
          </cell>
          <cell r="Z749">
            <v>233706</v>
          </cell>
          <cell r="AA749">
            <v>305809</v>
          </cell>
          <cell r="AB749" t="str">
            <v>ERRI</v>
          </cell>
          <cell r="AC749">
            <v>1101</v>
          </cell>
          <cell r="AD749">
            <v>2</v>
          </cell>
          <cell r="AE749">
            <v>32991</v>
          </cell>
        </row>
        <row r="750">
          <cell r="A750" t="str">
            <v>SMA</v>
          </cell>
          <cell r="B750">
            <v>4</v>
          </cell>
          <cell r="C750" t="str">
            <v>DRMS</v>
          </cell>
          <cell r="D750">
            <v>42</v>
          </cell>
          <cell r="E750">
            <v>1</v>
          </cell>
          <cell r="F750" t="str">
            <v xml:space="preserve">B </v>
          </cell>
          <cell r="G750">
            <v>12</v>
          </cell>
          <cell r="H750">
            <v>1226</v>
          </cell>
          <cell r="I750">
            <v>67641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609997</v>
          </cell>
          <cell r="P750">
            <v>0</v>
          </cell>
          <cell r="Q750">
            <v>0</v>
          </cell>
          <cell r="R750">
            <v>12484</v>
          </cell>
          <cell r="S750">
            <v>0</v>
          </cell>
          <cell r="T750">
            <v>10632</v>
          </cell>
          <cell r="U750">
            <v>103735</v>
          </cell>
          <cell r="V750">
            <v>4042</v>
          </cell>
          <cell r="W750">
            <v>0</v>
          </cell>
          <cell r="X750">
            <v>0</v>
          </cell>
          <cell r="Y750">
            <v>6030</v>
          </cell>
          <cell r="Z750">
            <v>609997</v>
          </cell>
          <cell r="AA750">
            <v>643185</v>
          </cell>
          <cell r="AB750" t="str">
            <v>ERRI</v>
          </cell>
          <cell r="AC750">
            <v>1101</v>
          </cell>
          <cell r="AD750">
            <v>2</v>
          </cell>
          <cell r="AE750">
            <v>67641</v>
          </cell>
        </row>
        <row r="751">
          <cell r="A751" t="str">
            <v>SMA</v>
          </cell>
          <cell r="B751">
            <v>4</v>
          </cell>
          <cell r="C751" t="str">
            <v>DRMS</v>
          </cell>
          <cell r="D751">
            <v>42</v>
          </cell>
          <cell r="E751">
            <v>1</v>
          </cell>
          <cell r="F751" t="str">
            <v xml:space="preserve">B </v>
          </cell>
          <cell r="G751">
            <v>13</v>
          </cell>
          <cell r="H751">
            <v>114</v>
          </cell>
          <cell r="I751">
            <v>13230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189581</v>
          </cell>
          <cell r="P751">
            <v>0</v>
          </cell>
          <cell r="Q751">
            <v>0</v>
          </cell>
          <cell r="R751">
            <v>2358</v>
          </cell>
          <cell r="S751">
            <v>0</v>
          </cell>
          <cell r="T751">
            <v>2786</v>
          </cell>
          <cell r="U751">
            <v>32230</v>
          </cell>
          <cell r="V751">
            <v>94</v>
          </cell>
          <cell r="W751">
            <v>0</v>
          </cell>
          <cell r="X751">
            <v>0</v>
          </cell>
          <cell r="Y751">
            <v>498</v>
          </cell>
          <cell r="Z751">
            <v>189581</v>
          </cell>
          <cell r="AA751">
            <v>195317</v>
          </cell>
          <cell r="AB751" t="str">
            <v>ERRI</v>
          </cell>
          <cell r="AC751">
            <v>1101</v>
          </cell>
          <cell r="AD751">
            <v>2</v>
          </cell>
          <cell r="AE751">
            <v>13230</v>
          </cell>
        </row>
        <row r="752">
          <cell r="A752" t="str">
            <v>SMA</v>
          </cell>
          <cell r="B752">
            <v>4</v>
          </cell>
          <cell r="C752" t="str">
            <v>DRMS</v>
          </cell>
          <cell r="D752">
            <v>42</v>
          </cell>
          <cell r="E752">
            <v>1</v>
          </cell>
          <cell r="F752" t="str">
            <v xml:space="preserve">B </v>
          </cell>
          <cell r="G752">
            <v>14</v>
          </cell>
          <cell r="H752">
            <v>2</v>
          </cell>
          <cell r="I752">
            <v>300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3820</v>
          </cell>
          <cell r="P752">
            <v>0</v>
          </cell>
          <cell r="Q752">
            <v>0</v>
          </cell>
          <cell r="R752">
            <v>14</v>
          </cell>
          <cell r="S752">
            <v>0</v>
          </cell>
          <cell r="T752">
            <v>0</v>
          </cell>
          <cell r="U752">
            <v>650</v>
          </cell>
          <cell r="V752">
            <v>0</v>
          </cell>
          <cell r="W752">
            <v>0</v>
          </cell>
          <cell r="X752">
            <v>0</v>
          </cell>
          <cell r="Y752">
            <v>37</v>
          </cell>
          <cell r="Z752">
            <v>3820</v>
          </cell>
          <cell r="AA752">
            <v>3871</v>
          </cell>
          <cell r="AB752" t="str">
            <v>ERRI</v>
          </cell>
          <cell r="AC752">
            <v>1101</v>
          </cell>
          <cell r="AD752">
            <v>2</v>
          </cell>
          <cell r="AE752">
            <v>300</v>
          </cell>
        </row>
        <row r="753">
          <cell r="A753" t="str">
            <v>SMA</v>
          </cell>
          <cell r="B753">
            <v>4</v>
          </cell>
          <cell r="C753" t="str">
            <v>DRMS</v>
          </cell>
          <cell r="D753">
            <v>42</v>
          </cell>
          <cell r="E753">
            <v>1</v>
          </cell>
          <cell r="F753" t="str">
            <v xml:space="preserve">B </v>
          </cell>
          <cell r="G753">
            <v>15</v>
          </cell>
          <cell r="H753">
            <v>6</v>
          </cell>
          <cell r="I753">
            <v>1694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28025</v>
          </cell>
          <cell r="P753">
            <v>0</v>
          </cell>
          <cell r="Q753">
            <v>0</v>
          </cell>
          <cell r="R753">
            <v>206</v>
          </cell>
          <cell r="S753">
            <v>0</v>
          </cell>
          <cell r="T753">
            <v>14874</v>
          </cell>
          <cell r="U753">
            <v>5738</v>
          </cell>
          <cell r="V753">
            <v>0</v>
          </cell>
          <cell r="W753">
            <v>0</v>
          </cell>
          <cell r="X753">
            <v>0</v>
          </cell>
          <cell r="Y753">
            <v>74</v>
          </cell>
          <cell r="Z753">
            <v>28025</v>
          </cell>
          <cell r="AA753">
            <v>43179</v>
          </cell>
          <cell r="AB753" t="str">
            <v>ERRI</v>
          </cell>
          <cell r="AC753">
            <v>1101</v>
          </cell>
          <cell r="AD753">
            <v>2</v>
          </cell>
          <cell r="AE753">
            <v>1694</v>
          </cell>
        </row>
        <row r="754">
          <cell r="A754" t="str">
            <v>SMA</v>
          </cell>
          <cell r="B754">
            <v>4</v>
          </cell>
          <cell r="C754" t="str">
            <v>DRMS</v>
          </cell>
          <cell r="D754">
            <v>42</v>
          </cell>
          <cell r="E754">
            <v>2</v>
          </cell>
          <cell r="F754" t="str">
            <v>A4</v>
          </cell>
          <cell r="G754">
            <v>22</v>
          </cell>
          <cell r="H754">
            <v>1</v>
          </cell>
          <cell r="I754">
            <v>21146</v>
          </cell>
          <cell r="J754">
            <v>1973</v>
          </cell>
          <cell r="K754">
            <v>19173</v>
          </cell>
          <cell r="L754">
            <v>161</v>
          </cell>
          <cell r="M754">
            <v>79</v>
          </cell>
          <cell r="N754">
            <v>82</v>
          </cell>
          <cell r="O754">
            <v>150606</v>
          </cell>
          <cell r="P754">
            <v>224358</v>
          </cell>
          <cell r="Q754">
            <v>104</v>
          </cell>
          <cell r="R754">
            <v>0</v>
          </cell>
          <cell r="S754">
            <v>0</v>
          </cell>
          <cell r="T754">
            <v>0</v>
          </cell>
          <cell r="U754">
            <v>93767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375068</v>
          </cell>
          <cell r="AA754">
            <v>375068</v>
          </cell>
          <cell r="AB754" t="str">
            <v>ERRI</v>
          </cell>
          <cell r="AC754">
            <v>1101</v>
          </cell>
          <cell r="AD754">
            <v>2</v>
          </cell>
          <cell r="AE754">
            <v>21146</v>
          </cell>
        </row>
        <row r="755">
          <cell r="A755" t="str">
            <v>SMA</v>
          </cell>
          <cell r="B755">
            <v>4</v>
          </cell>
          <cell r="C755" t="str">
            <v>DRMS</v>
          </cell>
          <cell r="D755">
            <v>42</v>
          </cell>
          <cell r="E755">
            <v>2</v>
          </cell>
          <cell r="F755" t="str">
            <v>A4</v>
          </cell>
          <cell r="G755">
            <v>21</v>
          </cell>
          <cell r="H755">
            <v>5</v>
          </cell>
          <cell r="I755">
            <v>393806</v>
          </cell>
          <cell r="J755">
            <v>24307</v>
          </cell>
          <cell r="K755">
            <v>369499</v>
          </cell>
          <cell r="L755">
            <v>2940</v>
          </cell>
          <cell r="M755">
            <v>2940</v>
          </cell>
          <cell r="N755">
            <v>0</v>
          </cell>
          <cell r="O755">
            <v>3880179</v>
          </cell>
          <cell r="P755">
            <v>2030560</v>
          </cell>
          <cell r="Q755">
            <v>224920</v>
          </cell>
          <cell r="R755">
            <v>46851</v>
          </cell>
          <cell r="S755">
            <v>0</v>
          </cell>
          <cell r="T755">
            <v>1645050</v>
          </cell>
          <cell r="U755">
            <v>1654436</v>
          </cell>
          <cell r="V755">
            <v>0</v>
          </cell>
          <cell r="W755">
            <v>482085</v>
          </cell>
          <cell r="X755">
            <v>0</v>
          </cell>
          <cell r="Y755">
            <v>0</v>
          </cell>
          <cell r="Z755">
            <v>6617744</v>
          </cell>
          <cell r="AA755">
            <v>8309645</v>
          </cell>
          <cell r="AB755" t="str">
            <v>ERRI</v>
          </cell>
          <cell r="AC755">
            <v>1101</v>
          </cell>
          <cell r="AD755">
            <v>2</v>
          </cell>
          <cell r="AE755">
            <v>393806</v>
          </cell>
        </row>
        <row r="756">
          <cell r="A756" t="str">
            <v>SMA</v>
          </cell>
          <cell r="B756">
            <v>4</v>
          </cell>
          <cell r="C756" t="str">
            <v>DRMS</v>
          </cell>
          <cell r="D756">
            <v>42</v>
          </cell>
          <cell r="E756">
            <v>2</v>
          </cell>
          <cell r="F756" t="str">
            <v>A4</v>
          </cell>
          <cell r="G756">
            <v>20</v>
          </cell>
          <cell r="H756">
            <v>7</v>
          </cell>
          <cell r="I756">
            <v>66078</v>
          </cell>
          <cell r="J756">
            <v>0</v>
          </cell>
          <cell r="K756">
            <v>0</v>
          </cell>
          <cell r="L756">
            <v>601</v>
          </cell>
          <cell r="M756">
            <v>0</v>
          </cell>
          <cell r="N756">
            <v>0</v>
          </cell>
          <cell r="O756">
            <v>758222</v>
          </cell>
          <cell r="P756">
            <v>470384</v>
          </cell>
          <cell r="Q756">
            <v>128481</v>
          </cell>
          <cell r="R756">
            <v>1155</v>
          </cell>
          <cell r="S756">
            <v>0</v>
          </cell>
          <cell r="T756">
            <v>209878</v>
          </cell>
          <cell r="U756">
            <v>349251</v>
          </cell>
          <cell r="V756">
            <v>0</v>
          </cell>
          <cell r="W756">
            <v>39916</v>
          </cell>
          <cell r="X756">
            <v>0</v>
          </cell>
          <cell r="Y756">
            <v>12</v>
          </cell>
          <cell r="Z756">
            <v>1397003</v>
          </cell>
          <cell r="AA756">
            <v>1608048</v>
          </cell>
          <cell r="AB756" t="str">
            <v>ERRI</v>
          </cell>
          <cell r="AC756">
            <v>1101</v>
          </cell>
          <cell r="AD756">
            <v>2</v>
          </cell>
          <cell r="AE756">
            <v>66078</v>
          </cell>
        </row>
        <row r="757">
          <cell r="A757" t="str">
            <v>SMA</v>
          </cell>
          <cell r="B757">
            <v>4</v>
          </cell>
          <cell r="C757" t="str">
            <v>DRMS</v>
          </cell>
          <cell r="D757">
            <v>42</v>
          </cell>
          <cell r="E757">
            <v>2</v>
          </cell>
          <cell r="F757" t="str">
            <v xml:space="preserve">B </v>
          </cell>
          <cell r="G757">
            <v>0</v>
          </cell>
          <cell r="H757">
            <v>160</v>
          </cell>
          <cell r="I757">
            <v>58012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1207687</v>
          </cell>
          <cell r="P757">
            <v>0</v>
          </cell>
          <cell r="Q757">
            <v>0</v>
          </cell>
          <cell r="R757">
            <v>24992</v>
          </cell>
          <cell r="S757">
            <v>0</v>
          </cell>
          <cell r="T757">
            <v>114281</v>
          </cell>
          <cell r="U757">
            <v>298282</v>
          </cell>
          <cell r="V757">
            <v>660</v>
          </cell>
          <cell r="W757">
            <v>0</v>
          </cell>
          <cell r="X757">
            <v>0</v>
          </cell>
          <cell r="Y757">
            <v>982</v>
          </cell>
          <cell r="Z757">
            <v>1207687</v>
          </cell>
          <cell r="AA757">
            <v>1348602</v>
          </cell>
          <cell r="AB757" t="str">
            <v>ERRI</v>
          </cell>
          <cell r="AC757">
            <v>1101</v>
          </cell>
          <cell r="AD757">
            <v>2</v>
          </cell>
          <cell r="AE757">
            <v>56113</v>
          </cell>
        </row>
        <row r="758">
          <cell r="A758" t="str">
            <v>SMA</v>
          </cell>
          <cell r="B758">
            <v>4</v>
          </cell>
          <cell r="C758" t="str">
            <v>DRMS</v>
          </cell>
          <cell r="D758">
            <v>42</v>
          </cell>
          <cell r="E758">
            <v>3</v>
          </cell>
          <cell r="F758" t="str">
            <v>A4</v>
          </cell>
          <cell r="G758">
            <v>20</v>
          </cell>
          <cell r="H758">
            <v>2</v>
          </cell>
          <cell r="I758">
            <v>18886</v>
          </cell>
          <cell r="J758">
            <v>0</v>
          </cell>
          <cell r="K758">
            <v>0</v>
          </cell>
          <cell r="L758">
            <v>65</v>
          </cell>
          <cell r="M758">
            <v>0</v>
          </cell>
          <cell r="N758">
            <v>0</v>
          </cell>
          <cell r="O758">
            <v>216711</v>
          </cell>
          <cell r="P758">
            <v>50873</v>
          </cell>
          <cell r="Q758">
            <v>6507</v>
          </cell>
          <cell r="R758">
            <v>0</v>
          </cell>
          <cell r="S758">
            <v>0</v>
          </cell>
          <cell r="T758">
            <v>0</v>
          </cell>
          <cell r="U758">
            <v>68914</v>
          </cell>
          <cell r="V758">
            <v>0</v>
          </cell>
          <cell r="W758">
            <v>1565</v>
          </cell>
          <cell r="X758">
            <v>0</v>
          </cell>
          <cell r="Y758">
            <v>0</v>
          </cell>
          <cell r="Z758">
            <v>275656</v>
          </cell>
          <cell r="AA758">
            <v>275656</v>
          </cell>
          <cell r="AB758" t="str">
            <v>ERRI</v>
          </cell>
          <cell r="AC758">
            <v>1101</v>
          </cell>
          <cell r="AD758">
            <v>2</v>
          </cell>
          <cell r="AE758">
            <v>18886</v>
          </cell>
        </row>
        <row r="759">
          <cell r="A759" t="str">
            <v>SMA</v>
          </cell>
          <cell r="B759">
            <v>4</v>
          </cell>
          <cell r="C759" t="str">
            <v>DRMS</v>
          </cell>
          <cell r="D759">
            <v>42</v>
          </cell>
          <cell r="E759">
            <v>3</v>
          </cell>
          <cell r="F759" t="str">
            <v xml:space="preserve">B </v>
          </cell>
          <cell r="G759">
            <v>0</v>
          </cell>
          <cell r="H759">
            <v>1514</v>
          </cell>
          <cell r="I759">
            <v>292794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6095258</v>
          </cell>
          <cell r="P759">
            <v>0</v>
          </cell>
          <cell r="Q759">
            <v>0</v>
          </cell>
          <cell r="R759">
            <v>69343</v>
          </cell>
          <cell r="S759">
            <v>0</v>
          </cell>
          <cell r="T759">
            <v>199320</v>
          </cell>
          <cell r="U759">
            <v>1499007</v>
          </cell>
          <cell r="V759">
            <v>660</v>
          </cell>
          <cell r="W759">
            <v>0</v>
          </cell>
          <cell r="X759">
            <v>0</v>
          </cell>
          <cell r="Y759">
            <v>5840</v>
          </cell>
          <cell r="Z759">
            <v>6095258</v>
          </cell>
          <cell r="AA759">
            <v>6370421</v>
          </cell>
          <cell r="AB759" t="str">
            <v>ERRI</v>
          </cell>
          <cell r="AC759">
            <v>1101</v>
          </cell>
          <cell r="AD759">
            <v>2</v>
          </cell>
          <cell r="AE759">
            <v>283761</v>
          </cell>
        </row>
        <row r="760">
          <cell r="A760" t="str">
            <v>SMA</v>
          </cell>
          <cell r="B760">
            <v>4</v>
          </cell>
          <cell r="C760" t="str">
            <v>DRMS</v>
          </cell>
          <cell r="D760">
            <v>42</v>
          </cell>
          <cell r="E760">
            <v>4</v>
          </cell>
          <cell r="F760" t="str">
            <v>A4</v>
          </cell>
          <cell r="G760">
            <v>20</v>
          </cell>
          <cell r="H760">
            <v>5</v>
          </cell>
          <cell r="I760">
            <v>173938</v>
          </cell>
          <cell r="J760">
            <v>0</v>
          </cell>
          <cell r="K760">
            <v>0</v>
          </cell>
          <cell r="L760">
            <v>511</v>
          </cell>
          <cell r="M760">
            <v>0</v>
          </cell>
          <cell r="N760">
            <v>0</v>
          </cell>
          <cell r="O760">
            <v>1347150</v>
          </cell>
          <cell r="P760">
            <v>269808</v>
          </cell>
          <cell r="Q760">
            <v>401904</v>
          </cell>
          <cell r="R760">
            <v>2732</v>
          </cell>
          <cell r="S760">
            <v>0</v>
          </cell>
          <cell r="T760">
            <v>75485</v>
          </cell>
          <cell r="U760">
            <v>0</v>
          </cell>
          <cell r="V760">
            <v>0</v>
          </cell>
          <cell r="W760">
            <v>85008</v>
          </cell>
          <cell r="X760">
            <v>0</v>
          </cell>
          <cell r="Y760">
            <v>0</v>
          </cell>
          <cell r="Z760">
            <v>2103870</v>
          </cell>
          <cell r="AA760">
            <v>2182087</v>
          </cell>
          <cell r="AB760" t="str">
            <v>ERRI</v>
          </cell>
          <cell r="AC760">
            <v>1101</v>
          </cell>
          <cell r="AD760">
            <v>2</v>
          </cell>
          <cell r="AE760">
            <v>173938</v>
          </cell>
        </row>
        <row r="761">
          <cell r="A761" t="str">
            <v>SMA</v>
          </cell>
          <cell r="B761">
            <v>4</v>
          </cell>
          <cell r="C761" t="str">
            <v>DRMS</v>
          </cell>
          <cell r="D761">
            <v>42</v>
          </cell>
          <cell r="E761">
            <v>4</v>
          </cell>
          <cell r="F761" t="str">
            <v xml:space="preserve">B </v>
          </cell>
          <cell r="G761">
            <v>0</v>
          </cell>
          <cell r="H761">
            <v>895</v>
          </cell>
          <cell r="I761">
            <v>243274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2381557</v>
          </cell>
          <cell r="P761">
            <v>0</v>
          </cell>
          <cell r="Q761">
            <v>0</v>
          </cell>
          <cell r="R761">
            <v>47</v>
          </cell>
          <cell r="S761">
            <v>0</v>
          </cell>
          <cell r="T761">
            <v>293652</v>
          </cell>
          <cell r="U761">
            <v>0</v>
          </cell>
          <cell r="V761">
            <v>78082</v>
          </cell>
          <cell r="W761">
            <v>0</v>
          </cell>
          <cell r="X761">
            <v>0</v>
          </cell>
          <cell r="Y761">
            <v>0</v>
          </cell>
          <cell r="Z761">
            <v>2381557</v>
          </cell>
          <cell r="AA761">
            <v>2753338</v>
          </cell>
          <cell r="AB761" t="str">
            <v>ERRI</v>
          </cell>
          <cell r="AC761">
            <v>1101</v>
          </cell>
          <cell r="AD761">
            <v>2</v>
          </cell>
          <cell r="AE761">
            <v>237524</v>
          </cell>
        </row>
        <row r="762">
          <cell r="A762" t="str">
            <v>SMA</v>
          </cell>
          <cell r="B762">
            <v>4</v>
          </cell>
          <cell r="C762" t="str">
            <v>DRMS</v>
          </cell>
          <cell r="D762">
            <v>42</v>
          </cell>
          <cell r="E762">
            <v>5</v>
          </cell>
          <cell r="F762" t="str">
            <v>A4</v>
          </cell>
          <cell r="G762">
            <v>20</v>
          </cell>
          <cell r="H762">
            <v>1</v>
          </cell>
          <cell r="I762">
            <v>554</v>
          </cell>
          <cell r="J762">
            <v>0</v>
          </cell>
          <cell r="K762">
            <v>0</v>
          </cell>
          <cell r="L762">
            <v>7</v>
          </cell>
          <cell r="M762">
            <v>0</v>
          </cell>
          <cell r="N762">
            <v>0</v>
          </cell>
          <cell r="O762">
            <v>6357</v>
          </cell>
          <cell r="P762">
            <v>5479</v>
          </cell>
          <cell r="Q762">
            <v>333</v>
          </cell>
          <cell r="R762">
            <v>0</v>
          </cell>
          <cell r="S762">
            <v>0</v>
          </cell>
          <cell r="T762">
            <v>0</v>
          </cell>
          <cell r="U762">
            <v>3042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12169</v>
          </cell>
          <cell r="AA762">
            <v>12169</v>
          </cell>
          <cell r="AB762" t="str">
            <v>ERRI</v>
          </cell>
          <cell r="AC762">
            <v>1101</v>
          </cell>
          <cell r="AD762">
            <v>2</v>
          </cell>
          <cell r="AE762">
            <v>554</v>
          </cell>
        </row>
        <row r="763">
          <cell r="A763" t="str">
            <v>SMA</v>
          </cell>
          <cell r="B763">
            <v>4</v>
          </cell>
          <cell r="C763" t="str">
            <v>DRMS</v>
          </cell>
          <cell r="D763">
            <v>42</v>
          </cell>
          <cell r="E763">
            <v>5</v>
          </cell>
          <cell r="F763" t="str">
            <v xml:space="preserve">B </v>
          </cell>
          <cell r="G763">
            <v>0</v>
          </cell>
          <cell r="H763">
            <v>253</v>
          </cell>
          <cell r="I763">
            <v>142465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2925974</v>
          </cell>
          <cell r="P763">
            <v>0</v>
          </cell>
          <cell r="Q763">
            <v>0</v>
          </cell>
          <cell r="R763">
            <v>6514</v>
          </cell>
          <cell r="S763">
            <v>0</v>
          </cell>
          <cell r="T763">
            <v>0</v>
          </cell>
          <cell r="U763">
            <v>701557</v>
          </cell>
          <cell r="V763">
            <v>94</v>
          </cell>
          <cell r="W763">
            <v>0</v>
          </cell>
          <cell r="X763">
            <v>0</v>
          </cell>
          <cell r="Y763">
            <v>0</v>
          </cell>
          <cell r="Z763">
            <v>2925974</v>
          </cell>
          <cell r="AA763">
            <v>2932582</v>
          </cell>
          <cell r="AB763" t="str">
            <v>ERRI</v>
          </cell>
          <cell r="AC763">
            <v>1101</v>
          </cell>
          <cell r="AD763">
            <v>2</v>
          </cell>
          <cell r="AE763">
            <v>141396</v>
          </cell>
        </row>
        <row r="764">
          <cell r="A764" t="str">
            <v>SMA</v>
          </cell>
          <cell r="B764">
            <v>4</v>
          </cell>
          <cell r="C764" t="str">
            <v>DRMS</v>
          </cell>
          <cell r="D764">
            <v>42</v>
          </cell>
          <cell r="E764">
            <v>6</v>
          </cell>
          <cell r="F764" t="str">
            <v xml:space="preserve">B </v>
          </cell>
          <cell r="G764">
            <v>0</v>
          </cell>
          <cell r="H764">
            <v>9</v>
          </cell>
          <cell r="I764">
            <v>182844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2152683</v>
          </cell>
          <cell r="P764">
            <v>0</v>
          </cell>
          <cell r="Q764">
            <v>0</v>
          </cell>
          <cell r="R764">
            <v>7950</v>
          </cell>
          <cell r="S764">
            <v>0</v>
          </cell>
          <cell r="T764">
            <v>284702</v>
          </cell>
          <cell r="U764">
            <v>538171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2152683</v>
          </cell>
          <cell r="AA764">
            <v>2445335</v>
          </cell>
          <cell r="AB764" t="str">
            <v>ERRI</v>
          </cell>
          <cell r="AC764">
            <v>1101</v>
          </cell>
          <cell r="AD764">
            <v>2</v>
          </cell>
          <cell r="AE764">
            <v>182844</v>
          </cell>
        </row>
        <row r="765">
          <cell r="A765" t="str">
            <v>SMA</v>
          </cell>
          <cell r="B765">
            <v>4</v>
          </cell>
          <cell r="C765" t="str">
            <v>DRMS</v>
          </cell>
          <cell r="D765">
            <v>42</v>
          </cell>
          <cell r="E765">
            <v>7</v>
          </cell>
          <cell r="F765" t="str">
            <v>A4</v>
          </cell>
          <cell r="G765">
            <v>20</v>
          </cell>
          <cell r="H765">
            <v>5</v>
          </cell>
          <cell r="I765">
            <v>205072</v>
          </cell>
          <cell r="J765">
            <v>0</v>
          </cell>
          <cell r="K765">
            <v>0</v>
          </cell>
          <cell r="L765">
            <v>306</v>
          </cell>
          <cell r="M765">
            <v>0</v>
          </cell>
          <cell r="N765">
            <v>0</v>
          </cell>
          <cell r="O765">
            <v>2000137</v>
          </cell>
          <cell r="P765">
            <v>203184</v>
          </cell>
          <cell r="Q765">
            <v>79507</v>
          </cell>
          <cell r="R765">
            <v>13797</v>
          </cell>
          <cell r="S765">
            <v>0</v>
          </cell>
          <cell r="T765">
            <v>0</v>
          </cell>
          <cell r="U765">
            <v>572699</v>
          </cell>
          <cell r="V765">
            <v>0</v>
          </cell>
          <cell r="W765">
            <v>7968</v>
          </cell>
          <cell r="X765">
            <v>0</v>
          </cell>
          <cell r="Y765">
            <v>0</v>
          </cell>
          <cell r="Z765">
            <v>2290796</v>
          </cell>
          <cell r="AA765">
            <v>2304593</v>
          </cell>
          <cell r="AB765" t="str">
            <v>ERRI</v>
          </cell>
          <cell r="AC765">
            <v>1101</v>
          </cell>
          <cell r="AD765">
            <v>2</v>
          </cell>
          <cell r="AE765">
            <v>205072</v>
          </cell>
        </row>
        <row r="766">
          <cell r="A766" t="str">
            <v>SMA</v>
          </cell>
          <cell r="B766">
            <v>4</v>
          </cell>
          <cell r="C766" t="str">
            <v>DRMS</v>
          </cell>
          <cell r="D766">
            <v>42</v>
          </cell>
          <cell r="E766">
            <v>7</v>
          </cell>
          <cell r="F766" t="str">
            <v xml:space="preserve">B </v>
          </cell>
          <cell r="G766">
            <v>0</v>
          </cell>
          <cell r="H766">
            <v>8</v>
          </cell>
          <cell r="I766">
            <v>35742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632443</v>
          </cell>
          <cell r="P766">
            <v>0</v>
          </cell>
          <cell r="Q766">
            <v>0</v>
          </cell>
          <cell r="R766">
            <v>5920</v>
          </cell>
          <cell r="S766">
            <v>0</v>
          </cell>
          <cell r="T766">
            <v>0</v>
          </cell>
          <cell r="U766">
            <v>158111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632443</v>
          </cell>
          <cell r="AA766">
            <v>638363</v>
          </cell>
          <cell r="AB766" t="str">
            <v>ERRI</v>
          </cell>
          <cell r="AC766">
            <v>1101</v>
          </cell>
          <cell r="AD766">
            <v>2</v>
          </cell>
          <cell r="AE766">
            <v>35616</v>
          </cell>
        </row>
        <row r="767">
          <cell r="A767" t="str">
            <v>SMA</v>
          </cell>
          <cell r="B767">
            <v>4</v>
          </cell>
          <cell r="C767" t="str">
            <v>DRMS</v>
          </cell>
          <cell r="D767">
            <v>42</v>
          </cell>
          <cell r="E767">
            <v>8</v>
          </cell>
          <cell r="F767" t="str">
            <v xml:space="preserve">B </v>
          </cell>
          <cell r="G767">
            <v>0</v>
          </cell>
          <cell r="H767">
            <v>4</v>
          </cell>
          <cell r="I767">
            <v>2603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54191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13548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54191</v>
          </cell>
          <cell r="AA767">
            <v>54191</v>
          </cell>
          <cell r="AB767" t="str">
            <v>ERRI</v>
          </cell>
          <cell r="AC767">
            <v>1101</v>
          </cell>
          <cell r="AD767">
            <v>2</v>
          </cell>
          <cell r="AE767">
            <v>2553</v>
          </cell>
        </row>
        <row r="768">
          <cell r="A768" t="str">
            <v>SMA</v>
          </cell>
          <cell r="B768">
            <v>4</v>
          </cell>
          <cell r="C768" t="str">
            <v>DRMS</v>
          </cell>
          <cell r="D768">
            <v>43</v>
          </cell>
          <cell r="E768">
            <v>1</v>
          </cell>
          <cell r="F768" t="str">
            <v xml:space="preserve">B </v>
          </cell>
          <cell r="G768">
            <v>1</v>
          </cell>
          <cell r="H768">
            <v>5438</v>
          </cell>
          <cell r="I768">
            <v>115548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1864542</v>
          </cell>
          <cell r="P768">
            <v>0</v>
          </cell>
          <cell r="Q768">
            <v>0</v>
          </cell>
          <cell r="R768">
            <v>26494</v>
          </cell>
          <cell r="S768">
            <v>0</v>
          </cell>
          <cell r="T768">
            <v>312065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292897</v>
          </cell>
          <cell r="Z768">
            <v>1864542</v>
          </cell>
          <cell r="AA768">
            <v>2495998</v>
          </cell>
          <cell r="AB768" t="str">
            <v>ERVI</v>
          </cell>
          <cell r="AC768">
            <v>1101</v>
          </cell>
          <cell r="AD768">
            <v>2</v>
          </cell>
          <cell r="AE768">
            <v>86990</v>
          </cell>
        </row>
        <row r="769">
          <cell r="A769" t="str">
            <v>SMA</v>
          </cell>
          <cell r="B769">
            <v>4</v>
          </cell>
          <cell r="C769" t="str">
            <v>DRMS</v>
          </cell>
          <cell r="D769">
            <v>43</v>
          </cell>
          <cell r="E769">
            <v>1</v>
          </cell>
          <cell r="F769" t="str">
            <v xml:space="preserve">B </v>
          </cell>
          <cell r="G769">
            <v>2</v>
          </cell>
          <cell r="H769">
            <v>3778</v>
          </cell>
          <cell r="I769">
            <v>154733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3000916</v>
          </cell>
          <cell r="P769">
            <v>0</v>
          </cell>
          <cell r="Q769">
            <v>0</v>
          </cell>
          <cell r="R769">
            <v>27129</v>
          </cell>
          <cell r="S769">
            <v>0</v>
          </cell>
          <cell r="T769">
            <v>126964</v>
          </cell>
          <cell r="U769">
            <v>509999</v>
          </cell>
          <cell r="V769">
            <v>376</v>
          </cell>
          <cell r="W769">
            <v>0</v>
          </cell>
          <cell r="X769">
            <v>0</v>
          </cell>
          <cell r="Y769">
            <v>405459</v>
          </cell>
          <cell r="Z769">
            <v>3000916</v>
          </cell>
          <cell r="AA769">
            <v>3560844</v>
          </cell>
          <cell r="AB769" t="str">
            <v>ERVI</v>
          </cell>
          <cell r="AC769">
            <v>1101</v>
          </cell>
          <cell r="AD769">
            <v>2</v>
          </cell>
          <cell r="AE769">
            <v>154733</v>
          </cell>
        </row>
        <row r="770">
          <cell r="A770" t="str">
            <v>SMA</v>
          </cell>
          <cell r="B770">
            <v>4</v>
          </cell>
          <cell r="C770" t="str">
            <v>DRMS</v>
          </cell>
          <cell r="D770">
            <v>43</v>
          </cell>
          <cell r="E770">
            <v>1</v>
          </cell>
          <cell r="F770" t="str">
            <v xml:space="preserve">B </v>
          </cell>
          <cell r="G770">
            <v>3</v>
          </cell>
          <cell r="H770">
            <v>12286</v>
          </cell>
          <cell r="I770">
            <v>903822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17527642</v>
          </cell>
          <cell r="P770">
            <v>0</v>
          </cell>
          <cell r="Q770">
            <v>0</v>
          </cell>
          <cell r="R770">
            <v>165159</v>
          </cell>
          <cell r="S770">
            <v>0</v>
          </cell>
          <cell r="T770">
            <v>379305</v>
          </cell>
          <cell r="U770">
            <v>2979722</v>
          </cell>
          <cell r="V770">
            <v>1318</v>
          </cell>
          <cell r="W770">
            <v>0</v>
          </cell>
          <cell r="X770">
            <v>0</v>
          </cell>
          <cell r="Y770">
            <v>2649473</v>
          </cell>
          <cell r="Z770">
            <v>17527642</v>
          </cell>
          <cell r="AA770">
            <v>20722897</v>
          </cell>
          <cell r="AB770" t="str">
            <v>ERVI</v>
          </cell>
          <cell r="AC770">
            <v>1101</v>
          </cell>
          <cell r="AD770">
            <v>2</v>
          </cell>
          <cell r="AE770">
            <v>902460</v>
          </cell>
        </row>
        <row r="771">
          <cell r="A771" t="str">
            <v>SMA</v>
          </cell>
          <cell r="B771">
            <v>4</v>
          </cell>
          <cell r="C771" t="str">
            <v>DRMS</v>
          </cell>
          <cell r="D771">
            <v>43</v>
          </cell>
          <cell r="E771">
            <v>1</v>
          </cell>
          <cell r="F771" t="str">
            <v xml:space="preserve">B </v>
          </cell>
          <cell r="G771">
            <v>4</v>
          </cell>
          <cell r="H771">
            <v>3632</v>
          </cell>
          <cell r="I771">
            <v>433719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8413086</v>
          </cell>
          <cell r="P771">
            <v>0</v>
          </cell>
          <cell r="Q771">
            <v>0</v>
          </cell>
          <cell r="R771">
            <v>100086</v>
          </cell>
          <cell r="S771">
            <v>0</v>
          </cell>
          <cell r="T771">
            <v>228100</v>
          </cell>
          <cell r="U771">
            <v>1430263</v>
          </cell>
          <cell r="V771">
            <v>565</v>
          </cell>
          <cell r="W771">
            <v>0</v>
          </cell>
          <cell r="X771">
            <v>0</v>
          </cell>
          <cell r="Y771">
            <v>1040133</v>
          </cell>
          <cell r="Z771">
            <v>8413086</v>
          </cell>
          <cell r="AA771">
            <v>9781970</v>
          </cell>
          <cell r="AB771" t="str">
            <v>ERVI</v>
          </cell>
          <cell r="AC771">
            <v>1101</v>
          </cell>
          <cell r="AD771">
            <v>2</v>
          </cell>
          <cell r="AE771">
            <v>433719</v>
          </cell>
        </row>
        <row r="772">
          <cell r="A772" t="str">
            <v>SMA</v>
          </cell>
          <cell r="B772">
            <v>4</v>
          </cell>
          <cell r="C772" t="str">
            <v>DRMS</v>
          </cell>
          <cell r="D772">
            <v>43</v>
          </cell>
          <cell r="E772">
            <v>1</v>
          </cell>
          <cell r="F772" t="str">
            <v xml:space="preserve">B </v>
          </cell>
          <cell r="G772">
            <v>5</v>
          </cell>
          <cell r="H772">
            <v>1177</v>
          </cell>
          <cell r="I772">
            <v>201920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3916178</v>
          </cell>
          <cell r="P772">
            <v>0</v>
          </cell>
          <cell r="Q772">
            <v>0</v>
          </cell>
          <cell r="R772">
            <v>54896</v>
          </cell>
          <cell r="S772">
            <v>0</v>
          </cell>
          <cell r="T772">
            <v>102676</v>
          </cell>
          <cell r="U772">
            <v>665764</v>
          </cell>
          <cell r="V772">
            <v>377</v>
          </cell>
          <cell r="W772">
            <v>0</v>
          </cell>
          <cell r="X772">
            <v>0</v>
          </cell>
          <cell r="Y772">
            <v>483411</v>
          </cell>
          <cell r="Z772">
            <v>3916178</v>
          </cell>
          <cell r="AA772">
            <v>4557538</v>
          </cell>
          <cell r="AB772" t="str">
            <v>ERVI</v>
          </cell>
          <cell r="AC772">
            <v>1101</v>
          </cell>
          <cell r="AD772">
            <v>2</v>
          </cell>
          <cell r="AE772">
            <v>201920</v>
          </cell>
        </row>
        <row r="773">
          <cell r="A773" t="str">
            <v>SMA</v>
          </cell>
          <cell r="B773">
            <v>4</v>
          </cell>
          <cell r="C773" t="str">
            <v>DRMS</v>
          </cell>
          <cell r="D773">
            <v>43</v>
          </cell>
          <cell r="E773">
            <v>1</v>
          </cell>
          <cell r="F773" t="str">
            <v xml:space="preserve">B </v>
          </cell>
          <cell r="G773">
            <v>6</v>
          </cell>
          <cell r="H773">
            <v>745</v>
          </cell>
          <cell r="I773">
            <v>174293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3380296</v>
          </cell>
          <cell r="P773">
            <v>0</v>
          </cell>
          <cell r="Q773">
            <v>0</v>
          </cell>
          <cell r="R773">
            <v>53183</v>
          </cell>
          <cell r="S773">
            <v>0</v>
          </cell>
          <cell r="T773">
            <v>85724</v>
          </cell>
          <cell r="U773">
            <v>574771</v>
          </cell>
          <cell r="V773">
            <v>189</v>
          </cell>
          <cell r="W773">
            <v>0</v>
          </cell>
          <cell r="X773">
            <v>0</v>
          </cell>
          <cell r="Y773">
            <v>304644</v>
          </cell>
          <cell r="Z773">
            <v>3380296</v>
          </cell>
          <cell r="AA773">
            <v>3824036</v>
          </cell>
          <cell r="AB773" t="str">
            <v>ERVI</v>
          </cell>
          <cell r="AC773">
            <v>1101</v>
          </cell>
          <cell r="AD773">
            <v>2</v>
          </cell>
          <cell r="AE773">
            <v>174293</v>
          </cell>
        </row>
        <row r="774">
          <cell r="A774" t="str">
            <v>SMA</v>
          </cell>
          <cell r="B774">
            <v>4</v>
          </cell>
          <cell r="C774" t="str">
            <v>DRMS</v>
          </cell>
          <cell r="D774">
            <v>43</v>
          </cell>
          <cell r="E774">
            <v>1</v>
          </cell>
          <cell r="F774" t="str">
            <v xml:space="preserve">B </v>
          </cell>
          <cell r="G774">
            <v>7</v>
          </cell>
          <cell r="H774">
            <v>245</v>
          </cell>
          <cell r="I774">
            <v>84390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1698298</v>
          </cell>
          <cell r="P774">
            <v>0</v>
          </cell>
          <cell r="Q774">
            <v>0</v>
          </cell>
          <cell r="R774">
            <v>33517</v>
          </cell>
          <cell r="S774">
            <v>0</v>
          </cell>
          <cell r="T774">
            <v>23201</v>
          </cell>
          <cell r="U774">
            <v>339724</v>
          </cell>
          <cell r="V774">
            <v>0</v>
          </cell>
          <cell r="W774">
            <v>0</v>
          </cell>
          <cell r="X774">
            <v>0</v>
          </cell>
          <cell r="Y774">
            <v>130247</v>
          </cell>
          <cell r="Z774">
            <v>1698298</v>
          </cell>
          <cell r="AA774">
            <v>1885263</v>
          </cell>
          <cell r="AB774" t="str">
            <v>ERVI</v>
          </cell>
          <cell r="AC774">
            <v>1101</v>
          </cell>
          <cell r="AD774">
            <v>2</v>
          </cell>
          <cell r="AE774">
            <v>84390</v>
          </cell>
        </row>
        <row r="775">
          <cell r="A775" t="str">
            <v>SMA</v>
          </cell>
          <cell r="B775">
            <v>4</v>
          </cell>
          <cell r="C775" t="str">
            <v>DRMS</v>
          </cell>
          <cell r="D775">
            <v>43</v>
          </cell>
          <cell r="E775">
            <v>1</v>
          </cell>
          <cell r="F775" t="str">
            <v xml:space="preserve">B </v>
          </cell>
          <cell r="G775">
            <v>8</v>
          </cell>
          <cell r="H775">
            <v>89</v>
          </cell>
          <cell r="I775">
            <v>39040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786693</v>
          </cell>
          <cell r="P775">
            <v>0</v>
          </cell>
          <cell r="Q775">
            <v>0</v>
          </cell>
          <cell r="R775">
            <v>6851</v>
          </cell>
          <cell r="S775">
            <v>0</v>
          </cell>
          <cell r="T775">
            <v>8152</v>
          </cell>
          <cell r="U775">
            <v>157363</v>
          </cell>
          <cell r="V775">
            <v>283</v>
          </cell>
          <cell r="W775">
            <v>0</v>
          </cell>
          <cell r="X775">
            <v>0</v>
          </cell>
          <cell r="Y775">
            <v>48727</v>
          </cell>
          <cell r="Z775">
            <v>786693</v>
          </cell>
          <cell r="AA775">
            <v>850706</v>
          </cell>
          <cell r="AB775" t="str">
            <v>ERVI</v>
          </cell>
          <cell r="AC775">
            <v>1101</v>
          </cell>
          <cell r="AD775">
            <v>2</v>
          </cell>
          <cell r="AE775">
            <v>39040</v>
          </cell>
        </row>
        <row r="776">
          <cell r="A776" t="str">
            <v>SMA</v>
          </cell>
          <cell r="B776">
            <v>4</v>
          </cell>
          <cell r="C776" t="str">
            <v>DRMS</v>
          </cell>
          <cell r="D776">
            <v>43</v>
          </cell>
          <cell r="E776">
            <v>1</v>
          </cell>
          <cell r="F776" t="str">
            <v xml:space="preserve">B </v>
          </cell>
          <cell r="G776">
            <v>9</v>
          </cell>
          <cell r="H776">
            <v>102</v>
          </cell>
          <cell r="I776">
            <v>62916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1361110</v>
          </cell>
          <cell r="P776">
            <v>0</v>
          </cell>
          <cell r="Q776">
            <v>0</v>
          </cell>
          <cell r="R776">
            <v>12631</v>
          </cell>
          <cell r="S776">
            <v>0</v>
          </cell>
          <cell r="T776">
            <v>40231</v>
          </cell>
          <cell r="U776">
            <v>340303</v>
          </cell>
          <cell r="V776">
            <v>0</v>
          </cell>
          <cell r="W776">
            <v>0</v>
          </cell>
          <cell r="X776">
            <v>0</v>
          </cell>
          <cell r="Y776">
            <v>66679</v>
          </cell>
          <cell r="Z776">
            <v>1361110</v>
          </cell>
          <cell r="AA776">
            <v>1480651</v>
          </cell>
          <cell r="AB776" t="str">
            <v>ERVI</v>
          </cell>
          <cell r="AC776">
            <v>1101</v>
          </cell>
          <cell r="AD776">
            <v>2</v>
          </cell>
          <cell r="AE776">
            <v>62916</v>
          </cell>
        </row>
        <row r="777">
          <cell r="A777" t="str">
            <v>SMA</v>
          </cell>
          <cell r="B777">
            <v>4</v>
          </cell>
          <cell r="C777" t="str">
            <v>DRMS</v>
          </cell>
          <cell r="D777">
            <v>43</v>
          </cell>
          <cell r="E777">
            <v>1</v>
          </cell>
          <cell r="F777" t="str">
            <v xml:space="preserve">B </v>
          </cell>
          <cell r="G777">
            <v>10</v>
          </cell>
          <cell r="H777">
            <v>18</v>
          </cell>
          <cell r="I777">
            <v>24483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525434</v>
          </cell>
          <cell r="P777">
            <v>0</v>
          </cell>
          <cell r="Q777">
            <v>0</v>
          </cell>
          <cell r="R777">
            <v>21054</v>
          </cell>
          <cell r="S777">
            <v>0</v>
          </cell>
          <cell r="T777">
            <v>2032</v>
          </cell>
          <cell r="U777">
            <v>131363</v>
          </cell>
          <cell r="V777">
            <v>0</v>
          </cell>
          <cell r="W777">
            <v>0</v>
          </cell>
          <cell r="X777">
            <v>0</v>
          </cell>
          <cell r="Y777">
            <v>8288</v>
          </cell>
          <cell r="Z777">
            <v>525434</v>
          </cell>
          <cell r="AA777">
            <v>556808</v>
          </cell>
          <cell r="AB777" t="str">
            <v>ERVI</v>
          </cell>
          <cell r="AC777">
            <v>1101</v>
          </cell>
          <cell r="AD777">
            <v>2</v>
          </cell>
          <cell r="AE777">
            <v>24483</v>
          </cell>
        </row>
        <row r="778">
          <cell r="A778" t="str">
            <v>SMA</v>
          </cell>
          <cell r="B778">
            <v>4</v>
          </cell>
          <cell r="C778" t="str">
            <v>DRMS</v>
          </cell>
          <cell r="D778">
            <v>43</v>
          </cell>
          <cell r="E778">
            <v>1</v>
          </cell>
          <cell r="F778" t="str">
            <v xml:space="preserve">B </v>
          </cell>
          <cell r="G778">
            <v>11</v>
          </cell>
          <cell r="H778">
            <v>3337</v>
          </cell>
          <cell r="I778">
            <v>76525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431550</v>
          </cell>
          <cell r="P778">
            <v>0</v>
          </cell>
          <cell r="Q778">
            <v>0</v>
          </cell>
          <cell r="R778">
            <v>7601</v>
          </cell>
          <cell r="S778">
            <v>0</v>
          </cell>
          <cell r="T778">
            <v>79862</v>
          </cell>
          <cell r="U778">
            <v>0</v>
          </cell>
          <cell r="V778">
            <v>658</v>
          </cell>
          <cell r="W778">
            <v>0</v>
          </cell>
          <cell r="X778">
            <v>0</v>
          </cell>
          <cell r="Y778">
            <v>106588</v>
          </cell>
          <cell r="Z778">
            <v>431550</v>
          </cell>
          <cell r="AA778">
            <v>626259</v>
          </cell>
          <cell r="AB778" t="str">
            <v>ERVI</v>
          </cell>
          <cell r="AC778">
            <v>1101</v>
          </cell>
          <cell r="AD778">
            <v>2</v>
          </cell>
          <cell r="AE778">
            <v>57900</v>
          </cell>
        </row>
        <row r="779">
          <cell r="A779" t="str">
            <v>SMA</v>
          </cell>
          <cell r="B779">
            <v>4</v>
          </cell>
          <cell r="C779" t="str">
            <v>DRMS</v>
          </cell>
          <cell r="D779">
            <v>43</v>
          </cell>
          <cell r="E779">
            <v>1</v>
          </cell>
          <cell r="F779" t="str">
            <v xml:space="preserve">B </v>
          </cell>
          <cell r="G779">
            <v>12</v>
          </cell>
          <cell r="H779">
            <v>3635</v>
          </cell>
          <cell r="I779">
            <v>208520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1908604</v>
          </cell>
          <cell r="P779">
            <v>0</v>
          </cell>
          <cell r="Q779">
            <v>0</v>
          </cell>
          <cell r="R779">
            <v>26559</v>
          </cell>
          <cell r="S779">
            <v>51</v>
          </cell>
          <cell r="T779">
            <v>127248</v>
          </cell>
          <cell r="U779">
            <v>324606</v>
          </cell>
          <cell r="V779">
            <v>2163</v>
          </cell>
          <cell r="W779">
            <v>0</v>
          </cell>
          <cell r="X779">
            <v>105</v>
          </cell>
          <cell r="Y779">
            <v>415370</v>
          </cell>
          <cell r="Z779">
            <v>1908604</v>
          </cell>
          <cell r="AA779">
            <v>2480100</v>
          </cell>
          <cell r="AB779" t="str">
            <v>ERVI</v>
          </cell>
          <cell r="AC779">
            <v>1101</v>
          </cell>
          <cell r="AD779">
            <v>2</v>
          </cell>
          <cell r="AE779">
            <v>208520</v>
          </cell>
        </row>
        <row r="780">
          <cell r="A780" t="str">
            <v>SMA</v>
          </cell>
          <cell r="B780">
            <v>4</v>
          </cell>
          <cell r="C780" t="str">
            <v>DRMS</v>
          </cell>
          <cell r="D780">
            <v>43</v>
          </cell>
          <cell r="E780">
            <v>1</v>
          </cell>
          <cell r="F780" t="str">
            <v xml:space="preserve">B </v>
          </cell>
          <cell r="G780">
            <v>13</v>
          </cell>
          <cell r="H780">
            <v>335</v>
          </cell>
          <cell r="I780">
            <v>38229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495725</v>
          </cell>
          <cell r="P780">
            <v>0</v>
          </cell>
          <cell r="Q780">
            <v>0</v>
          </cell>
          <cell r="R780">
            <v>5791</v>
          </cell>
          <cell r="S780">
            <v>0</v>
          </cell>
          <cell r="T780">
            <v>5707</v>
          </cell>
          <cell r="U780">
            <v>84290</v>
          </cell>
          <cell r="V780">
            <v>0</v>
          </cell>
          <cell r="W780">
            <v>0</v>
          </cell>
          <cell r="X780">
            <v>0</v>
          </cell>
          <cell r="Y780">
            <v>75086</v>
          </cell>
          <cell r="Z780">
            <v>495725</v>
          </cell>
          <cell r="AA780">
            <v>582309</v>
          </cell>
          <cell r="AB780" t="str">
            <v>ERVI</v>
          </cell>
          <cell r="AC780">
            <v>1101</v>
          </cell>
          <cell r="AD780">
            <v>2</v>
          </cell>
          <cell r="AE780">
            <v>38229</v>
          </cell>
        </row>
        <row r="781">
          <cell r="A781" t="str">
            <v>SMA</v>
          </cell>
          <cell r="B781">
            <v>4</v>
          </cell>
          <cell r="C781" t="str">
            <v>DRMS</v>
          </cell>
          <cell r="D781">
            <v>43</v>
          </cell>
          <cell r="E781">
            <v>1</v>
          </cell>
          <cell r="F781" t="str">
            <v xml:space="preserve">B </v>
          </cell>
          <cell r="G781">
            <v>14</v>
          </cell>
          <cell r="H781">
            <v>31</v>
          </cell>
          <cell r="I781">
            <v>4304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54492</v>
          </cell>
          <cell r="P781">
            <v>0</v>
          </cell>
          <cell r="Q781">
            <v>0</v>
          </cell>
          <cell r="R781">
            <v>415</v>
          </cell>
          <cell r="S781">
            <v>0</v>
          </cell>
          <cell r="T781">
            <v>0</v>
          </cell>
          <cell r="U781">
            <v>9263</v>
          </cell>
          <cell r="V781">
            <v>0</v>
          </cell>
          <cell r="W781">
            <v>0</v>
          </cell>
          <cell r="X781">
            <v>0</v>
          </cell>
          <cell r="Y781">
            <v>3998</v>
          </cell>
          <cell r="Z781">
            <v>54492</v>
          </cell>
          <cell r="AA781">
            <v>58905</v>
          </cell>
          <cell r="AB781" t="str">
            <v>ERVI</v>
          </cell>
          <cell r="AC781">
            <v>1101</v>
          </cell>
          <cell r="AD781">
            <v>2</v>
          </cell>
          <cell r="AE781">
            <v>4304</v>
          </cell>
        </row>
        <row r="782">
          <cell r="A782" t="str">
            <v>SMA</v>
          </cell>
          <cell r="B782">
            <v>4</v>
          </cell>
          <cell r="C782" t="str">
            <v>DRMS</v>
          </cell>
          <cell r="D782">
            <v>43</v>
          </cell>
          <cell r="E782">
            <v>1</v>
          </cell>
          <cell r="F782" t="str">
            <v xml:space="preserve">B </v>
          </cell>
          <cell r="G782">
            <v>15</v>
          </cell>
          <cell r="H782">
            <v>53</v>
          </cell>
          <cell r="I782">
            <v>13780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225753</v>
          </cell>
          <cell r="P782">
            <v>0</v>
          </cell>
          <cell r="Q782">
            <v>0</v>
          </cell>
          <cell r="R782">
            <v>1303</v>
          </cell>
          <cell r="S782">
            <v>0</v>
          </cell>
          <cell r="T782">
            <v>689</v>
          </cell>
          <cell r="U782">
            <v>45441</v>
          </cell>
          <cell r="V782">
            <v>0</v>
          </cell>
          <cell r="W782">
            <v>0</v>
          </cell>
          <cell r="X782">
            <v>0</v>
          </cell>
          <cell r="Y782">
            <v>7808</v>
          </cell>
          <cell r="Z782">
            <v>225753</v>
          </cell>
          <cell r="AA782">
            <v>235553</v>
          </cell>
          <cell r="AB782" t="str">
            <v>ERVI</v>
          </cell>
          <cell r="AC782">
            <v>1101</v>
          </cell>
          <cell r="AD782">
            <v>2</v>
          </cell>
          <cell r="AE782">
            <v>13780</v>
          </cell>
        </row>
        <row r="783">
          <cell r="A783" t="str">
            <v>SMA</v>
          </cell>
          <cell r="B783">
            <v>4</v>
          </cell>
          <cell r="C783" t="str">
            <v>DRMS</v>
          </cell>
          <cell r="D783">
            <v>43</v>
          </cell>
          <cell r="E783">
            <v>2</v>
          </cell>
          <cell r="F783" t="str">
            <v>A4</v>
          </cell>
          <cell r="G783">
            <v>22</v>
          </cell>
          <cell r="H783">
            <v>2</v>
          </cell>
          <cell r="I783">
            <v>1154032</v>
          </cell>
          <cell r="J783">
            <v>79692</v>
          </cell>
          <cell r="K783">
            <v>1074340</v>
          </cell>
          <cell r="L783">
            <v>4655</v>
          </cell>
          <cell r="M783">
            <v>3150</v>
          </cell>
          <cell r="N783">
            <v>1800</v>
          </cell>
          <cell r="O783">
            <v>8019801</v>
          </cell>
          <cell r="P783">
            <v>5312407</v>
          </cell>
          <cell r="Q783">
            <v>19068</v>
          </cell>
          <cell r="R783">
            <v>52238</v>
          </cell>
          <cell r="S783">
            <v>0</v>
          </cell>
          <cell r="T783">
            <v>3703</v>
          </cell>
          <cell r="U783">
            <v>3337819</v>
          </cell>
          <cell r="V783">
            <v>0</v>
          </cell>
          <cell r="W783">
            <v>0</v>
          </cell>
          <cell r="X783">
            <v>0</v>
          </cell>
          <cell r="Y783">
            <v>2072</v>
          </cell>
          <cell r="Z783">
            <v>13351276</v>
          </cell>
          <cell r="AA783">
            <v>13409289</v>
          </cell>
          <cell r="AB783" t="str">
            <v>ERVI</v>
          </cell>
          <cell r="AC783">
            <v>1101</v>
          </cell>
          <cell r="AD783">
            <v>2</v>
          </cell>
          <cell r="AE783">
            <v>1154032</v>
          </cell>
        </row>
        <row r="784">
          <cell r="A784" t="str">
            <v>SMA</v>
          </cell>
          <cell r="B784">
            <v>4</v>
          </cell>
          <cell r="C784" t="str">
            <v>DRMS</v>
          </cell>
          <cell r="D784">
            <v>43</v>
          </cell>
          <cell r="E784">
            <v>2</v>
          </cell>
          <cell r="F784" t="str">
            <v>A4</v>
          </cell>
          <cell r="G784">
            <v>21</v>
          </cell>
          <cell r="H784">
            <v>5</v>
          </cell>
          <cell r="I784">
            <v>430857</v>
          </cell>
          <cell r="J784">
            <v>20882</v>
          </cell>
          <cell r="K784">
            <v>409975</v>
          </cell>
          <cell r="L784">
            <v>2142</v>
          </cell>
          <cell r="M784">
            <v>1943</v>
          </cell>
          <cell r="N784">
            <v>0</v>
          </cell>
          <cell r="O784">
            <v>3931000</v>
          </cell>
          <cell r="P784">
            <v>1754028</v>
          </cell>
          <cell r="Q784">
            <v>170156</v>
          </cell>
          <cell r="R784">
            <v>23354</v>
          </cell>
          <cell r="S784">
            <v>0</v>
          </cell>
          <cell r="T784">
            <v>0</v>
          </cell>
          <cell r="U784">
            <v>1464316</v>
          </cell>
          <cell r="V784">
            <v>0</v>
          </cell>
          <cell r="W784">
            <v>2072</v>
          </cell>
          <cell r="X784">
            <v>0</v>
          </cell>
          <cell r="Y784">
            <v>5180</v>
          </cell>
          <cell r="Z784">
            <v>5857256</v>
          </cell>
          <cell r="AA784">
            <v>5885790</v>
          </cell>
          <cell r="AB784" t="str">
            <v>ERVI</v>
          </cell>
          <cell r="AC784">
            <v>1101</v>
          </cell>
          <cell r="AD784">
            <v>2</v>
          </cell>
          <cell r="AE784">
            <v>430857</v>
          </cell>
        </row>
        <row r="785">
          <cell r="A785" t="str">
            <v>SMA</v>
          </cell>
          <cell r="B785">
            <v>4</v>
          </cell>
          <cell r="C785" t="str">
            <v>DRMS</v>
          </cell>
          <cell r="D785">
            <v>43</v>
          </cell>
          <cell r="E785">
            <v>2</v>
          </cell>
          <cell r="F785" t="str">
            <v>A4</v>
          </cell>
          <cell r="G785">
            <v>20</v>
          </cell>
          <cell r="H785">
            <v>21</v>
          </cell>
          <cell r="I785">
            <v>274316</v>
          </cell>
          <cell r="J785">
            <v>0</v>
          </cell>
          <cell r="K785">
            <v>0</v>
          </cell>
          <cell r="L785">
            <v>2049</v>
          </cell>
          <cell r="M785">
            <v>0</v>
          </cell>
          <cell r="N785">
            <v>0</v>
          </cell>
          <cell r="O785">
            <v>3147686</v>
          </cell>
          <cell r="P785">
            <v>1603684</v>
          </cell>
          <cell r="Q785">
            <v>169607</v>
          </cell>
          <cell r="R785">
            <v>21949</v>
          </cell>
          <cell r="S785">
            <v>0</v>
          </cell>
          <cell r="T785">
            <v>288358</v>
          </cell>
          <cell r="U785">
            <v>1261945</v>
          </cell>
          <cell r="V785">
            <v>0</v>
          </cell>
          <cell r="W785">
            <v>126791</v>
          </cell>
          <cell r="X785">
            <v>0</v>
          </cell>
          <cell r="Y785">
            <v>13647</v>
          </cell>
          <cell r="Z785">
            <v>5047768</v>
          </cell>
          <cell r="AA785">
            <v>5371722</v>
          </cell>
          <cell r="AB785" t="str">
            <v>ERVI</v>
          </cell>
          <cell r="AC785">
            <v>1101</v>
          </cell>
          <cell r="AD785">
            <v>2</v>
          </cell>
          <cell r="AE785">
            <v>274316</v>
          </cell>
        </row>
        <row r="786">
          <cell r="A786" t="str">
            <v>SMA</v>
          </cell>
          <cell r="B786">
            <v>4</v>
          </cell>
          <cell r="C786" t="str">
            <v>DRMS</v>
          </cell>
          <cell r="D786">
            <v>43</v>
          </cell>
          <cell r="E786">
            <v>2</v>
          </cell>
          <cell r="F786" t="str">
            <v xml:space="preserve">B </v>
          </cell>
          <cell r="G786">
            <v>0</v>
          </cell>
          <cell r="H786">
            <v>130</v>
          </cell>
          <cell r="I786">
            <v>110742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2305473</v>
          </cell>
          <cell r="P786">
            <v>0</v>
          </cell>
          <cell r="Q786">
            <v>0</v>
          </cell>
          <cell r="R786">
            <v>35485</v>
          </cell>
          <cell r="S786">
            <v>0</v>
          </cell>
          <cell r="T786">
            <v>850</v>
          </cell>
          <cell r="U786">
            <v>573831</v>
          </cell>
          <cell r="V786">
            <v>0</v>
          </cell>
          <cell r="W786">
            <v>0</v>
          </cell>
          <cell r="X786">
            <v>0</v>
          </cell>
          <cell r="Y786">
            <v>69136</v>
          </cell>
          <cell r="Z786">
            <v>2305473</v>
          </cell>
          <cell r="AA786">
            <v>2410944</v>
          </cell>
          <cell r="AB786" t="str">
            <v>ERVI</v>
          </cell>
          <cell r="AC786">
            <v>1101</v>
          </cell>
          <cell r="AD786">
            <v>2</v>
          </cell>
          <cell r="AE786">
            <v>109700</v>
          </cell>
        </row>
        <row r="787">
          <cell r="A787" t="str">
            <v>SMA</v>
          </cell>
          <cell r="B787">
            <v>4</v>
          </cell>
          <cell r="C787" t="str">
            <v>DRMS</v>
          </cell>
          <cell r="D787">
            <v>43</v>
          </cell>
          <cell r="E787">
            <v>3</v>
          </cell>
          <cell r="F787" t="str">
            <v>A4</v>
          </cell>
          <cell r="G787">
            <v>21</v>
          </cell>
          <cell r="H787">
            <v>1</v>
          </cell>
          <cell r="I787">
            <v>10108</v>
          </cell>
          <cell r="J787">
            <v>608</v>
          </cell>
          <cell r="K787">
            <v>9500</v>
          </cell>
          <cell r="L787">
            <v>90</v>
          </cell>
          <cell r="M787">
            <v>90</v>
          </cell>
          <cell r="N787">
            <v>0</v>
          </cell>
          <cell r="O787">
            <v>98720</v>
          </cell>
          <cell r="P787">
            <v>62160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40220</v>
          </cell>
          <cell r="V787">
            <v>0</v>
          </cell>
          <cell r="W787">
            <v>0</v>
          </cell>
          <cell r="X787">
            <v>0</v>
          </cell>
          <cell r="Y787">
            <v>1036</v>
          </cell>
          <cell r="Z787">
            <v>160880</v>
          </cell>
          <cell r="AA787">
            <v>161916</v>
          </cell>
          <cell r="AB787" t="str">
            <v>ERVI</v>
          </cell>
          <cell r="AC787">
            <v>1101</v>
          </cell>
          <cell r="AD787">
            <v>2</v>
          </cell>
          <cell r="AE787">
            <v>10108</v>
          </cell>
        </row>
        <row r="788">
          <cell r="A788" t="str">
            <v>SMA</v>
          </cell>
          <cell r="B788">
            <v>4</v>
          </cell>
          <cell r="C788" t="str">
            <v>DRMS</v>
          </cell>
          <cell r="D788">
            <v>43</v>
          </cell>
          <cell r="E788">
            <v>3</v>
          </cell>
          <cell r="F788" t="str">
            <v>A4</v>
          </cell>
          <cell r="G788">
            <v>20</v>
          </cell>
          <cell r="H788">
            <v>12</v>
          </cell>
          <cell r="I788">
            <v>90099</v>
          </cell>
          <cell r="J788">
            <v>0</v>
          </cell>
          <cell r="K788">
            <v>0</v>
          </cell>
          <cell r="L788">
            <v>397</v>
          </cell>
          <cell r="M788">
            <v>0</v>
          </cell>
          <cell r="N788">
            <v>0</v>
          </cell>
          <cell r="O788">
            <v>1033857</v>
          </cell>
          <cell r="P788">
            <v>310718</v>
          </cell>
          <cell r="Q788">
            <v>75217</v>
          </cell>
          <cell r="R788">
            <v>6489</v>
          </cell>
          <cell r="S788">
            <v>0</v>
          </cell>
          <cell r="T788">
            <v>0</v>
          </cell>
          <cell r="U788">
            <v>358668</v>
          </cell>
          <cell r="V788">
            <v>0</v>
          </cell>
          <cell r="W788">
            <v>14871</v>
          </cell>
          <cell r="X788">
            <v>0</v>
          </cell>
          <cell r="Y788">
            <v>9859</v>
          </cell>
          <cell r="Z788">
            <v>1434663</v>
          </cell>
          <cell r="AA788">
            <v>1451011</v>
          </cell>
          <cell r="AB788" t="str">
            <v>ERVI</v>
          </cell>
          <cell r="AC788">
            <v>1101</v>
          </cell>
          <cell r="AD788">
            <v>2</v>
          </cell>
          <cell r="AE788">
            <v>90099</v>
          </cell>
        </row>
        <row r="789">
          <cell r="A789" t="str">
            <v>SMA</v>
          </cell>
          <cell r="B789">
            <v>4</v>
          </cell>
          <cell r="C789" t="str">
            <v>DRMS</v>
          </cell>
          <cell r="D789">
            <v>43</v>
          </cell>
          <cell r="E789">
            <v>3</v>
          </cell>
          <cell r="F789" t="str">
            <v xml:space="preserve">B </v>
          </cell>
          <cell r="G789">
            <v>0</v>
          </cell>
          <cell r="H789">
            <v>3065</v>
          </cell>
          <cell r="I789">
            <v>683961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14243715</v>
          </cell>
          <cell r="P789">
            <v>0</v>
          </cell>
          <cell r="Q789">
            <v>0</v>
          </cell>
          <cell r="R789">
            <v>201227</v>
          </cell>
          <cell r="S789">
            <v>0</v>
          </cell>
          <cell r="T789">
            <v>417404</v>
          </cell>
          <cell r="U789">
            <v>3511317</v>
          </cell>
          <cell r="V789">
            <v>2167</v>
          </cell>
          <cell r="W789">
            <v>0</v>
          </cell>
          <cell r="X789">
            <v>0</v>
          </cell>
          <cell r="Y789">
            <v>769467</v>
          </cell>
          <cell r="Z789">
            <v>14243715</v>
          </cell>
          <cell r="AA789">
            <v>15633980</v>
          </cell>
          <cell r="AB789" t="str">
            <v>ERVI</v>
          </cell>
          <cell r="AC789">
            <v>1101</v>
          </cell>
          <cell r="AD789">
            <v>2</v>
          </cell>
          <cell r="AE789">
            <v>662890</v>
          </cell>
        </row>
        <row r="790">
          <cell r="A790" t="str">
            <v>SMA</v>
          </cell>
          <cell r="B790">
            <v>4</v>
          </cell>
          <cell r="C790" t="str">
            <v>DRMS</v>
          </cell>
          <cell r="D790">
            <v>43</v>
          </cell>
          <cell r="E790">
            <v>4</v>
          </cell>
          <cell r="F790" t="str">
            <v>A4</v>
          </cell>
          <cell r="G790">
            <v>20</v>
          </cell>
          <cell r="H790">
            <v>6</v>
          </cell>
          <cell r="I790">
            <v>95670</v>
          </cell>
          <cell r="J790">
            <v>0</v>
          </cell>
          <cell r="K790">
            <v>0</v>
          </cell>
          <cell r="L790">
            <v>515</v>
          </cell>
          <cell r="M790">
            <v>0</v>
          </cell>
          <cell r="N790">
            <v>0</v>
          </cell>
          <cell r="O790">
            <v>740964</v>
          </cell>
          <cell r="P790">
            <v>271920</v>
          </cell>
          <cell r="Q790">
            <v>20664</v>
          </cell>
          <cell r="R790">
            <v>1619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3696</v>
          </cell>
          <cell r="X790">
            <v>0</v>
          </cell>
          <cell r="Y790">
            <v>0</v>
          </cell>
          <cell r="Z790">
            <v>1037244</v>
          </cell>
          <cell r="AA790">
            <v>1038863</v>
          </cell>
          <cell r="AB790" t="str">
            <v>ERVI</v>
          </cell>
          <cell r="AC790">
            <v>1101</v>
          </cell>
          <cell r="AD790">
            <v>2</v>
          </cell>
          <cell r="AE790">
            <v>95670</v>
          </cell>
        </row>
        <row r="791">
          <cell r="A791" t="str">
            <v>SMA</v>
          </cell>
          <cell r="B791">
            <v>4</v>
          </cell>
          <cell r="C791" t="str">
            <v>DRMS</v>
          </cell>
          <cell r="D791">
            <v>43</v>
          </cell>
          <cell r="E791">
            <v>4</v>
          </cell>
          <cell r="F791" t="str">
            <v xml:space="preserve">B </v>
          </cell>
          <cell r="G791">
            <v>0</v>
          </cell>
          <cell r="H791">
            <v>1543</v>
          </cell>
          <cell r="I791">
            <v>743191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7108486</v>
          </cell>
          <cell r="P791">
            <v>0</v>
          </cell>
          <cell r="Q791">
            <v>0</v>
          </cell>
          <cell r="R791">
            <v>2091</v>
          </cell>
          <cell r="S791">
            <v>0</v>
          </cell>
          <cell r="T791">
            <v>257128</v>
          </cell>
          <cell r="U791">
            <v>0</v>
          </cell>
          <cell r="V791">
            <v>154236</v>
          </cell>
          <cell r="W791">
            <v>0</v>
          </cell>
          <cell r="X791">
            <v>0</v>
          </cell>
          <cell r="Y791">
            <v>0</v>
          </cell>
          <cell r="Z791">
            <v>7108486</v>
          </cell>
          <cell r="AA791">
            <v>7521941</v>
          </cell>
          <cell r="AB791" t="str">
            <v>ERVI</v>
          </cell>
          <cell r="AC791">
            <v>1101</v>
          </cell>
          <cell r="AD791">
            <v>2</v>
          </cell>
          <cell r="AE791">
            <v>733641</v>
          </cell>
        </row>
        <row r="792">
          <cell r="A792" t="str">
            <v>SMA</v>
          </cell>
          <cell r="B792">
            <v>4</v>
          </cell>
          <cell r="C792" t="str">
            <v>DRMS</v>
          </cell>
          <cell r="D792">
            <v>43</v>
          </cell>
          <cell r="E792">
            <v>5</v>
          </cell>
          <cell r="F792" t="str">
            <v>A4</v>
          </cell>
          <cell r="G792">
            <v>21</v>
          </cell>
          <cell r="H792">
            <v>1</v>
          </cell>
          <cell r="I792">
            <v>11934</v>
          </cell>
          <cell r="J792">
            <v>1072</v>
          </cell>
          <cell r="K792">
            <v>10862</v>
          </cell>
          <cell r="L792">
            <v>49</v>
          </cell>
          <cell r="M792">
            <v>49</v>
          </cell>
          <cell r="N792">
            <v>0</v>
          </cell>
          <cell r="O792">
            <v>136037</v>
          </cell>
          <cell r="P792">
            <v>33843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42470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169880</v>
          </cell>
          <cell r="AA792">
            <v>169880</v>
          </cell>
          <cell r="AB792" t="str">
            <v>ERVI</v>
          </cell>
          <cell r="AC792">
            <v>1101</v>
          </cell>
          <cell r="AD792">
            <v>2</v>
          </cell>
          <cell r="AE792">
            <v>11934</v>
          </cell>
        </row>
        <row r="793">
          <cell r="A793" t="str">
            <v>SMA</v>
          </cell>
          <cell r="B793">
            <v>4</v>
          </cell>
          <cell r="C793" t="str">
            <v>DRMS</v>
          </cell>
          <cell r="D793">
            <v>43</v>
          </cell>
          <cell r="E793">
            <v>5</v>
          </cell>
          <cell r="F793" t="str">
            <v>A4</v>
          </cell>
          <cell r="G793">
            <v>20</v>
          </cell>
          <cell r="H793">
            <v>8</v>
          </cell>
          <cell r="I793">
            <v>57421</v>
          </cell>
          <cell r="J793">
            <v>0</v>
          </cell>
          <cell r="K793">
            <v>0</v>
          </cell>
          <cell r="L793">
            <v>243</v>
          </cell>
          <cell r="M793">
            <v>0</v>
          </cell>
          <cell r="N793">
            <v>0</v>
          </cell>
          <cell r="O793">
            <v>559529</v>
          </cell>
          <cell r="P793">
            <v>170034</v>
          </cell>
          <cell r="Q793">
            <v>22674</v>
          </cell>
          <cell r="R793">
            <v>0</v>
          </cell>
          <cell r="S793">
            <v>0</v>
          </cell>
          <cell r="T793">
            <v>0</v>
          </cell>
          <cell r="U793">
            <v>100384</v>
          </cell>
          <cell r="V793">
            <v>0</v>
          </cell>
          <cell r="W793">
            <v>7827</v>
          </cell>
          <cell r="X793">
            <v>0</v>
          </cell>
          <cell r="Y793">
            <v>0</v>
          </cell>
          <cell r="Z793">
            <v>760064</v>
          </cell>
          <cell r="AA793">
            <v>760064</v>
          </cell>
          <cell r="AB793" t="str">
            <v>ERVI</v>
          </cell>
          <cell r="AC793">
            <v>1101</v>
          </cell>
          <cell r="AD793">
            <v>2</v>
          </cell>
          <cell r="AE793">
            <v>57421</v>
          </cell>
        </row>
        <row r="794">
          <cell r="A794" t="str">
            <v>SMA</v>
          </cell>
          <cell r="B794">
            <v>4</v>
          </cell>
          <cell r="C794" t="str">
            <v>DRMS</v>
          </cell>
          <cell r="D794">
            <v>43</v>
          </cell>
          <cell r="E794">
            <v>5</v>
          </cell>
          <cell r="F794" t="str">
            <v xml:space="preserve">B </v>
          </cell>
          <cell r="G794">
            <v>0</v>
          </cell>
          <cell r="H794">
            <v>225</v>
          </cell>
          <cell r="I794">
            <v>132215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2591555</v>
          </cell>
          <cell r="P794">
            <v>0</v>
          </cell>
          <cell r="Q794">
            <v>0</v>
          </cell>
          <cell r="R794">
            <v>9744</v>
          </cell>
          <cell r="S794">
            <v>0</v>
          </cell>
          <cell r="T794">
            <v>100461</v>
          </cell>
          <cell r="U794">
            <v>527166</v>
          </cell>
          <cell r="V794">
            <v>283</v>
          </cell>
          <cell r="W794">
            <v>0</v>
          </cell>
          <cell r="X794">
            <v>0</v>
          </cell>
          <cell r="Y794">
            <v>0</v>
          </cell>
          <cell r="Z794">
            <v>2591555</v>
          </cell>
          <cell r="AA794">
            <v>2702043</v>
          </cell>
          <cell r="AB794" t="str">
            <v>ERVI</v>
          </cell>
          <cell r="AC794">
            <v>1101</v>
          </cell>
          <cell r="AD794">
            <v>2</v>
          </cell>
          <cell r="AE794">
            <v>131046</v>
          </cell>
        </row>
        <row r="795">
          <cell r="A795" t="str">
            <v>SMA</v>
          </cell>
          <cell r="B795">
            <v>4</v>
          </cell>
          <cell r="C795" t="str">
            <v>DRMS</v>
          </cell>
          <cell r="D795">
            <v>43</v>
          </cell>
          <cell r="E795">
            <v>6</v>
          </cell>
          <cell r="F795" t="str">
            <v xml:space="preserve">B </v>
          </cell>
          <cell r="G795">
            <v>0</v>
          </cell>
          <cell r="H795">
            <v>23</v>
          </cell>
          <cell r="I795">
            <v>291807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3435539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858884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3435539</v>
          </cell>
          <cell r="AA795">
            <v>3435539</v>
          </cell>
          <cell r="AB795" t="str">
            <v>ERVI</v>
          </cell>
          <cell r="AC795">
            <v>1101</v>
          </cell>
          <cell r="AD795">
            <v>2</v>
          </cell>
          <cell r="AE795">
            <v>291807</v>
          </cell>
        </row>
        <row r="796">
          <cell r="A796" t="str">
            <v>SMA</v>
          </cell>
          <cell r="B796">
            <v>4</v>
          </cell>
          <cell r="C796" t="str">
            <v>DRMS</v>
          </cell>
          <cell r="D796">
            <v>43</v>
          </cell>
          <cell r="E796">
            <v>7</v>
          </cell>
          <cell r="F796" t="str">
            <v>A4</v>
          </cell>
          <cell r="G796">
            <v>20</v>
          </cell>
          <cell r="H796">
            <v>4</v>
          </cell>
          <cell r="I796">
            <v>63992</v>
          </cell>
          <cell r="J796">
            <v>0</v>
          </cell>
          <cell r="K796">
            <v>0</v>
          </cell>
          <cell r="L796">
            <v>243</v>
          </cell>
          <cell r="M796">
            <v>0</v>
          </cell>
          <cell r="N796">
            <v>0</v>
          </cell>
          <cell r="O796">
            <v>624135</v>
          </cell>
          <cell r="P796">
            <v>161352</v>
          </cell>
          <cell r="Q796">
            <v>51165</v>
          </cell>
          <cell r="R796">
            <v>0</v>
          </cell>
          <cell r="S796">
            <v>0</v>
          </cell>
          <cell r="T796">
            <v>0</v>
          </cell>
          <cell r="U796">
            <v>212317</v>
          </cell>
          <cell r="V796">
            <v>0</v>
          </cell>
          <cell r="W796">
            <v>12616</v>
          </cell>
          <cell r="X796">
            <v>0</v>
          </cell>
          <cell r="Y796">
            <v>0</v>
          </cell>
          <cell r="Z796">
            <v>849268</v>
          </cell>
          <cell r="AA796">
            <v>849268</v>
          </cell>
          <cell r="AB796" t="str">
            <v>ERVI</v>
          </cell>
          <cell r="AC796">
            <v>1101</v>
          </cell>
          <cell r="AD796">
            <v>2</v>
          </cell>
          <cell r="AE796">
            <v>63992</v>
          </cell>
        </row>
        <row r="797">
          <cell r="A797" t="str">
            <v>SMA</v>
          </cell>
          <cell r="B797">
            <v>4</v>
          </cell>
          <cell r="C797" t="str">
            <v>DRMS</v>
          </cell>
          <cell r="D797">
            <v>43</v>
          </cell>
          <cell r="E797">
            <v>7</v>
          </cell>
          <cell r="F797" t="str">
            <v xml:space="preserve">B </v>
          </cell>
          <cell r="G797">
            <v>0</v>
          </cell>
          <cell r="H797">
            <v>10</v>
          </cell>
          <cell r="I797">
            <v>31607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559272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139817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559272</v>
          </cell>
          <cell r="AA797">
            <v>559272</v>
          </cell>
          <cell r="AB797" t="str">
            <v>ERVI</v>
          </cell>
          <cell r="AC797">
            <v>1101</v>
          </cell>
          <cell r="AD797">
            <v>2</v>
          </cell>
          <cell r="AE797">
            <v>31511</v>
          </cell>
        </row>
        <row r="798">
          <cell r="A798" t="str">
            <v>SMA</v>
          </cell>
          <cell r="B798">
            <v>4</v>
          </cell>
          <cell r="C798" t="str">
            <v>DRMS</v>
          </cell>
          <cell r="D798">
            <v>43</v>
          </cell>
          <cell r="E798">
            <v>8</v>
          </cell>
          <cell r="F798" t="str">
            <v xml:space="preserve">B </v>
          </cell>
          <cell r="G798">
            <v>0</v>
          </cell>
          <cell r="H798">
            <v>4</v>
          </cell>
          <cell r="I798">
            <v>3297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68640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17160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68640</v>
          </cell>
          <cell r="AA798">
            <v>68640</v>
          </cell>
          <cell r="AB798" t="str">
            <v>ERVI</v>
          </cell>
          <cell r="AC798">
            <v>1101</v>
          </cell>
          <cell r="AD798">
            <v>2</v>
          </cell>
          <cell r="AE798">
            <v>3297</v>
          </cell>
        </row>
        <row r="799">
          <cell r="A799" t="str">
            <v>SMA</v>
          </cell>
          <cell r="B799">
            <v>4</v>
          </cell>
          <cell r="C799" t="str">
            <v>DRMS</v>
          </cell>
          <cell r="D799">
            <v>44</v>
          </cell>
          <cell r="E799">
            <v>1</v>
          </cell>
          <cell r="F799" t="str">
            <v xml:space="preserve">B </v>
          </cell>
          <cell r="G799">
            <v>1</v>
          </cell>
          <cell r="H799">
            <v>3504</v>
          </cell>
          <cell r="I799">
            <v>73471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1187625</v>
          </cell>
          <cell r="P799">
            <v>0</v>
          </cell>
          <cell r="Q799">
            <v>0</v>
          </cell>
          <cell r="R799">
            <v>16727</v>
          </cell>
          <cell r="S799">
            <v>0</v>
          </cell>
          <cell r="T799">
            <v>138952</v>
          </cell>
          <cell r="U799">
            <v>0</v>
          </cell>
          <cell r="V799">
            <v>752</v>
          </cell>
          <cell r="W799">
            <v>0</v>
          </cell>
          <cell r="X799">
            <v>0</v>
          </cell>
          <cell r="Y799">
            <v>65357</v>
          </cell>
          <cell r="Z799">
            <v>1187625</v>
          </cell>
          <cell r="AA799">
            <v>1409413</v>
          </cell>
          <cell r="AB799" t="str">
            <v>ERPL</v>
          </cell>
          <cell r="AC799">
            <v>1101</v>
          </cell>
          <cell r="AD799">
            <v>2</v>
          </cell>
          <cell r="AE799">
            <v>57781</v>
          </cell>
        </row>
        <row r="800">
          <cell r="A800" t="str">
            <v>SMA</v>
          </cell>
          <cell r="B800">
            <v>4</v>
          </cell>
          <cell r="C800" t="str">
            <v>DRMS</v>
          </cell>
          <cell r="D800">
            <v>44</v>
          </cell>
          <cell r="E800">
            <v>1</v>
          </cell>
          <cell r="F800" t="str">
            <v xml:space="preserve">B </v>
          </cell>
          <cell r="G800">
            <v>2</v>
          </cell>
          <cell r="H800">
            <v>2062</v>
          </cell>
          <cell r="I800">
            <v>84290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1634822</v>
          </cell>
          <cell r="P800">
            <v>0</v>
          </cell>
          <cell r="Q800">
            <v>0</v>
          </cell>
          <cell r="R800">
            <v>19953</v>
          </cell>
          <cell r="S800">
            <v>0</v>
          </cell>
          <cell r="T800">
            <v>27916</v>
          </cell>
          <cell r="U800">
            <v>277849</v>
          </cell>
          <cell r="V800">
            <v>564</v>
          </cell>
          <cell r="W800">
            <v>0</v>
          </cell>
          <cell r="X800">
            <v>0</v>
          </cell>
          <cell r="Y800">
            <v>81497</v>
          </cell>
          <cell r="Z800">
            <v>1634822</v>
          </cell>
          <cell r="AA800">
            <v>1764752</v>
          </cell>
          <cell r="AB800" t="str">
            <v>ERPL</v>
          </cell>
          <cell r="AC800">
            <v>1101</v>
          </cell>
          <cell r="AD800">
            <v>2</v>
          </cell>
          <cell r="AE800">
            <v>84290</v>
          </cell>
        </row>
        <row r="801">
          <cell r="A801" t="str">
            <v>SMA</v>
          </cell>
          <cell r="B801">
            <v>4</v>
          </cell>
          <cell r="C801" t="str">
            <v>DRMS</v>
          </cell>
          <cell r="D801">
            <v>44</v>
          </cell>
          <cell r="E801">
            <v>1</v>
          </cell>
          <cell r="F801" t="str">
            <v xml:space="preserve">B </v>
          </cell>
          <cell r="G801">
            <v>3</v>
          </cell>
          <cell r="H801">
            <v>6418</v>
          </cell>
          <cell r="I801">
            <v>476734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9245870</v>
          </cell>
          <cell r="P801">
            <v>0</v>
          </cell>
          <cell r="Q801">
            <v>0</v>
          </cell>
          <cell r="R801">
            <v>78347</v>
          </cell>
          <cell r="S801">
            <v>0</v>
          </cell>
          <cell r="T801">
            <v>55025</v>
          </cell>
          <cell r="U801">
            <v>1571790</v>
          </cell>
          <cell r="V801">
            <v>282</v>
          </cell>
          <cell r="W801">
            <v>0</v>
          </cell>
          <cell r="X801">
            <v>0</v>
          </cell>
          <cell r="Y801">
            <v>448369</v>
          </cell>
          <cell r="Z801">
            <v>9245870</v>
          </cell>
          <cell r="AA801">
            <v>9827893</v>
          </cell>
          <cell r="AB801" t="str">
            <v>ERPL</v>
          </cell>
          <cell r="AC801">
            <v>1101</v>
          </cell>
          <cell r="AD801">
            <v>2</v>
          </cell>
          <cell r="AE801">
            <v>476301</v>
          </cell>
        </row>
        <row r="802">
          <cell r="A802" t="str">
            <v>SMA</v>
          </cell>
          <cell r="B802">
            <v>4</v>
          </cell>
          <cell r="C802" t="str">
            <v>DRMS</v>
          </cell>
          <cell r="D802">
            <v>44</v>
          </cell>
          <cell r="E802">
            <v>1</v>
          </cell>
          <cell r="F802" t="str">
            <v xml:space="preserve">B </v>
          </cell>
          <cell r="G802">
            <v>4</v>
          </cell>
          <cell r="H802">
            <v>2224</v>
          </cell>
          <cell r="I802">
            <v>267038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5180604</v>
          </cell>
          <cell r="P802">
            <v>0</v>
          </cell>
          <cell r="Q802">
            <v>0</v>
          </cell>
          <cell r="R802">
            <v>68026</v>
          </cell>
          <cell r="S802">
            <v>0</v>
          </cell>
          <cell r="T802">
            <v>54959</v>
          </cell>
          <cell r="U802">
            <v>880714</v>
          </cell>
          <cell r="V802">
            <v>0</v>
          </cell>
          <cell r="W802">
            <v>0</v>
          </cell>
          <cell r="X802">
            <v>0</v>
          </cell>
          <cell r="Y802">
            <v>319631</v>
          </cell>
          <cell r="Z802">
            <v>5180604</v>
          </cell>
          <cell r="AA802">
            <v>5623220</v>
          </cell>
          <cell r="AB802" t="str">
            <v>ERPL</v>
          </cell>
          <cell r="AC802">
            <v>1101</v>
          </cell>
          <cell r="AD802">
            <v>2</v>
          </cell>
          <cell r="AE802">
            <v>267038</v>
          </cell>
        </row>
        <row r="803">
          <cell r="A803" t="str">
            <v>SMA</v>
          </cell>
          <cell r="B803">
            <v>4</v>
          </cell>
          <cell r="C803" t="str">
            <v>DRMS</v>
          </cell>
          <cell r="D803">
            <v>44</v>
          </cell>
          <cell r="E803">
            <v>1</v>
          </cell>
          <cell r="F803" t="str">
            <v xml:space="preserve">B </v>
          </cell>
          <cell r="G803">
            <v>5</v>
          </cell>
          <cell r="H803">
            <v>713</v>
          </cell>
          <cell r="I803">
            <v>121586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2358183</v>
          </cell>
          <cell r="P803">
            <v>0</v>
          </cell>
          <cell r="Q803">
            <v>0</v>
          </cell>
          <cell r="R803">
            <v>31174</v>
          </cell>
          <cell r="S803">
            <v>0</v>
          </cell>
          <cell r="T803">
            <v>16815</v>
          </cell>
          <cell r="U803">
            <v>400894</v>
          </cell>
          <cell r="V803">
            <v>0</v>
          </cell>
          <cell r="W803">
            <v>0</v>
          </cell>
          <cell r="X803">
            <v>0</v>
          </cell>
          <cell r="Y803">
            <v>170539</v>
          </cell>
          <cell r="Z803">
            <v>2358183</v>
          </cell>
          <cell r="AA803">
            <v>2576711</v>
          </cell>
          <cell r="AB803" t="str">
            <v>ERPL</v>
          </cell>
          <cell r="AC803">
            <v>1101</v>
          </cell>
          <cell r="AD803">
            <v>2</v>
          </cell>
          <cell r="AE803">
            <v>121586</v>
          </cell>
        </row>
        <row r="804">
          <cell r="A804" t="str">
            <v>SMA</v>
          </cell>
          <cell r="B804">
            <v>4</v>
          </cell>
          <cell r="C804" t="str">
            <v>DRMS</v>
          </cell>
          <cell r="D804">
            <v>44</v>
          </cell>
          <cell r="E804">
            <v>1</v>
          </cell>
          <cell r="F804" t="str">
            <v xml:space="preserve">B </v>
          </cell>
          <cell r="G804">
            <v>6</v>
          </cell>
          <cell r="H804">
            <v>355</v>
          </cell>
          <cell r="I804">
            <v>83210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1613982</v>
          </cell>
          <cell r="P804">
            <v>0</v>
          </cell>
          <cell r="Q804">
            <v>0</v>
          </cell>
          <cell r="R804">
            <v>20663</v>
          </cell>
          <cell r="S804">
            <v>0</v>
          </cell>
          <cell r="T804">
            <v>15071</v>
          </cell>
          <cell r="U804">
            <v>274436</v>
          </cell>
          <cell r="V804">
            <v>0</v>
          </cell>
          <cell r="W804">
            <v>0</v>
          </cell>
          <cell r="X804">
            <v>0</v>
          </cell>
          <cell r="Y804">
            <v>85720</v>
          </cell>
          <cell r="Z804">
            <v>1613982</v>
          </cell>
          <cell r="AA804">
            <v>1735436</v>
          </cell>
          <cell r="AB804" t="str">
            <v>ERPL</v>
          </cell>
          <cell r="AC804">
            <v>1101</v>
          </cell>
          <cell r="AD804">
            <v>2</v>
          </cell>
          <cell r="AE804">
            <v>83210</v>
          </cell>
        </row>
        <row r="805">
          <cell r="A805" t="str">
            <v>SMA</v>
          </cell>
          <cell r="B805">
            <v>4</v>
          </cell>
          <cell r="C805" t="str">
            <v>DRMS</v>
          </cell>
          <cell r="D805">
            <v>44</v>
          </cell>
          <cell r="E805">
            <v>1</v>
          </cell>
          <cell r="F805" t="str">
            <v xml:space="preserve">B </v>
          </cell>
          <cell r="G805">
            <v>7</v>
          </cell>
          <cell r="H805">
            <v>108</v>
          </cell>
          <cell r="I805">
            <v>34165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687552</v>
          </cell>
          <cell r="P805">
            <v>0</v>
          </cell>
          <cell r="Q805">
            <v>0</v>
          </cell>
          <cell r="R805">
            <v>24514</v>
          </cell>
          <cell r="S805">
            <v>0</v>
          </cell>
          <cell r="T805">
            <v>2142</v>
          </cell>
          <cell r="U805">
            <v>137541</v>
          </cell>
          <cell r="V805">
            <v>0</v>
          </cell>
          <cell r="W805">
            <v>0</v>
          </cell>
          <cell r="X805">
            <v>0</v>
          </cell>
          <cell r="Y805">
            <v>33440</v>
          </cell>
          <cell r="Z805">
            <v>687552</v>
          </cell>
          <cell r="AA805">
            <v>747648</v>
          </cell>
          <cell r="AB805" t="str">
            <v>ERPL</v>
          </cell>
          <cell r="AC805">
            <v>1101</v>
          </cell>
          <cell r="AD805">
            <v>2</v>
          </cell>
          <cell r="AE805">
            <v>34165</v>
          </cell>
        </row>
        <row r="806">
          <cell r="A806" t="str">
            <v>SMA</v>
          </cell>
          <cell r="B806">
            <v>4</v>
          </cell>
          <cell r="C806" t="str">
            <v>DRMS</v>
          </cell>
          <cell r="D806">
            <v>44</v>
          </cell>
          <cell r="E806">
            <v>1</v>
          </cell>
          <cell r="F806" t="str">
            <v xml:space="preserve">B </v>
          </cell>
          <cell r="G806">
            <v>8</v>
          </cell>
          <cell r="H806">
            <v>53</v>
          </cell>
          <cell r="I806">
            <v>22763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458062</v>
          </cell>
          <cell r="P806">
            <v>0</v>
          </cell>
          <cell r="Q806">
            <v>0</v>
          </cell>
          <cell r="R806">
            <v>7640</v>
          </cell>
          <cell r="S806">
            <v>0</v>
          </cell>
          <cell r="T806">
            <v>3236</v>
          </cell>
          <cell r="U806">
            <v>91631</v>
          </cell>
          <cell r="V806">
            <v>0</v>
          </cell>
          <cell r="W806">
            <v>0</v>
          </cell>
          <cell r="X806">
            <v>0</v>
          </cell>
          <cell r="Y806">
            <v>19297</v>
          </cell>
          <cell r="Z806">
            <v>458062</v>
          </cell>
          <cell r="AA806">
            <v>488235</v>
          </cell>
          <cell r="AB806" t="str">
            <v>ERPL</v>
          </cell>
          <cell r="AC806">
            <v>1101</v>
          </cell>
          <cell r="AD806">
            <v>2</v>
          </cell>
          <cell r="AE806">
            <v>22763</v>
          </cell>
        </row>
        <row r="807">
          <cell r="A807" t="str">
            <v>SMA</v>
          </cell>
          <cell r="B807">
            <v>4</v>
          </cell>
          <cell r="C807" t="str">
            <v>DRMS</v>
          </cell>
          <cell r="D807">
            <v>44</v>
          </cell>
          <cell r="E807">
            <v>1</v>
          </cell>
          <cell r="F807" t="str">
            <v xml:space="preserve">B </v>
          </cell>
          <cell r="G807">
            <v>9</v>
          </cell>
          <cell r="H807">
            <v>37</v>
          </cell>
          <cell r="I807">
            <v>22693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489623</v>
          </cell>
          <cell r="P807">
            <v>0</v>
          </cell>
          <cell r="Q807">
            <v>0</v>
          </cell>
          <cell r="R807">
            <v>38259</v>
          </cell>
          <cell r="S807">
            <v>0</v>
          </cell>
          <cell r="T807">
            <v>-220</v>
          </cell>
          <cell r="U807">
            <v>122429</v>
          </cell>
          <cell r="V807">
            <v>0</v>
          </cell>
          <cell r="W807">
            <v>0</v>
          </cell>
          <cell r="X807">
            <v>0</v>
          </cell>
          <cell r="Y807">
            <v>19772</v>
          </cell>
          <cell r="Z807">
            <v>489623</v>
          </cell>
          <cell r="AA807">
            <v>547434</v>
          </cell>
          <cell r="AB807" t="str">
            <v>ERPL</v>
          </cell>
          <cell r="AC807">
            <v>1101</v>
          </cell>
          <cell r="AD807">
            <v>2</v>
          </cell>
          <cell r="AE807">
            <v>22693</v>
          </cell>
        </row>
        <row r="808">
          <cell r="A808" t="str">
            <v>SMA</v>
          </cell>
          <cell r="B808">
            <v>4</v>
          </cell>
          <cell r="C808" t="str">
            <v>DRMS</v>
          </cell>
          <cell r="D808">
            <v>44</v>
          </cell>
          <cell r="E808">
            <v>1</v>
          </cell>
          <cell r="F808" t="str">
            <v xml:space="preserve">B </v>
          </cell>
          <cell r="G808">
            <v>10</v>
          </cell>
          <cell r="H808">
            <v>4</v>
          </cell>
          <cell r="I808">
            <v>9650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207090</v>
          </cell>
          <cell r="P808">
            <v>0</v>
          </cell>
          <cell r="Q808">
            <v>0</v>
          </cell>
          <cell r="R808">
            <v>-83</v>
          </cell>
          <cell r="S808">
            <v>0</v>
          </cell>
          <cell r="T808">
            <v>64</v>
          </cell>
          <cell r="U808">
            <v>51777</v>
          </cell>
          <cell r="V808">
            <v>0</v>
          </cell>
          <cell r="W808">
            <v>0</v>
          </cell>
          <cell r="X808">
            <v>0</v>
          </cell>
          <cell r="Y808">
            <v>-350</v>
          </cell>
          <cell r="Z808">
            <v>207090</v>
          </cell>
          <cell r="AA808">
            <v>206721</v>
          </cell>
          <cell r="AB808" t="str">
            <v>ERPL</v>
          </cell>
          <cell r="AC808">
            <v>1101</v>
          </cell>
          <cell r="AD808">
            <v>2</v>
          </cell>
          <cell r="AE808">
            <v>9650</v>
          </cell>
        </row>
        <row r="809">
          <cell r="A809" t="str">
            <v>SMA</v>
          </cell>
          <cell r="B809">
            <v>4</v>
          </cell>
          <cell r="C809" t="str">
            <v>DRMS</v>
          </cell>
          <cell r="D809">
            <v>44</v>
          </cell>
          <cell r="E809">
            <v>1</v>
          </cell>
          <cell r="F809" t="str">
            <v xml:space="preserve">B </v>
          </cell>
          <cell r="G809">
            <v>11</v>
          </cell>
          <cell r="H809">
            <v>3569</v>
          </cell>
          <cell r="I809">
            <v>79392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447266</v>
          </cell>
          <cell r="P809">
            <v>0</v>
          </cell>
          <cell r="Q809">
            <v>0</v>
          </cell>
          <cell r="R809">
            <v>-7284</v>
          </cell>
          <cell r="S809">
            <v>0</v>
          </cell>
          <cell r="T809">
            <v>33683</v>
          </cell>
          <cell r="U809">
            <v>0</v>
          </cell>
          <cell r="V809">
            <v>2256</v>
          </cell>
          <cell r="W809">
            <v>0</v>
          </cell>
          <cell r="X809">
            <v>0</v>
          </cell>
          <cell r="Y809">
            <v>52912</v>
          </cell>
          <cell r="Z809">
            <v>447266</v>
          </cell>
          <cell r="AA809">
            <v>528833</v>
          </cell>
          <cell r="AB809" t="str">
            <v>ERPL</v>
          </cell>
          <cell r="AC809">
            <v>1101</v>
          </cell>
          <cell r="AD809">
            <v>2</v>
          </cell>
          <cell r="AE809">
            <v>63709</v>
          </cell>
        </row>
        <row r="810">
          <cell r="A810" t="str">
            <v>SMA</v>
          </cell>
          <cell r="B810">
            <v>4</v>
          </cell>
          <cell r="C810" t="str">
            <v>DRMS</v>
          </cell>
          <cell r="D810">
            <v>44</v>
          </cell>
          <cell r="E810">
            <v>1</v>
          </cell>
          <cell r="F810" t="str">
            <v xml:space="preserve">B </v>
          </cell>
          <cell r="G810">
            <v>12</v>
          </cell>
          <cell r="H810">
            <v>3564</v>
          </cell>
          <cell r="I810">
            <v>208231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1927171</v>
          </cell>
          <cell r="P810">
            <v>0</v>
          </cell>
          <cell r="Q810">
            <v>0</v>
          </cell>
          <cell r="R810">
            <v>30020</v>
          </cell>
          <cell r="S810">
            <v>0</v>
          </cell>
          <cell r="T810">
            <v>18512</v>
          </cell>
          <cell r="U810">
            <v>327786</v>
          </cell>
          <cell r="V810">
            <v>940</v>
          </cell>
          <cell r="W810">
            <v>0</v>
          </cell>
          <cell r="X810">
            <v>0</v>
          </cell>
          <cell r="Y810">
            <v>132959</v>
          </cell>
          <cell r="Z810">
            <v>1927171</v>
          </cell>
          <cell r="AA810">
            <v>2109602</v>
          </cell>
          <cell r="AB810" t="str">
            <v>ERPL</v>
          </cell>
          <cell r="AC810">
            <v>1101</v>
          </cell>
          <cell r="AD810">
            <v>2</v>
          </cell>
          <cell r="AE810">
            <v>208231</v>
          </cell>
        </row>
        <row r="811">
          <cell r="A811" t="str">
            <v>SMA</v>
          </cell>
          <cell r="B811">
            <v>4</v>
          </cell>
          <cell r="C811" t="str">
            <v>DRMS</v>
          </cell>
          <cell r="D811">
            <v>44</v>
          </cell>
          <cell r="E811">
            <v>1</v>
          </cell>
          <cell r="F811" t="str">
            <v xml:space="preserve">B </v>
          </cell>
          <cell r="G811">
            <v>13</v>
          </cell>
          <cell r="H811">
            <v>326</v>
          </cell>
          <cell r="I811">
            <v>36623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443954</v>
          </cell>
          <cell r="P811">
            <v>0</v>
          </cell>
          <cell r="Q811">
            <v>0</v>
          </cell>
          <cell r="R811">
            <v>4202</v>
          </cell>
          <cell r="S811">
            <v>0</v>
          </cell>
          <cell r="T811">
            <v>590</v>
          </cell>
          <cell r="U811">
            <v>75489</v>
          </cell>
          <cell r="V811">
            <v>0</v>
          </cell>
          <cell r="W811">
            <v>0</v>
          </cell>
          <cell r="X811">
            <v>0</v>
          </cell>
          <cell r="Y811">
            <v>33397</v>
          </cell>
          <cell r="Z811">
            <v>443954</v>
          </cell>
          <cell r="AA811">
            <v>482143</v>
          </cell>
          <cell r="AB811" t="str">
            <v>ERPL</v>
          </cell>
          <cell r="AC811">
            <v>1101</v>
          </cell>
          <cell r="AD811">
            <v>2</v>
          </cell>
          <cell r="AE811">
            <v>36623</v>
          </cell>
        </row>
        <row r="812">
          <cell r="A812" t="str">
            <v>SMA</v>
          </cell>
          <cell r="B812">
            <v>4</v>
          </cell>
          <cell r="C812" t="str">
            <v>DRMS</v>
          </cell>
          <cell r="D812">
            <v>44</v>
          </cell>
          <cell r="E812">
            <v>1</v>
          </cell>
          <cell r="F812" t="str">
            <v xml:space="preserve">B </v>
          </cell>
          <cell r="G812">
            <v>14</v>
          </cell>
          <cell r="H812">
            <v>25</v>
          </cell>
          <cell r="I812">
            <v>3631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46440</v>
          </cell>
          <cell r="P812">
            <v>0</v>
          </cell>
          <cell r="Q812">
            <v>0</v>
          </cell>
          <cell r="R812">
            <v>241</v>
          </cell>
          <cell r="S812">
            <v>0</v>
          </cell>
          <cell r="T812">
            <v>0</v>
          </cell>
          <cell r="U812">
            <v>7898</v>
          </cell>
          <cell r="V812">
            <v>0</v>
          </cell>
          <cell r="W812">
            <v>0</v>
          </cell>
          <cell r="X812">
            <v>0</v>
          </cell>
          <cell r="Y812">
            <v>2795</v>
          </cell>
          <cell r="Z812">
            <v>46440</v>
          </cell>
          <cell r="AA812">
            <v>49476</v>
          </cell>
          <cell r="AB812" t="str">
            <v>ERPL</v>
          </cell>
          <cell r="AC812">
            <v>1101</v>
          </cell>
          <cell r="AD812">
            <v>2</v>
          </cell>
          <cell r="AE812">
            <v>3631</v>
          </cell>
        </row>
        <row r="813">
          <cell r="A813" t="str">
            <v>SMA</v>
          </cell>
          <cell r="B813">
            <v>4</v>
          </cell>
          <cell r="C813" t="str">
            <v>DRMS</v>
          </cell>
          <cell r="D813">
            <v>44</v>
          </cell>
          <cell r="E813">
            <v>1</v>
          </cell>
          <cell r="F813" t="str">
            <v xml:space="preserve">B </v>
          </cell>
          <cell r="G813">
            <v>15</v>
          </cell>
          <cell r="H813">
            <v>34</v>
          </cell>
          <cell r="I813">
            <v>-4287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-121932</v>
          </cell>
          <cell r="P813">
            <v>0</v>
          </cell>
          <cell r="Q813">
            <v>0</v>
          </cell>
          <cell r="R813">
            <v>3643</v>
          </cell>
          <cell r="S813">
            <v>0</v>
          </cell>
          <cell r="T813">
            <v>0</v>
          </cell>
          <cell r="U813">
            <v>-36035</v>
          </cell>
          <cell r="V813">
            <v>0</v>
          </cell>
          <cell r="W813">
            <v>0</v>
          </cell>
          <cell r="X813">
            <v>0</v>
          </cell>
          <cell r="Y813">
            <v>3796</v>
          </cell>
          <cell r="Z813">
            <v>-121932</v>
          </cell>
          <cell r="AA813">
            <v>-114493</v>
          </cell>
          <cell r="AB813" t="str">
            <v>ERPL</v>
          </cell>
          <cell r="AC813">
            <v>1101</v>
          </cell>
          <cell r="AD813">
            <v>2</v>
          </cell>
          <cell r="AE813">
            <v>-4287</v>
          </cell>
        </row>
        <row r="814">
          <cell r="A814" t="str">
            <v>SMA</v>
          </cell>
          <cell r="B814">
            <v>4</v>
          </cell>
          <cell r="C814" t="str">
            <v>DRMS</v>
          </cell>
          <cell r="D814">
            <v>44</v>
          </cell>
          <cell r="E814">
            <v>2</v>
          </cell>
          <cell r="F814" t="str">
            <v>A4</v>
          </cell>
          <cell r="G814">
            <v>21</v>
          </cell>
          <cell r="H814">
            <v>2</v>
          </cell>
          <cell r="I814">
            <v>92878</v>
          </cell>
          <cell r="J814">
            <v>3221</v>
          </cell>
          <cell r="K814">
            <v>89657</v>
          </cell>
          <cell r="L814">
            <v>1421</v>
          </cell>
          <cell r="M814">
            <v>1421</v>
          </cell>
          <cell r="N814">
            <v>0</v>
          </cell>
          <cell r="O814">
            <v>776946</v>
          </cell>
          <cell r="P814">
            <v>981437</v>
          </cell>
          <cell r="Q814">
            <v>40103</v>
          </cell>
          <cell r="R814">
            <v>9017</v>
          </cell>
          <cell r="S814">
            <v>0</v>
          </cell>
          <cell r="T814">
            <v>0</v>
          </cell>
          <cell r="U814">
            <v>449621</v>
          </cell>
          <cell r="V814">
            <v>0</v>
          </cell>
          <cell r="W814">
            <v>0</v>
          </cell>
          <cell r="X814">
            <v>0</v>
          </cell>
          <cell r="Y814">
            <v>49</v>
          </cell>
          <cell r="Z814">
            <v>1798486</v>
          </cell>
          <cell r="AA814">
            <v>1807552</v>
          </cell>
          <cell r="AB814" t="str">
            <v>ERPL</v>
          </cell>
          <cell r="AC814">
            <v>1101</v>
          </cell>
          <cell r="AD814">
            <v>2</v>
          </cell>
          <cell r="AE814">
            <v>92878</v>
          </cell>
        </row>
        <row r="815">
          <cell r="A815" t="str">
            <v>SMA</v>
          </cell>
          <cell r="B815">
            <v>4</v>
          </cell>
          <cell r="C815" t="str">
            <v>DRMS</v>
          </cell>
          <cell r="D815">
            <v>44</v>
          </cell>
          <cell r="E815">
            <v>2</v>
          </cell>
          <cell r="F815" t="str">
            <v>A4</v>
          </cell>
          <cell r="G815">
            <v>20</v>
          </cell>
          <cell r="H815">
            <v>5</v>
          </cell>
          <cell r="I815">
            <v>39812</v>
          </cell>
          <cell r="J815">
            <v>0</v>
          </cell>
          <cell r="K815">
            <v>0</v>
          </cell>
          <cell r="L815">
            <v>263</v>
          </cell>
          <cell r="M815">
            <v>0</v>
          </cell>
          <cell r="N815">
            <v>0</v>
          </cell>
          <cell r="O815">
            <v>456829</v>
          </cell>
          <cell r="P815">
            <v>205842</v>
          </cell>
          <cell r="Q815">
            <v>62227</v>
          </cell>
          <cell r="R815">
            <v>9725</v>
          </cell>
          <cell r="S815">
            <v>0</v>
          </cell>
          <cell r="T815">
            <v>0</v>
          </cell>
          <cell r="U815">
            <v>188073</v>
          </cell>
          <cell r="V815">
            <v>0</v>
          </cell>
          <cell r="W815">
            <v>27393</v>
          </cell>
          <cell r="X815">
            <v>0</v>
          </cell>
          <cell r="Y815">
            <v>5048</v>
          </cell>
          <cell r="Z815">
            <v>752291</v>
          </cell>
          <cell r="AA815">
            <v>767064</v>
          </cell>
          <cell r="AB815" t="str">
            <v>ERPL</v>
          </cell>
          <cell r="AC815">
            <v>1101</v>
          </cell>
          <cell r="AD815">
            <v>2</v>
          </cell>
          <cell r="AE815">
            <v>39812</v>
          </cell>
        </row>
        <row r="816">
          <cell r="A816" t="str">
            <v>SMA</v>
          </cell>
          <cell r="B816">
            <v>4</v>
          </cell>
          <cell r="C816" t="str">
            <v>DRMS</v>
          </cell>
          <cell r="D816">
            <v>44</v>
          </cell>
          <cell r="E816">
            <v>2</v>
          </cell>
          <cell r="F816" t="str">
            <v xml:space="preserve">B </v>
          </cell>
          <cell r="G816">
            <v>0</v>
          </cell>
          <cell r="H816">
            <v>123</v>
          </cell>
          <cell r="I816">
            <v>70900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1476019</v>
          </cell>
          <cell r="P816">
            <v>0</v>
          </cell>
          <cell r="Q816">
            <v>0</v>
          </cell>
          <cell r="R816">
            <v>23226</v>
          </cell>
          <cell r="S816">
            <v>0</v>
          </cell>
          <cell r="T816">
            <v>35764</v>
          </cell>
          <cell r="U816">
            <v>366203</v>
          </cell>
          <cell r="V816">
            <v>0</v>
          </cell>
          <cell r="W816">
            <v>0</v>
          </cell>
          <cell r="X816">
            <v>0</v>
          </cell>
          <cell r="Y816">
            <v>62280</v>
          </cell>
          <cell r="Z816">
            <v>1476019</v>
          </cell>
          <cell r="AA816">
            <v>1597289</v>
          </cell>
          <cell r="AB816" t="str">
            <v>ERPL</v>
          </cell>
          <cell r="AC816">
            <v>1101</v>
          </cell>
          <cell r="AD816">
            <v>2</v>
          </cell>
          <cell r="AE816">
            <v>69755</v>
          </cell>
        </row>
        <row r="817">
          <cell r="A817" t="str">
            <v>SMA</v>
          </cell>
          <cell r="B817">
            <v>4</v>
          </cell>
          <cell r="C817" t="str">
            <v>DRMS</v>
          </cell>
          <cell r="D817">
            <v>44</v>
          </cell>
          <cell r="E817">
            <v>3</v>
          </cell>
          <cell r="F817" t="str">
            <v>A4</v>
          </cell>
          <cell r="G817">
            <v>20</v>
          </cell>
          <cell r="H817">
            <v>13</v>
          </cell>
          <cell r="I817">
            <v>157439</v>
          </cell>
          <cell r="J817">
            <v>0</v>
          </cell>
          <cell r="K817">
            <v>0</v>
          </cell>
          <cell r="L817">
            <v>633</v>
          </cell>
          <cell r="M817">
            <v>0</v>
          </cell>
          <cell r="N817">
            <v>0</v>
          </cell>
          <cell r="O817">
            <v>1806561</v>
          </cell>
          <cell r="P817">
            <v>495429</v>
          </cell>
          <cell r="Q817">
            <v>66679</v>
          </cell>
          <cell r="R817">
            <v>8391</v>
          </cell>
          <cell r="S817">
            <v>0</v>
          </cell>
          <cell r="T817">
            <v>0</v>
          </cell>
          <cell r="U817">
            <v>597648</v>
          </cell>
          <cell r="V817">
            <v>0</v>
          </cell>
          <cell r="W817">
            <v>21915</v>
          </cell>
          <cell r="X817">
            <v>0</v>
          </cell>
          <cell r="Y817">
            <v>25240</v>
          </cell>
          <cell r="Z817">
            <v>2390584</v>
          </cell>
          <cell r="AA817">
            <v>2424215</v>
          </cell>
          <cell r="AB817" t="str">
            <v>ERPL</v>
          </cell>
          <cell r="AC817">
            <v>1101</v>
          </cell>
          <cell r="AD817">
            <v>2</v>
          </cell>
          <cell r="AE817">
            <v>157439</v>
          </cell>
        </row>
        <row r="818">
          <cell r="A818" t="str">
            <v>SMA</v>
          </cell>
          <cell r="B818">
            <v>4</v>
          </cell>
          <cell r="C818" t="str">
            <v>DRMS</v>
          </cell>
          <cell r="D818">
            <v>44</v>
          </cell>
          <cell r="E818">
            <v>3</v>
          </cell>
          <cell r="F818" t="str">
            <v xml:space="preserve">B </v>
          </cell>
          <cell r="G818">
            <v>0</v>
          </cell>
          <cell r="H818">
            <v>1618</v>
          </cell>
          <cell r="I818">
            <v>394542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8215568</v>
          </cell>
          <cell r="P818">
            <v>0</v>
          </cell>
          <cell r="Q818">
            <v>0</v>
          </cell>
          <cell r="R818">
            <v>122718</v>
          </cell>
          <cell r="S818">
            <v>0</v>
          </cell>
          <cell r="T818">
            <v>190893</v>
          </cell>
          <cell r="U818">
            <v>2031758</v>
          </cell>
          <cell r="V818">
            <v>0</v>
          </cell>
          <cell r="W818">
            <v>0</v>
          </cell>
          <cell r="X818">
            <v>0</v>
          </cell>
          <cell r="Y818">
            <v>487114</v>
          </cell>
          <cell r="Z818">
            <v>8215568</v>
          </cell>
          <cell r="AA818">
            <v>9016293</v>
          </cell>
          <cell r="AB818" t="str">
            <v>ERPL</v>
          </cell>
          <cell r="AC818">
            <v>1101</v>
          </cell>
          <cell r="AD818">
            <v>2</v>
          </cell>
          <cell r="AE818">
            <v>384086</v>
          </cell>
        </row>
        <row r="819">
          <cell r="A819" t="str">
            <v>SMA</v>
          </cell>
          <cell r="B819">
            <v>4</v>
          </cell>
          <cell r="C819" t="str">
            <v>DRMS</v>
          </cell>
          <cell r="D819">
            <v>44</v>
          </cell>
          <cell r="E819">
            <v>4</v>
          </cell>
          <cell r="F819" t="str">
            <v>A4</v>
          </cell>
          <cell r="G819">
            <v>21</v>
          </cell>
          <cell r="H819">
            <v>1</v>
          </cell>
          <cell r="I819">
            <v>123703</v>
          </cell>
          <cell r="J819">
            <v>12337</v>
          </cell>
          <cell r="K819">
            <v>111366</v>
          </cell>
          <cell r="L819">
            <v>272</v>
          </cell>
          <cell r="M819">
            <v>272</v>
          </cell>
          <cell r="N819">
            <v>0</v>
          </cell>
          <cell r="O819">
            <v>997232</v>
          </cell>
          <cell r="P819">
            <v>126752</v>
          </cell>
          <cell r="Q819">
            <v>254913</v>
          </cell>
          <cell r="R819">
            <v>31168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26096</v>
          </cell>
          <cell r="X819">
            <v>0</v>
          </cell>
          <cell r="Y819">
            <v>0</v>
          </cell>
          <cell r="Z819">
            <v>1404993</v>
          </cell>
          <cell r="AA819">
            <v>1436161</v>
          </cell>
          <cell r="AB819" t="str">
            <v>ERPL</v>
          </cell>
          <cell r="AC819">
            <v>1101</v>
          </cell>
          <cell r="AD819">
            <v>2</v>
          </cell>
          <cell r="AE819">
            <v>123703</v>
          </cell>
        </row>
        <row r="820">
          <cell r="A820" t="str">
            <v>SMA</v>
          </cell>
          <cell r="B820">
            <v>4</v>
          </cell>
          <cell r="C820" t="str">
            <v>DRMS</v>
          </cell>
          <cell r="D820">
            <v>44</v>
          </cell>
          <cell r="E820">
            <v>4</v>
          </cell>
          <cell r="F820" t="str">
            <v>A4</v>
          </cell>
          <cell r="G820">
            <v>20</v>
          </cell>
          <cell r="H820">
            <v>4</v>
          </cell>
          <cell r="I820">
            <v>4193</v>
          </cell>
          <cell r="J820">
            <v>0</v>
          </cell>
          <cell r="K820">
            <v>0</v>
          </cell>
          <cell r="L820">
            <v>62</v>
          </cell>
          <cell r="M820">
            <v>0</v>
          </cell>
          <cell r="N820">
            <v>0</v>
          </cell>
          <cell r="O820">
            <v>32475</v>
          </cell>
          <cell r="P820">
            <v>32736</v>
          </cell>
          <cell r="Q820">
            <v>697</v>
          </cell>
          <cell r="R820">
            <v>319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1056</v>
          </cell>
          <cell r="X820">
            <v>0</v>
          </cell>
          <cell r="Y820">
            <v>0</v>
          </cell>
          <cell r="Z820">
            <v>66964</v>
          </cell>
          <cell r="AA820">
            <v>67283</v>
          </cell>
          <cell r="AB820" t="str">
            <v>ERPL</v>
          </cell>
          <cell r="AC820">
            <v>1101</v>
          </cell>
          <cell r="AD820">
            <v>2</v>
          </cell>
          <cell r="AE820">
            <v>4193</v>
          </cell>
        </row>
        <row r="821">
          <cell r="A821" t="str">
            <v>SMA</v>
          </cell>
          <cell r="B821">
            <v>4</v>
          </cell>
          <cell r="C821" t="str">
            <v>DRMS</v>
          </cell>
          <cell r="D821">
            <v>44</v>
          </cell>
          <cell r="E821">
            <v>4</v>
          </cell>
          <cell r="F821" t="str">
            <v xml:space="preserve">B </v>
          </cell>
          <cell r="G821">
            <v>0</v>
          </cell>
          <cell r="H821">
            <v>341</v>
          </cell>
          <cell r="I821">
            <v>199149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1947863</v>
          </cell>
          <cell r="P821">
            <v>0</v>
          </cell>
          <cell r="Q821">
            <v>0</v>
          </cell>
          <cell r="R821">
            <v>34</v>
          </cell>
          <cell r="S821">
            <v>0</v>
          </cell>
          <cell r="T821">
            <v>72696</v>
          </cell>
          <cell r="U821">
            <v>0</v>
          </cell>
          <cell r="V821">
            <v>566</v>
          </cell>
          <cell r="W821">
            <v>0</v>
          </cell>
          <cell r="X821">
            <v>0</v>
          </cell>
          <cell r="Y821">
            <v>0</v>
          </cell>
          <cell r="Z821">
            <v>1947863</v>
          </cell>
          <cell r="AA821">
            <v>2021159</v>
          </cell>
          <cell r="AB821" t="str">
            <v>ERPL</v>
          </cell>
          <cell r="AC821">
            <v>1101</v>
          </cell>
          <cell r="AD821">
            <v>2</v>
          </cell>
          <cell r="AE821">
            <v>197133</v>
          </cell>
        </row>
        <row r="822">
          <cell r="A822" t="str">
            <v>SMA</v>
          </cell>
          <cell r="B822">
            <v>4</v>
          </cell>
          <cell r="C822" t="str">
            <v>DRMS</v>
          </cell>
          <cell r="D822">
            <v>44</v>
          </cell>
          <cell r="E822">
            <v>5</v>
          </cell>
          <cell r="F822" t="str">
            <v>A4</v>
          </cell>
          <cell r="G822">
            <v>20</v>
          </cell>
          <cell r="H822">
            <v>7</v>
          </cell>
          <cell r="I822">
            <v>51886</v>
          </cell>
          <cell r="J822">
            <v>0</v>
          </cell>
          <cell r="K822">
            <v>0</v>
          </cell>
          <cell r="L822">
            <v>196</v>
          </cell>
          <cell r="M822">
            <v>0</v>
          </cell>
          <cell r="N822">
            <v>0</v>
          </cell>
          <cell r="O822">
            <v>523158</v>
          </cell>
          <cell r="P822">
            <v>138141</v>
          </cell>
          <cell r="Q822">
            <v>14094</v>
          </cell>
          <cell r="R822">
            <v>520</v>
          </cell>
          <cell r="S822">
            <v>0</v>
          </cell>
          <cell r="T822">
            <v>0</v>
          </cell>
          <cell r="U822">
            <v>102128</v>
          </cell>
          <cell r="V822">
            <v>0</v>
          </cell>
          <cell r="W822">
            <v>3326</v>
          </cell>
          <cell r="X822">
            <v>0</v>
          </cell>
          <cell r="Y822">
            <v>0</v>
          </cell>
          <cell r="Z822">
            <v>678719</v>
          </cell>
          <cell r="AA822">
            <v>679239</v>
          </cell>
          <cell r="AB822" t="str">
            <v>ERPL</v>
          </cell>
          <cell r="AC822">
            <v>1101</v>
          </cell>
          <cell r="AD822">
            <v>2</v>
          </cell>
          <cell r="AE822">
            <v>51886</v>
          </cell>
        </row>
        <row r="823">
          <cell r="A823" t="str">
            <v>SMA</v>
          </cell>
          <cell r="B823">
            <v>4</v>
          </cell>
          <cell r="C823" t="str">
            <v>DRMS</v>
          </cell>
          <cell r="D823">
            <v>44</v>
          </cell>
          <cell r="E823">
            <v>5</v>
          </cell>
          <cell r="F823" t="str">
            <v xml:space="preserve">B </v>
          </cell>
          <cell r="G823">
            <v>0</v>
          </cell>
          <cell r="H823">
            <v>236</v>
          </cell>
          <cell r="I823">
            <v>154354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3021980</v>
          </cell>
          <cell r="P823">
            <v>0</v>
          </cell>
          <cell r="Q823">
            <v>0</v>
          </cell>
          <cell r="R823">
            <v>55122</v>
          </cell>
          <cell r="S823">
            <v>0</v>
          </cell>
          <cell r="T823">
            <v>2700</v>
          </cell>
          <cell r="U823">
            <v>611921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3021980</v>
          </cell>
          <cell r="AA823">
            <v>3079802</v>
          </cell>
          <cell r="AB823" t="str">
            <v>ERPL</v>
          </cell>
          <cell r="AC823">
            <v>1101</v>
          </cell>
          <cell r="AD823">
            <v>2</v>
          </cell>
          <cell r="AE823">
            <v>153312</v>
          </cell>
        </row>
        <row r="824">
          <cell r="A824" t="str">
            <v>SMA</v>
          </cell>
          <cell r="B824">
            <v>4</v>
          </cell>
          <cell r="C824" t="str">
            <v>DRMS</v>
          </cell>
          <cell r="D824">
            <v>44</v>
          </cell>
          <cell r="E824">
            <v>6</v>
          </cell>
          <cell r="F824" t="str">
            <v xml:space="preserve">B </v>
          </cell>
          <cell r="G824">
            <v>0</v>
          </cell>
          <cell r="H824">
            <v>24</v>
          </cell>
          <cell r="I824">
            <v>256674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3021906</v>
          </cell>
          <cell r="P824">
            <v>0</v>
          </cell>
          <cell r="Q824">
            <v>0</v>
          </cell>
          <cell r="R824">
            <v>56032</v>
          </cell>
          <cell r="S824">
            <v>0</v>
          </cell>
          <cell r="T824">
            <v>0</v>
          </cell>
          <cell r="U824">
            <v>755474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3021906</v>
          </cell>
          <cell r="AA824">
            <v>3077938</v>
          </cell>
          <cell r="AB824" t="str">
            <v>ERPL</v>
          </cell>
          <cell r="AC824">
            <v>1101</v>
          </cell>
          <cell r="AD824">
            <v>2</v>
          </cell>
          <cell r="AE824">
            <v>256674</v>
          </cell>
        </row>
        <row r="825">
          <cell r="A825" t="str">
            <v>SMA</v>
          </cell>
          <cell r="B825">
            <v>4</v>
          </cell>
          <cell r="C825" t="str">
            <v>DRMS</v>
          </cell>
          <cell r="D825">
            <v>44</v>
          </cell>
          <cell r="E825">
            <v>7</v>
          </cell>
          <cell r="F825" t="str">
            <v>A4</v>
          </cell>
          <cell r="G825">
            <v>20</v>
          </cell>
          <cell r="H825">
            <v>8</v>
          </cell>
          <cell r="I825">
            <v>311689</v>
          </cell>
          <cell r="J825">
            <v>0</v>
          </cell>
          <cell r="K825">
            <v>0</v>
          </cell>
          <cell r="L825">
            <v>534</v>
          </cell>
          <cell r="M825">
            <v>0</v>
          </cell>
          <cell r="N825">
            <v>0</v>
          </cell>
          <cell r="O825">
            <v>3040006</v>
          </cell>
          <cell r="P825">
            <v>354576</v>
          </cell>
          <cell r="Q825">
            <v>34789</v>
          </cell>
          <cell r="R825">
            <v>24388</v>
          </cell>
          <cell r="S825">
            <v>0</v>
          </cell>
          <cell r="T825">
            <v>185819</v>
          </cell>
          <cell r="U825">
            <v>858339</v>
          </cell>
          <cell r="V825">
            <v>0</v>
          </cell>
          <cell r="W825">
            <v>3984</v>
          </cell>
          <cell r="X825">
            <v>0</v>
          </cell>
          <cell r="Y825">
            <v>0</v>
          </cell>
          <cell r="Z825">
            <v>3433355</v>
          </cell>
          <cell r="AA825">
            <v>3643562</v>
          </cell>
          <cell r="AB825" t="str">
            <v>ERPL</v>
          </cell>
          <cell r="AC825">
            <v>1101</v>
          </cell>
          <cell r="AD825">
            <v>2</v>
          </cell>
          <cell r="AE825">
            <v>311689</v>
          </cell>
        </row>
        <row r="826">
          <cell r="A826" t="str">
            <v>SMA</v>
          </cell>
          <cell r="B826">
            <v>4</v>
          </cell>
          <cell r="C826" t="str">
            <v>DRMS</v>
          </cell>
          <cell r="D826">
            <v>44</v>
          </cell>
          <cell r="E826">
            <v>7</v>
          </cell>
          <cell r="F826" t="str">
            <v xml:space="preserve">B </v>
          </cell>
          <cell r="G826">
            <v>0</v>
          </cell>
          <cell r="H826">
            <v>13</v>
          </cell>
          <cell r="I826">
            <v>49185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870310</v>
          </cell>
          <cell r="P826">
            <v>0</v>
          </cell>
          <cell r="Q826">
            <v>0</v>
          </cell>
          <cell r="R826">
            <v>23286</v>
          </cell>
          <cell r="S826">
            <v>0</v>
          </cell>
          <cell r="T826">
            <v>0</v>
          </cell>
          <cell r="U826">
            <v>217577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870310</v>
          </cell>
          <cell r="AA826">
            <v>893596</v>
          </cell>
          <cell r="AB826" t="str">
            <v>ERPL</v>
          </cell>
          <cell r="AC826">
            <v>1101</v>
          </cell>
          <cell r="AD826">
            <v>2</v>
          </cell>
          <cell r="AE826">
            <v>49185</v>
          </cell>
        </row>
        <row r="827">
          <cell r="A827" t="str">
            <v>SMA</v>
          </cell>
          <cell r="B827">
            <v>4</v>
          </cell>
          <cell r="C827" t="str">
            <v>DRMS</v>
          </cell>
          <cell r="D827">
            <v>44</v>
          </cell>
          <cell r="E827">
            <v>8</v>
          </cell>
          <cell r="F827" t="str">
            <v xml:space="preserve">B </v>
          </cell>
          <cell r="G827">
            <v>0</v>
          </cell>
          <cell r="H827">
            <v>3</v>
          </cell>
          <cell r="I827">
            <v>2127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44281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11070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44281</v>
          </cell>
          <cell r="AA827">
            <v>44281</v>
          </cell>
          <cell r="AB827" t="str">
            <v>ERPL</v>
          </cell>
          <cell r="AC827">
            <v>1101</v>
          </cell>
          <cell r="AD827">
            <v>2</v>
          </cell>
          <cell r="AE827">
            <v>2027</v>
          </cell>
        </row>
        <row r="828">
          <cell r="A828" t="str">
            <v>SMA</v>
          </cell>
          <cell r="B828">
            <v>4</v>
          </cell>
          <cell r="C828" t="str">
            <v>DRMS</v>
          </cell>
          <cell r="D828">
            <v>44</v>
          </cell>
          <cell r="E828">
            <v>90</v>
          </cell>
          <cell r="F828" t="str">
            <v>A3</v>
          </cell>
          <cell r="G828">
            <v>26</v>
          </cell>
          <cell r="H828">
            <v>1</v>
          </cell>
          <cell r="I828">
            <v>2536760</v>
          </cell>
          <cell r="J828">
            <v>0</v>
          </cell>
          <cell r="K828">
            <v>0</v>
          </cell>
          <cell r="L828">
            <v>6974</v>
          </cell>
          <cell r="M828">
            <v>0</v>
          </cell>
          <cell r="N828">
            <v>0</v>
          </cell>
          <cell r="O828">
            <v>6623480</v>
          </cell>
          <cell r="P828">
            <v>5439720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12063200</v>
          </cell>
          <cell r="AA828">
            <v>12063200</v>
          </cell>
          <cell r="AB828" t="str">
            <v>ERPL</v>
          </cell>
          <cell r="AC828">
            <v>1101</v>
          </cell>
          <cell r="AD828">
            <v>2</v>
          </cell>
          <cell r="AE828">
            <v>2536760</v>
          </cell>
        </row>
        <row r="829">
          <cell r="A829" t="str">
            <v>SMA</v>
          </cell>
          <cell r="B829">
            <v>5</v>
          </cell>
          <cell r="C829" t="str">
            <v>DRMN</v>
          </cell>
          <cell r="D829">
            <v>51</v>
          </cell>
          <cell r="E829">
            <v>1</v>
          </cell>
          <cell r="F829" t="str">
            <v xml:space="preserve">B </v>
          </cell>
          <cell r="G829">
            <v>1</v>
          </cell>
          <cell r="H829">
            <v>14117</v>
          </cell>
          <cell r="I829">
            <v>302672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4888495</v>
          </cell>
          <cell r="P829">
            <v>0</v>
          </cell>
          <cell r="Q829">
            <v>0</v>
          </cell>
          <cell r="R829">
            <v>36108</v>
          </cell>
          <cell r="S829">
            <v>0</v>
          </cell>
          <cell r="T829">
            <v>262480</v>
          </cell>
          <cell r="U829">
            <v>0</v>
          </cell>
          <cell r="V829">
            <v>63647</v>
          </cell>
          <cell r="W829">
            <v>0</v>
          </cell>
          <cell r="X829">
            <v>0</v>
          </cell>
          <cell r="Y829">
            <v>84486</v>
          </cell>
          <cell r="Z829">
            <v>4888495</v>
          </cell>
          <cell r="AA829">
            <v>5335216</v>
          </cell>
          <cell r="AB829" t="str">
            <v>ERSU</v>
          </cell>
          <cell r="AC829">
            <v>1101</v>
          </cell>
          <cell r="AD829">
            <v>2</v>
          </cell>
          <cell r="AE829">
            <v>234034</v>
          </cell>
        </row>
        <row r="830">
          <cell r="A830" t="str">
            <v>SMA</v>
          </cell>
          <cell r="B830">
            <v>5</v>
          </cell>
          <cell r="C830" t="str">
            <v>DRMN</v>
          </cell>
          <cell r="D830">
            <v>51</v>
          </cell>
          <cell r="E830">
            <v>1</v>
          </cell>
          <cell r="F830" t="str">
            <v xml:space="preserve">B </v>
          </cell>
          <cell r="G830">
            <v>2</v>
          </cell>
          <cell r="H830">
            <v>7456</v>
          </cell>
          <cell r="I830">
            <v>303314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5882916</v>
          </cell>
          <cell r="P830">
            <v>0</v>
          </cell>
          <cell r="Q830">
            <v>0</v>
          </cell>
          <cell r="R830">
            <v>46068</v>
          </cell>
          <cell r="S830">
            <v>0</v>
          </cell>
          <cell r="T830">
            <v>81136</v>
          </cell>
          <cell r="U830">
            <v>999810</v>
          </cell>
          <cell r="V830">
            <v>37418</v>
          </cell>
          <cell r="W830">
            <v>0</v>
          </cell>
          <cell r="X830">
            <v>0</v>
          </cell>
          <cell r="Y830">
            <v>82199</v>
          </cell>
          <cell r="Z830">
            <v>5882916</v>
          </cell>
          <cell r="AA830">
            <v>6129737</v>
          </cell>
          <cell r="AB830" t="str">
            <v>ERSU</v>
          </cell>
          <cell r="AC830">
            <v>1101</v>
          </cell>
          <cell r="AD830">
            <v>2</v>
          </cell>
          <cell r="AE830">
            <v>303314</v>
          </cell>
        </row>
        <row r="831">
          <cell r="A831" t="str">
            <v>SMA</v>
          </cell>
          <cell r="B831">
            <v>5</v>
          </cell>
          <cell r="C831" t="str">
            <v>DRMN</v>
          </cell>
          <cell r="D831">
            <v>51</v>
          </cell>
          <cell r="E831">
            <v>1</v>
          </cell>
          <cell r="F831" t="str">
            <v xml:space="preserve">B </v>
          </cell>
          <cell r="G831">
            <v>3</v>
          </cell>
          <cell r="H831">
            <v>12880</v>
          </cell>
          <cell r="I831">
            <v>897241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17403987</v>
          </cell>
          <cell r="P831">
            <v>0</v>
          </cell>
          <cell r="Q831">
            <v>0</v>
          </cell>
          <cell r="R831">
            <v>132597</v>
          </cell>
          <cell r="S831">
            <v>0</v>
          </cell>
          <cell r="T831">
            <v>190669</v>
          </cell>
          <cell r="U831">
            <v>2958720</v>
          </cell>
          <cell r="V831">
            <v>77463</v>
          </cell>
          <cell r="W831">
            <v>0</v>
          </cell>
          <cell r="X831">
            <v>0</v>
          </cell>
          <cell r="Y831">
            <v>798348</v>
          </cell>
          <cell r="Z831">
            <v>17403987</v>
          </cell>
          <cell r="AA831">
            <v>18603064</v>
          </cell>
          <cell r="AB831" t="str">
            <v>ERSU</v>
          </cell>
          <cell r="AC831">
            <v>1101</v>
          </cell>
          <cell r="AD831">
            <v>2</v>
          </cell>
          <cell r="AE831">
            <v>895407</v>
          </cell>
        </row>
        <row r="832">
          <cell r="A832" t="str">
            <v>SMA</v>
          </cell>
          <cell r="B832">
            <v>5</v>
          </cell>
          <cell r="C832" t="str">
            <v>DRMN</v>
          </cell>
          <cell r="D832">
            <v>51</v>
          </cell>
          <cell r="E832">
            <v>1</v>
          </cell>
          <cell r="F832" t="str">
            <v xml:space="preserve">B </v>
          </cell>
          <cell r="G832">
            <v>4</v>
          </cell>
          <cell r="H832">
            <v>2085</v>
          </cell>
          <cell r="I832">
            <v>246987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4790704</v>
          </cell>
          <cell r="P832">
            <v>0</v>
          </cell>
          <cell r="Q832">
            <v>0</v>
          </cell>
          <cell r="R832">
            <v>50219</v>
          </cell>
          <cell r="S832">
            <v>0</v>
          </cell>
          <cell r="T832">
            <v>75356</v>
          </cell>
          <cell r="U832">
            <v>814432</v>
          </cell>
          <cell r="V832">
            <v>9590</v>
          </cell>
          <cell r="W832">
            <v>0</v>
          </cell>
          <cell r="X832">
            <v>0</v>
          </cell>
          <cell r="Y832">
            <v>185639</v>
          </cell>
          <cell r="Z832">
            <v>4790704</v>
          </cell>
          <cell r="AA832">
            <v>5111508</v>
          </cell>
          <cell r="AB832" t="str">
            <v>ERSU</v>
          </cell>
          <cell r="AC832">
            <v>1101</v>
          </cell>
          <cell r="AD832">
            <v>2</v>
          </cell>
          <cell r="AE832">
            <v>246987</v>
          </cell>
        </row>
        <row r="833">
          <cell r="A833" t="str">
            <v>SMA</v>
          </cell>
          <cell r="B833">
            <v>5</v>
          </cell>
          <cell r="C833" t="str">
            <v>DRMN</v>
          </cell>
          <cell r="D833">
            <v>51</v>
          </cell>
          <cell r="E833">
            <v>1</v>
          </cell>
          <cell r="F833" t="str">
            <v xml:space="preserve">B </v>
          </cell>
          <cell r="G833">
            <v>5</v>
          </cell>
          <cell r="H833">
            <v>561</v>
          </cell>
          <cell r="I833">
            <v>94648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1835728</v>
          </cell>
          <cell r="P833">
            <v>0</v>
          </cell>
          <cell r="Q833">
            <v>0</v>
          </cell>
          <cell r="R833">
            <v>17135</v>
          </cell>
          <cell r="S833">
            <v>0</v>
          </cell>
          <cell r="T833">
            <v>18118</v>
          </cell>
          <cell r="U833">
            <v>312080</v>
          </cell>
          <cell r="V833">
            <v>2447</v>
          </cell>
          <cell r="W833">
            <v>0</v>
          </cell>
          <cell r="X833">
            <v>0</v>
          </cell>
          <cell r="Y833">
            <v>82655</v>
          </cell>
          <cell r="Z833">
            <v>1835728</v>
          </cell>
          <cell r="AA833">
            <v>1956083</v>
          </cell>
          <cell r="AB833" t="str">
            <v>ERSU</v>
          </cell>
          <cell r="AC833">
            <v>1101</v>
          </cell>
          <cell r="AD833">
            <v>2</v>
          </cell>
          <cell r="AE833">
            <v>94648</v>
          </cell>
        </row>
        <row r="834">
          <cell r="A834" t="str">
            <v>SMA</v>
          </cell>
          <cell r="B834">
            <v>5</v>
          </cell>
          <cell r="C834" t="str">
            <v>DRMN</v>
          </cell>
          <cell r="D834">
            <v>51</v>
          </cell>
          <cell r="E834">
            <v>1</v>
          </cell>
          <cell r="F834" t="str">
            <v xml:space="preserve">B </v>
          </cell>
          <cell r="G834">
            <v>6</v>
          </cell>
          <cell r="H834">
            <v>318</v>
          </cell>
          <cell r="I834">
            <v>72520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1406642</v>
          </cell>
          <cell r="P834">
            <v>0</v>
          </cell>
          <cell r="Q834">
            <v>0</v>
          </cell>
          <cell r="R834">
            <v>14567</v>
          </cell>
          <cell r="S834">
            <v>0</v>
          </cell>
          <cell r="T834">
            <v>35304</v>
          </cell>
          <cell r="U834">
            <v>239183</v>
          </cell>
          <cell r="V834">
            <v>752</v>
          </cell>
          <cell r="W834">
            <v>0</v>
          </cell>
          <cell r="X834">
            <v>0</v>
          </cell>
          <cell r="Y834">
            <v>46650</v>
          </cell>
          <cell r="Z834">
            <v>1406642</v>
          </cell>
          <cell r="AA834">
            <v>1503915</v>
          </cell>
          <cell r="AB834" t="str">
            <v>ERSU</v>
          </cell>
          <cell r="AC834">
            <v>1101</v>
          </cell>
          <cell r="AD834">
            <v>2</v>
          </cell>
          <cell r="AE834">
            <v>72520</v>
          </cell>
        </row>
        <row r="835">
          <cell r="A835" t="str">
            <v>SMA</v>
          </cell>
          <cell r="B835">
            <v>5</v>
          </cell>
          <cell r="C835" t="str">
            <v>DRMN</v>
          </cell>
          <cell r="D835">
            <v>51</v>
          </cell>
          <cell r="E835">
            <v>1</v>
          </cell>
          <cell r="F835" t="str">
            <v xml:space="preserve">B </v>
          </cell>
          <cell r="G835">
            <v>7</v>
          </cell>
          <cell r="H835">
            <v>94</v>
          </cell>
          <cell r="I835">
            <v>28388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571308</v>
          </cell>
          <cell r="P835">
            <v>0</v>
          </cell>
          <cell r="Q835">
            <v>0</v>
          </cell>
          <cell r="R835">
            <v>6118</v>
          </cell>
          <cell r="S835">
            <v>0</v>
          </cell>
          <cell r="T835">
            <v>8833</v>
          </cell>
          <cell r="U835">
            <v>114300</v>
          </cell>
          <cell r="V835">
            <v>189</v>
          </cell>
          <cell r="W835">
            <v>0</v>
          </cell>
          <cell r="X835">
            <v>0</v>
          </cell>
          <cell r="Y835">
            <v>23917</v>
          </cell>
          <cell r="Z835">
            <v>571308</v>
          </cell>
          <cell r="AA835">
            <v>610365</v>
          </cell>
          <cell r="AB835" t="str">
            <v>ERSU</v>
          </cell>
          <cell r="AC835">
            <v>1101</v>
          </cell>
          <cell r="AD835">
            <v>2</v>
          </cell>
          <cell r="AE835">
            <v>28388</v>
          </cell>
        </row>
        <row r="836">
          <cell r="A836" t="str">
            <v>SMA</v>
          </cell>
          <cell r="B836">
            <v>5</v>
          </cell>
          <cell r="C836" t="str">
            <v>DRMN</v>
          </cell>
          <cell r="D836">
            <v>51</v>
          </cell>
          <cell r="E836">
            <v>1</v>
          </cell>
          <cell r="F836" t="str">
            <v xml:space="preserve">B </v>
          </cell>
          <cell r="G836">
            <v>8</v>
          </cell>
          <cell r="H836">
            <v>25</v>
          </cell>
          <cell r="I836">
            <v>8404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171722</v>
          </cell>
          <cell r="P836">
            <v>0</v>
          </cell>
          <cell r="Q836">
            <v>0</v>
          </cell>
          <cell r="R836">
            <v>2434</v>
          </cell>
          <cell r="S836">
            <v>0</v>
          </cell>
          <cell r="T836">
            <v>1734</v>
          </cell>
          <cell r="U836">
            <v>34354</v>
          </cell>
          <cell r="V836">
            <v>94</v>
          </cell>
          <cell r="W836">
            <v>0</v>
          </cell>
          <cell r="X836">
            <v>0</v>
          </cell>
          <cell r="Y836">
            <v>913</v>
          </cell>
          <cell r="Z836">
            <v>171722</v>
          </cell>
          <cell r="AA836">
            <v>176897</v>
          </cell>
          <cell r="AB836" t="str">
            <v>ERSU</v>
          </cell>
          <cell r="AC836">
            <v>1101</v>
          </cell>
          <cell r="AD836">
            <v>2</v>
          </cell>
          <cell r="AE836">
            <v>8404</v>
          </cell>
        </row>
        <row r="837">
          <cell r="A837" t="str">
            <v>SMA</v>
          </cell>
          <cell r="B837">
            <v>5</v>
          </cell>
          <cell r="C837" t="str">
            <v>DRMN</v>
          </cell>
          <cell r="D837">
            <v>51</v>
          </cell>
          <cell r="E837">
            <v>1</v>
          </cell>
          <cell r="F837" t="str">
            <v xml:space="preserve">B </v>
          </cell>
          <cell r="G837">
            <v>9</v>
          </cell>
          <cell r="H837">
            <v>38</v>
          </cell>
          <cell r="I837">
            <v>12496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268196</v>
          </cell>
          <cell r="P837">
            <v>0</v>
          </cell>
          <cell r="Q837">
            <v>0</v>
          </cell>
          <cell r="R837">
            <v>3481</v>
          </cell>
          <cell r="S837">
            <v>0</v>
          </cell>
          <cell r="T837">
            <v>-3961</v>
          </cell>
          <cell r="U837">
            <v>67043</v>
          </cell>
          <cell r="V837">
            <v>0</v>
          </cell>
          <cell r="W837">
            <v>0</v>
          </cell>
          <cell r="X837">
            <v>0</v>
          </cell>
          <cell r="Y837">
            <v>6931</v>
          </cell>
          <cell r="Z837">
            <v>268196</v>
          </cell>
          <cell r="AA837">
            <v>274647</v>
          </cell>
          <cell r="AB837" t="str">
            <v>ERSU</v>
          </cell>
          <cell r="AC837">
            <v>1101</v>
          </cell>
          <cell r="AD837">
            <v>2</v>
          </cell>
          <cell r="AE837">
            <v>12496</v>
          </cell>
        </row>
        <row r="838">
          <cell r="A838" t="str">
            <v>SMA</v>
          </cell>
          <cell r="B838">
            <v>5</v>
          </cell>
          <cell r="C838" t="str">
            <v>DRMN</v>
          </cell>
          <cell r="D838">
            <v>51</v>
          </cell>
          <cell r="E838">
            <v>1</v>
          </cell>
          <cell r="F838" t="str">
            <v xml:space="preserve">B </v>
          </cell>
          <cell r="G838">
            <v>10</v>
          </cell>
          <cell r="H838">
            <v>15</v>
          </cell>
          <cell r="I838">
            <v>145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3114</v>
          </cell>
          <cell r="P838">
            <v>0</v>
          </cell>
          <cell r="Q838">
            <v>0</v>
          </cell>
          <cell r="R838">
            <v>15</v>
          </cell>
          <cell r="S838">
            <v>0</v>
          </cell>
          <cell r="T838">
            <v>-32</v>
          </cell>
          <cell r="U838">
            <v>781</v>
          </cell>
          <cell r="V838">
            <v>0</v>
          </cell>
          <cell r="W838">
            <v>0</v>
          </cell>
          <cell r="X838">
            <v>0</v>
          </cell>
          <cell r="Y838">
            <v>-4688</v>
          </cell>
          <cell r="Z838">
            <v>3114</v>
          </cell>
          <cell r="AA838">
            <v>-1591</v>
          </cell>
          <cell r="AB838" t="str">
            <v>ERSU</v>
          </cell>
          <cell r="AC838">
            <v>1101</v>
          </cell>
          <cell r="AD838">
            <v>2</v>
          </cell>
          <cell r="AE838">
            <v>145</v>
          </cell>
        </row>
        <row r="839">
          <cell r="A839" t="str">
            <v>SMA</v>
          </cell>
          <cell r="B839">
            <v>5</v>
          </cell>
          <cell r="C839" t="str">
            <v>DRMN</v>
          </cell>
          <cell r="D839">
            <v>51</v>
          </cell>
          <cell r="E839">
            <v>1</v>
          </cell>
          <cell r="F839" t="str">
            <v xml:space="preserve">B </v>
          </cell>
          <cell r="G839">
            <v>11</v>
          </cell>
          <cell r="H839">
            <v>1085</v>
          </cell>
          <cell r="I839">
            <v>23436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132063</v>
          </cell>
          <cell r="P839">
            <v>0</v>
          </cell>
          <cell r="Q839">
            <v>0</v>
          </cell>
          <cell r="R839">
            <v>1341</v>
          </cell>
          <cell r="S839">
            <v>0</v>
          </cell>
          <cell r="T839">
            <v>12062</v>
          </cell>
          <cell r="U839">
            <v>0</v>
          </cell>
          <cell r="V839">
            <v>3008</v>
          </cell>
          <cell r="W839">
            <v>0</v>
          </cell>
          <cell r="X839">
            <v>0</v>
          </cell>
          <cell r="Y839">
            <v>13673</v>
          </cell>
          <cell r="Z839">
            <v>132063</v>
          </cell>
          <cell r="AA839">
            <v>162147</v>
          </cell>
          <cell r="AB839" t="str">
            <v>ERSU</v>
          </cell>
          <cell r="AC839">
            <v>1101</v>
          </cell>
          <cell r="AD839">
            <v>2</v>
          </cell>
          <cell r="AE839">
            <v>15392</v>
          </cell>
        </row>
        <row r="840">
          <cell r="A840" t="str">
            <v>SMA</v>
          </cell>
          <cell r="B840">
            <v>5</v>
          </cell>
          <cell r="C840" t="str">
            <v>DRMN</v>
          </cell>
          <cell r="D840">
            <v>51</v>
          </cell>
          <cell r="E840">
            <v>1</v>
          </cell>
          <cell r="F840" t="str">
            <v xml:space="preserve">B </v>
          </cell>
          <cell r="G840">
            <v>12</v>
          </cell>
          <cell r="H840">
            <v>549</v>
          </cell>
          <cell r="I840">
            <v>29093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258879</v>
          </cell>
          <cell r="P840">
            <v>0</v>
          </cell>
          <cell r="Q840">
            <v>0</v>
          </cell>
          <cell r="R840">
            <v>2402</v>
          </cell>
          <cell r="S840">
            <v>0</v>
          </cell>
          <cell r="T840">
            <v>13415</v>
          </cell>
          <cell r="U840">
            <v>44042</v>
          </cell>
          <cell r="V840">
            <v>3008</v>
          </cell>
          <cell r="W840">
            <v>0</v>
          </cell>
          <cell r="X840">
            <v>0</v>
          </cell>
          <cell r="Y840">
            <v>27198</v>
          </cell>
          <cell r="Z840">
            <v>258879</v>
          </cell>
          <cell r="AA840">
            <v>304902</v>
          </cell>
          <cell r="AB840" t="str">
            <v>ERSU</v>
          </cell>
          <cell r="AC840">
            <v>1101</v>
          </cell>
          <cell r="AD840">
            <v>2</v>
          </cell>
          <cell r="AE840">
            <v>29093</v>
          </cell>
        </row>
        <row r="841">
          <cell r="A841" t="str">
            <v>SMA</v>
          </cell>
          <cell r="B841">
            <v>5</v>
          </cell>
          <cell r="C841" t="str">
            <v>DRMN</v>
          </cell>
          <cell r="D841">
            <v>51</v>
          </cell>
          <cell r="E841">
            <v>1</v>
          </cell>
          <cell r="F841" t="str">
            <v xml:space="preserve">B </v>
          </cell>
          <cell r="G841">
            <v>13</v>
          </cell>
          <cell r="H841">
            <v>19</v>
          </cell>
          <cell r="I841">
            <v>2211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27702</v>
          </cell>
          <cell r="P841">
            <v>0</v>
          </cell>
          <cell r="Q841">
            <v>0</v>
          </cell>
          <cell r="R841">
            <v>188</v>
          </cell>
          <cell r="S841">
            <v>0</v>
          </cell>
          <cell r="T841">
            <v>0</v>
          </cell>
          <cell r="U841">
            <v>4710</v>
          </cell>
          <cell r="V841">
            <v>94</v>
          </cell>
          <cell r="W841">
            <v>0</v>
          </cell>
          <cell r="X841">
            <v>0</v>
          </cell>
          <cell r="Y841">
            <v>2886</v>
          </cell>
          <cell r="Z841">
            <v>27702</v>
          </cell>
          <cell r="AA841">
            <v>30870</v>
          </cell>
          <cell r="AB841" t="str">
            <v>ERSU</v>
          </cell>
          <cell r="AC841">
            <v>1101</v>
          </cell>
          <cell r="AD841">
            <v>2</v>
          </cell>
          <cell r="AE841">
            <v>2211</v>
          </cell>
        </row>
        <row r="842">
          <cell r="A842" t="str">
            <v>SMA</v>
          </cell>
          <cell r="B842">
            <v>5</v>
          </cell>
          <cell r="C842" t="str">
            <v>DRMN</v>
          </cell>
          <cell r="D842">
            <v>51</v>
          </cell>
          <cell r="E842">
            <v>1</v>
          </cell>
          <cell r="F842" t="str">
            <v xml:space="preserve">B </v>
          </cell>
          <cell r="G842">
            <v>14</v>
          </cell>
          <cell r="H842">
            <v>2</v>
          </cell>
          <cell r="I842">
            <v>304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3897</v>
          </cell>
          <cell r="P842">
            <v>0</v>
          </cell>
          <cell r="Q842">
            <v>0</v>
          </cell>
          <cell r="R842">
            <v>13</v>
          </cell>
          <cell r="S842">
            <v>0</v>
          </cell>
          <cell r="T842">
            <v>0</v>
          </cell>
          <cell r="U842">
            <v>663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3897</v>
          </cell>
          <cell r="AA842">
            <v>3910</v>
          </cell>
          <cell r="AB842" t="str">
            <v>ERSU</v>
          </cell>
          <cell r="AC842">
            <v>1101</v>
          </cell>
          <cell r="AD842">
            <v>2</v>
          </cell>
          <cell r="AE842">
            <v>304</v>
          </cell>
        </row>
        <row r="843">
          <cell r="A843" t="str">
            <v>SMA</v>
          </cell>
          <cell r="B843">
            <v>5</v>
          </cell>
          <cell r="C843" t="str">
            <v>DRMN</v>
          </cell>
          <cell r="D843">
            <v>51</v>
          </cell>
          <cell r="E843">
            <v>1</v>
          </cell>
          <cell r="F843" t="str">
            <v xml:space="preserve">B </v>
          </cell>
          <cell r="G843">
            <v>15</v>
          </cell>
          <cell r="H843">
            <v>1</v>
          </cell>
          <cell r="I843">
            <v>-324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-6954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-1738</v>
          </cell>
          <cell r="V843">
            <v>0</v>
          </cell>
          <cell r="W843">
            <v>0</v>
          </cell>
          <cell r="X843">
            <v>0</v>
          </cell>
          <cell r="Y843">
            <v>-1402</v>
          </cell>
          <cell r="Z843">
            <v>-6954</v>
          </cell>
          <cell r="AA843">
            <v>-8356</v>
          </cell>
          <cell r="AB843" t="str">
            <v>ERSU</v>
          </cell>
          <cell r="AC843">
            <v>1101</v>
          </cell>
          <cell r="AD843">
            <v>2</v>
          </cell>
          <cell r="AE843">
            <v>-324</v>
          </cell>
        </row>
        <row r="844">
          <cell r="A844" t="str">
            <v>SMA</v>
          </cell>
          <cell r="B844">
            <v>5</v>
          </cell>
          <cell r="C844" t="str">
            <v>DRMN</v>
          </cell>
          <cell r="D844">
            <v>51</v>
          </cell>
          <cell r="E844">
            <v>2</v>
          </cell>
          <cell r="F844" t="str">
            <v>A4</v>
          </cell>
          <cell r="G844">
            <v>21</v>
          </cell>
          <cell r="H844">
            <v>1</v>
          </cell>
          <cell r="I844">
            <v>57724</v>
          </cell>
          <cell r="J844">
            <v>1702</v>
          </cell>
          <cell r="K844">
            <v>56022</v>
          </cell>
          <cell r="L844">
            <v>340</v>
          </cell>
          <cell r="M844">
            <v>340</v>
          </cell>
          <cell r="N844">
            <v>0</v>
          </cell>
          <cell r="O844">
            <v>466378</v>
          </cell>
          <cell r="P844">
            <v>234827</v>
          </cell>
          <cell r="Q844">
            <v>20230</v>
          </cell>
          <cell r="R844">
            <v>15813</v>
          </cell>
          <cell r="S844">
            <v>0</v>
          </cell>
          <cell r="T844">
            <v>0</v>
          </cell>
          <cell r="U844">
            <v>180359</v>
          </cell>
          <cell r="V844">
            <v>0</v>
          </cell>
          <cell r="W844">
            <v>0</v>
          </cell>
          <cell r="X844">
            <v>0</v>
          </cell>
          <cell r="Y844">
            <v>1726</v>
          </cell>
          <cell r="Z844">
            <v>721435</v>
          </cell>
          <cell r="AA844">
            <v>738974</v>
          </cell>
          <cell r="AB844" t="str">
            <v>ERSU</v>
          </cell>
          <cell r="AC844">
            <v>1101</v>
          </cell>
          <cell r="AD844">
            <v>2</v>
          </cell>
          <cell r="AE844">
            <v>57724</v>
          </cell>
        </row>
        <row r="845">
          <cell r="A845" t="str">
            <v>SMA</v>
          </cell>
          <cell r="B845">
            <v>5</v>
          </cell>
          <cell r="C845" t="str">
            <v>DRMN</v>
          </cell>
          <cell r="D845">
            <v>51</v>
          </cell>
          <cell r="E845">
            <v>2</v>
          </cell>
          <cell r="F845" t="str">
            <v>A4</v>
          </cell>
          <cell r="G845">
            <v>20</v>
          </cell>
          <cell r="H845">
            <v>10</v>
          </cell>
          <cell r="I845">
            <v>120015</v>
          </cell>
          <cell r="J845">
            <v>0</v>
          </cell>
          <cell r="K845">
            <v>0</v>
          </cell>
          <cell r="L845">
            <v>951</v>
          </cell>
          <cell r="M845">
            <v>0</v>
          </cell>
          <cell r="N845">
            <v>0</v>
          </cell>
          <cell r="O845">
            <v>1377134</v>
          </cell>
          <cell r="P845">
            <v>744317</v>
          </cell>
          <cell r="Q845">
            <v>155092</v>
          </cell>
          <cell r="R845">
            <v>34456</v>
          </cell>
          <cell r="S845">
            <v>0</v>
          </cell>
          <cell r="T845">
            <v>221364</v>
          </cell>
          <cell r="U845">
            <v>593010</v>
          </cell>
          <cell r="V845">
            <v>0</v>
          </cell>
          <cell r="W845">
            <v>95485</v>
          </cell>
          <cell r="X845">
            <v>0</v>
          </cell>
          <cell r="Y845">
            <v>12268</v>
          </cell>
          <cell r="Z845">
            <v>2372028</v>
          </cell>
          <cell r="AA845">
            <v>2640116</v>
          </cell>
          <cell r="AB845" t="str">
            <v>ERSU</v>
          </cell>
          <cell r="AC845">
            <v>1101</v>
          </cell>
          <cell r="AD845">
            <v>2</v>
          </cell>
          <cell r="AE845">
            <v>120015</v>
          </cell>
        </row>
        <row r="846">
          <cell r="A846" t="str">
            <v>SMA</v>
          </cell>
          <cell r="B846">
            <v>5</v>
          </cell>
          <cell r="C846" t="str">
            <v>DRMN</v>
          </cell>
          <cell r="D846">
            <v>51</v>
          </cell>
          <cell r="E846">
            <v>2</v>
          </cell>
          <cell r="F846" t="str">
            <v xml:space="preserve">B </v>
          </cell>
          <cell r="G846">
            <v>0</v>
          </cell>
          <cell r="H846">
            <v>250</v>
          </cell>
          <cell r="I846">
            <v>119236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2484352</v>
          </cell>
          <cell r="P846">
            <v>0</v>
          </cell>
          <cell r="Q846">
            <v>0</v>
          </cell>
          <cell r="R846">
            <v>29103</v>
          </cell>
          <cell r="S846">
            <v>0</v>
          </cell>
          <cell r="T846">
            <v>773198</v>
          </cell>
          <cell r="U846">
            <v>608941</v>
          </cell>
          <cell r="V846">
            <v>94</v>
          </cell>
          <cell r="W846">
            <v>0</v>
          </cell>
          <cell r="X846">
            <v>0</v>
          </cell>
          <cell r="Y846">
            <v>32769</v>
          </cell>
          <cell r="Z846">
            <v>2484352</v>
          </cell>
          <cell r="AA846">
            <v>3319516</v>
          </cell>
          <cell r="AB846" t="str">
            <v>ERSU</v>
          </cell>
          <cell r="AC846">
            <v>1101</v>
          </cell>
          <cell r="AD846">
            <v>2</v>
          </cell>
          <cell r="AE846">
            <v>115734</v>
          </cell>
        </row>
        <row r="847">
          <cell r="A847" t="str">
            <v>SMA</v>
          </cell>
          <cell r="B847">
            <v>5</v>
          </cell>
          <cell r="C847" t="str">
            <v>DRMN</v>
          </cell>
          <cell r="D847">
            <v>51</v>
          </cell>
          <cell r="E847">
            <v>3</v>
          </cell>
          <cell r="F847" t="str">
            <v>A4</v>
          </cell>
          <cell r="G847">
            <v>21</v>
          </cell>
          <cell r="H847">
            <v>2</v>
          </cell>
          <cell r="I847">
            <v>12433</v>
          </cell>
          <cell r="J847">
            <v>970</v>
          </cell>
          <cell r="K847">
            <v>11463</v>
          </cell>
          <cell r="L847">
            <v>110</v>
          </cell>
          <cell r="M847">
            <v>110</v>
          </cell>
          <cell r="N847">
            <v>0</v>
          </cell>
          <cell r="O847">
            <v>133648</v>
          </cell>
          <cell r="P847">
            <v>75973</v>
          </cell>
          <cell r="Q847">
            <v>2764</v>
          </cell>
          <cell r="R847">
            <v>0</v>
          </cell>
          <cell r="S847">
            <v>0</v>
          </cell>
          <cell r="T847">
            <v>0</v>
          </cell>
          <cell r="U847">
            <v>53097</v>
          </cell>
          <cell r="V847">
            <v>0</v>
          </cell>
          <cell r="W847">
            <v>0</v>
          </cell>
          <cell r="X847">
            <v>0</v>
          </cell>
          <cell r="Y847">
            <v>4936</v>
          </cell>
          <cell r="Z847">
            <v>212385</v>
          </cell>
          <cell r="AA847">
            <v>217321</v>
          </cell>
          <cell r="AB847" t="str">
            <v>ERSU</v>
          </cell>
          <cell r="AC847">
            <v>1101</v>
          </cell>
          <cell r="AD847">
            <v>2</v>
          </cell>
          <cell r="AE847">
            <v>12433</v>
          </cell>
        </row>
        <row r="848">
          <cell r="A848" t="str">
            <v>SMA</v>
          </cell>
          <cell r="B848">
            <v>5</v>
          </cell>
          <cell r="C848" t="str">
            <v>DRMN</v>
          </cell>
          <cell r="D848">
            <v>51</v>
          </cell>
          <cell r="E848">
            <v>3</v>
          </cell>
          <cell r="F848" t="str">
            <v>A4</v>
          </cell>
          <cell r="G848">
            <v>20</v>
          </cell>
          <cell r="H848">
            <v>2</v>
          </cell>
          <cell r="I848">
            <v>35055</v>
          </cell>
          <cell r="J848">
            <v>0</v>
          </cell>
          <cell r="K848">
            <v>0</v>
          </cell>
          <cell r="L848">
            <v>110</v>
          </cell>
          <cell r="M848">
            <v>0</v>
          </cell>
          <cell r="N848">
            <v>0</v>
          </cell>
          <cell r="O848">
            <v>402244</v>
          </cell>
          <cell r="P848">
            <v>86093</v>
          </cell>
          <cell r="Q848">
            <v>27665</v>
          </cell>
          <cell r="R848">
            <v>0</v>
          </cell>
          <cell r="S848">
            <v>0</v>
          </cell>
          <cell r="T848">
            <v>0</v>
          </cell>
          <cell r="U848">
            <v>129979</v>
          </cell>
          <cell r="V848">
            <v>0</v>
          </cell>
          <cell r="W848">
            <v>3913</v>
          </cell>
          <cell r="X848">
            <v>0</v>
          </cell>
          <cell r="Y848">
            <v>4936</v>
          </cell>
          <cell r="Z848">
            <v>519915</v>
          </cell>
          <cell r="AA848">
            <v>524851</v>
          </cell>
          <cell r="AB848" t="str">
            <v>ERSU</v>
          </cell>
          <cell r="AC848">
            <v>1101</v>
          </cell>
          <cell r="AD848">
            <v>2</v>
          </cell>
          <cell r="AE848">
            <v>35055</v>
          </cell>
        </row>
        <row r="849">
          <cell r="A849" t="str">
            <v>SMA</v>
          </cell>
          <cell r="B849">
            <v>5</v>
          </cell>
          <cell r="C849" t="str">
            <v>DRMN</v>
          </cell>
          <cell r="D849">
            <v>51</v>
          </cell>
          <cell r="E849">
            <v>3</v>
          </cell>
          <cell r="F849" t="str">
            <v xml:space="preserve">B </v>
          </cell>
          <cell r="G849">
            <v>0</v>
          </cell>
          <cell r="H849">
            <v>2086</v>
          </cell>
          <cell r="I849">
            <v>346368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7175919</v>
          </cell>
          <cell r="P849">
            <v>0</v>
          </cell>
          <cell r="Q849">
            <v>0</v>
          </cell>
          <cell r="R849">
            <v>84773</v>
          </cell>
          <cell r="S849">
            <v>0</v>
          </cell>
          <cell r="T849">
            <v>351726</v>
          </cell>
          <cell r="U849">
            <v>1765999</v>
          </cell>
          <cell r="V849">
            <v>6024</v>
          </cell>
          <cell r="W849">
            <v>0</v>
          </cell>
          <cell r="X849">
            <v>0</v>
          </cell>
          <cell r="Y849">
            <v>250149</v>
          </cell>
          <cell r="Z849">
            <v>7175919</v>
          </cell>
          <cell r="AA849">
            <v>7868591</v>
          </cell>
          <cell r="AB849" t="str">
            <v>ERSU</v>
          </cell>
          <cell r="AC849">
            <v>1101</v>
          </cell>
          <cell r="AD849">
            <v>2</v>
          </cell>
          <cell r="AE849">
            <v>332363</v>
          </cell>
        </row>
        <row r="850">
          <cell r="A850" t="str">
            <v>SMA</v>
          </cell>
          <cell r="B850">
            <v>5</v>
          </cell>
          <cell r="C850" t="str">
            <v>DRMN</v>
          </cell>
          <cell r="D850">
            <v>51</v>
          </cell>
          <cell r="E850">
            <v>4</v>
          </cell>
          <cell r="F850" t="str">
            <v xml:space="preserve">B </v>
          </cell>
          <cell r="G850">
            <v>0</v>
          </cell>
          <cell r="H850">
            <v>1278</v>
          </cell>
          <cell r="I850">
            <v>190469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1871863</v>
          </cell>
          <cell r="P850">
            <v>0</v>
          </cell>
          <cell r="Q850">
            <v>0</v>
          </cell>
          <cell r="R850">
            <v>141</v>
          </cell>
          <cell r="S850">
            <v>0</v>
          </cell>
          <cell r="T850">
            <v>209415</v>
          </cell>
          <cell r="U850">
            <v>0</v>
          </cell>
          <cell r="V850">
            <v>106035</v>
          </cell>
          <cell r="W850">
            <v>0</v>
          </cell>
          <cell r="X850">
            <v>0</v>
          </cell>
          <cell r="Y850">
            <v>0</v>
          </cell>
          <cell r="Z850">
            <v>1871863</v>
          </cell>
          <cell r="AA850">
            <v>2187454</v>
          </cell>
          <cell r="AB850" t="str">
            <v>ERSU</v>
          </cell>
          <cell r="AC850">
            <v>1101</v>
          </cell>
          <cell r="AD850">
            <v>2</v>
          </cell>
          <cell r="AE850">
            <v>180658</v>
          </cell>
        </row>
        <row r="851">
          <cell r="A851" t="str">
            <v>SMA</v>
          </cell>
          <cell r="B851">
            <v>5</v>
          </cell>
          <cell r="C851" t="str">
            <v>DRMN</v>
          </cell>
          <cell r="D851">
            <v>51</v>
          </cell>
          <cell r="E851">
            <v>5</v>
          </cell>
          <cell r="F851" t="str">
            <v>A4</v>
          </cell>
          <cell r="G851">
            <v>20</v>
          </cell>
          <cell r="H851">
            <v>3</v>
          </cell>
          <cell r="I851">
            <v>25595</v>
          </cell>
          <cell r="J851">
            <v>0</v>
          </cell>
          <cell r="K851">
            <v>0</v>
          </cell>
          <cell r="L851">
            <v>115</v>
          </cell>
          <cell r="M851">
            <v>0</v>
          </cell>
          <cell r="N851">
            <v>0</v>
          </cell>
          <cell r="O851">
            <v>293695</v>
          </cell>
          <cell r="P851">
            <v>90007</v>
          </cell>
          <cell r="Q851">
            <v>25301</v>
          </cell>
          <cell r="R851">
            <v>2852</v>
          </cell>
          <cell r="S851">
            <v>0</v>
          </cell>
          <cell r="T851">
            <v>0</v>
          </cell>
          <cell r="U851">
            <v>104599</v>
          </cell>
          <cell r="V851">
            <v>0</v>
          </cell>
          <cell r="W851">
            <v>9392</v>
          </cell>
          <cell r="X851">
            <v>0</v>
          </cell>
          <cell r="Y851">
            <v>0</v>
          </cell>
          <cell r="Z851">
            <v>418395</v>
          </cell>
          <cell r="AA851">
            <v>421247</v>
          </cell>
          <cell r="AB851" t="str">
            <v>ERSU</v>
          </cell>
          <cell r="AC851">
            <v>1101</v>
          </cell>
          <cell r="AD851">
            <v>2</v>
          </cell>
          <cell r="AE851">
            <v>25595</v>
          </cell>
        </row>
        <row r="852">
          <cell r="A852" t="str">
            <v>SMA</v>
          </cell>
          <cell r="B852">
            <v>5</v>
          </cell>
          <cell r="C852" t="str">
            <v>DRMN</v>
          </cell>
          <cell r="D852">
            <v>51</v>
          </cell>
          <cell r="E852">
            <v>5</v>
          </cell>
          <cell r="F852" t="str">
            <v xml:space="preserve">B </v>
          </cell>
          <cell r="G852">
            <v>0</v>
          </cell>
          <cell r="H852">
            <v>471</v>
          </cell>
          <cell r="I852">
            <v>91206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1819473</v>
          </cell>
          <cell r="P852">
            <v>0</v>
          </cell>
          <cell r="Q852">
            <v>0</v>
          </cell>
          <cell r="R852">
            <v>17396</v>
          </cell>
          <cell r="S852">
            <v>0</v>
          </cell>
          <cell r="T852">
            <v>471570</v>
          </cell>
          <cell r="U852">
            <v>392196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1819473</v>
          </cell>
          <cell r="AA852">
            <v>2308439</v>
          </cell>
          <cell r="AB852" t="str">
            <v>ERSU</v>
          </cell>
          <cell r="AC852">
            <v>1101</v>
          </cell>
          <cell r="AD852">
            <v>2</v>
          </cell>
          <cell r="AE852">
            <v>88764</v>
          </cell>
        </row>
        <row r="853">
          <cell r="A853" t="str">
            <v>SMA</v>
          </cell>
          <cell r="B853">
            <v>5</v>
          </cell>
          <cell r="C853" t="str">
            <v>DRMN</v>
          </cell>
          <cell r="D853">
            <v>51</v>
          </cell>
          <cell r="E853">
            <v>6</v>
          </cell>
          <cell r="F853" t="str">
            <v xml:space="preserve">B </v>
          </cell>
          <cell r="G853">
            <v>0</v>
          </cell>
          <cell r="H853">
            <v>43</v>
          </cell>
          <cell r="I853">
            <v>443404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5220348</v>
          </cell>
          <cell r="P853">
            <v>0</v>
          </cell>
          <cell r="Q853">
            <v>0</v>
          </cell>
          <cell r="R853">
            <v>40455</v>
          </cell>
          <cell r="S853">
            <v>0</v>
          </cell>
          <cell r="T853">
            <v>0</v>
          </cell>
          <cell r="U853">
            <v>1305087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5220348</v>
          </cell>
          <cell r="AA853">
            <v>5260803</v>
          </cell>
          <cell r="AB853" t="str">
            <v>ERSU</v>
          </cell>
          <cell r="AC853">
            <v>1101</v>
          </cell>
          <cell r="AD853">
            <v>2</v>
          </cell>
          <cell r="AE853">
            <v>443404</v>
          </cell>
        </row>
        <row r="854">
          <cell r="A854" t="str">
            <v>SMA</v>
          </cell>
          <cell r="B854">
            <v>5</v>
          </cell>
          <cell r="C854" t="str">
            <v>DRMN</v>
          </cell>
          <cell r="D854">
            <v>51</v>
          </cell>
          <cell r="E854">
            <v>7</v>
          </cell>
          <cell r="F854" t="str">
            <v>A4</v>
          </cell>
          <cell r="G854">
            <v>22</v>
          </cell>
          <cell r="H854">
            <v>2</v>
          </cell>
          <cell r="I854">
            <v>451171</v>
          </cell>
          <cell r="J854">
            <v>32133</v>
          </cell>
          <cell r="K854">
            <v>419038</v>
          </cell>
          <cell r="L854">
            <v>2484</v>
          </cell>
          <cell r="M854">
            <v>1242</v>
          </cell>
          <cell r="N854">
            <v>1242</v>
          </cell>
          <cell r="O854">
            <v>2670625</v>
          </cell>
          <cell r="P854">
            <v>2914560</v>
          </cell>
          <cell r="Q854">
            <v>253695</v>
          </cell>
          <cell r="R854">
            <v>0</v>
          </cell>
          <cell r="S854">
            <v>0</v>
          </cell>
          <cell r="T854">
            <v>0</v>
          </cell>
          <cell r="U854">
            <v>1462507</v>
          </cell>
          <cell r="V854">
            <v>0</v>
          </cell>
          <cell r="W854">
            <v>11147</v>
          </cell>
          <cell r="X854">
            <v>0</v>
          </cell>
          <cell r="Y854">
            <v>0</v>
          </cell>
          <cell r="Z854">
            <v>5850027</v>
          </cell>
          <cell r="AA854">
            <v>5850027</v>
          </cell>
          <cell r="AB854" t="str">
            <v>ERSU</v>
          </cell>
          <cell r="AC854">
            <v>1101</v>
          </cell>
          <cell r="AD854">
            <v>2</v>
          </cell>
          <cell r="AE854">
            <v>451171</v>
          </cell>
        </row>
        <row r="855">
          <cell r="A855" t="str">
            <v>SMA</v>
          </cell>
          <cell r="B855">
            <v>5</v>
          </cell>
          <cell r="C855" t="str">
            <v>DRMN</v>
          </cell>
          <cell r="D855">
            <v>51</v>
          </cell>
          <cell r="E855">
            <v>7</v>
          </cell>
          <cell r="F855" t="str">
            <v>A4</v>
          </cell>
          <cell r="G855">
            <v>20</v>
          </cell>
          <cell r="H855">
            <v>2</v>
          </cell>
          <cell r="I855">
            <v>289996</v>
          </cell>
          <cell r="J855">
            <v>0</v>
          </cell>
          <cell r="K855">
            <v>0</v>
          </cell>
          <cell r="L855">
            <v>458</v>
          </cell>
          <cell r="M855">
            <v>0</v>
          </cell>
          <cell r="N855">
            <v>0</v>
          </cell>
          <cell r="O855">
            <v>2828427</v>
          </cell>
          <cell r="P855">
            <v>304112</v>
          </cell>
          <cell r="Q855">
            <v>266500</v>
          </cell>
          <cell r="R855">
            <v>0</v>
          </cell>
          <cell r="S855">
            <v>0</v>
          </cell>
          <cell r="T855">
            <v>0</v>
          </cell>
          <cell r="U855">
            <v>856898</v>
          </cell>
          <cell r="V855">
            <v>0</v>
          </cell>
          <cell r="W855">
            <v>28552</v>
          </cell>
          <cell r="X855">
            <v>0</v>
          </cell>
          <cell r="Y855">
            <v>0</v>
          </cell>
          <cell r="Z855">
            <v>3427591</v>
          </cell>
          <cell r="AA855">
            <v>3427591</v>
          </cell>
          <cell r="AB855" t="str">
            <v>ERSU</v>
          </cell>
          <cell r="AC855">
            <v>1101</v>
          </cell>
          <cell r="AD855">
            <v>2</v>
          </cell>
          <cell r="AE855">
            <v>289996</v>
          </cell>
        </row>
        <row r="856">
          <cell r="A856" t="str">
            <v>SMA</v>
          </cell>
          <cell r="B856">
            <v>5</v>
          </cell>
          <cell r="C856" t="str">
            <v>DRMN</v>
          </cell>
          <cell r="D856">
            <v>51</v>
          </cell>
          <cell r="E856">
            <v>7</v>
          </cell>
          <cell r="F856" t="str">
            <v xml:space="preserve">B </v>
          </cell>
          <cell r="G856">
            <v>0</v>
          </cell>
          <cell r="H856">
            <v>11</v>
          </cell>
          <cell r="I856">
            <v>34074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602926</v>
          </cell>
          <cell r="P856">
            <v>0</v>
          </cell>
          <cell r="Q856">
            <v>0</v>
          </cell>
          <cell r="R856">
            <v>13903</v>
          </cell>
          <cell r="S856">
            <v>0</v>
          </cell>
          <cell r="T856">
            <v>0</v>
          </cell>
          <cell r="U856">
            <v>150731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602926</v>
          </cell>
          <cell r="AA856">
            <v>616829</v>
          </cell>
          <cell r="AB856" t="str">
            <v>ERSU</v>
          </cell>
          <cell r="AC856">
            <v>1101</v>
          </cell>
          <cell r="AD856">
            <v>2</v>
          </cell>
          <cell r="AE856">
            <v>33943</v>
          </cell>
        </row>
        <row r="857">
          <cell r="A857" t="str">
            <v>SMA</v>
          </cell>
          <cell r="B857">
            <v>5</v>
          </cell>
          <cell r="C857" t="str">
            <v>DRMN</v>
          </cell>
          <cell r="D857">
            <v>51</v>
          </cell>
          <cell r="E857">
            <v>8</v>
          </cell>
          <cell r="F857" t="str">
            <v xml:space="preserve">B </v>
          </cell>
          <cell r="G857">
            <v>0</v>
          </cell>
          <cell r="H857">
            <v>7</v>
          </cell>
          <cell r="I857">
            <v>4239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88247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22061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88247</v>
          </cell>
          <cell r="AA857">
            <v>88247</v>
          </cell>
          <cell r="AB857" t="str">
            <v>ERSU</v>
          </cell>
          <cell r="AC857">
            <v>1101</v>
          </cell>
          <cell r="AD857">
            <v>2</v>
          </cell>
          <cell r="AE857">
            <v>4109</v>
          </cell>
        </row>
        <row r="858">
          <cell r="A858" t="str">
            <v>SMA</v>
          </cell>
          <cell r="B858">
            <v>5</v>
          </cell>
          <cell r="C858" t="str">
            <v>DRMN</v>
          </cell>
          <cell r="D858">
            <v>51</v>
          </cell>
          <cell r="E858">
            <v>90</v>
          </cell>
          <cell r="F858" t="str">
            <v>A4</v>
          </cell>
          <cell r="G858">
            <v>20</v>
          </cell>
          <cell r="H858">
            <v>4</v>
          </cell>
          <cell r="I858">
            <v>232936</v>
          </cell>
          <cell r="J858">
            <v>0</v>
          </cell>
          <cell r="K858">
            <v>0</v>
          </cell>
          <cell r="L858">
            <v>1036</v>
          </cell>
          <cell r="M858">
            <v>0</v>
          </cell>
          <cell r="N858">
            <v>0</v>
          </cell>
          <cell r="O858">
            <v>618678</v>
          </cell>
          <cell r="P858">
            <v>889924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1508602</v>
          </cell>
          <cell r="AA858">
            <v>1508602</v>
          </cell>
          <cell r="AB858" t="str">
            <v>ERSU</v>
          </cell>
          <cell r="AC858">
            <v>1101</v>
          </cell>
          <cell r="AD858">
            <v>2</v>
          </cell>
          <cell r="AE858">
            <v>232936</v>
          </cell>
        </row>
        <row r="859">
          <cell r="A859" t="str">
            <v>SMA</v>
          </cell>
          <cell r="B859">
            <v>5</v>
          </cell>
          <cell r="C859" t="str">
            <v>DRMN</v>
          </cell>
          <cell r="D859">
            <v>52</v>
          </cell>
          <cell r="E859">
            <v>1</v>
          </cell>
          <cell r="F859" t="str">
            <v xml:space="preserve">B </v>
          </cell>
          <cell r="G859">
            <v>1</v>
          </cell>
          <cell r="H859">
            <v>7097</v>
          </cell>
          <cell r="I859">
            <v>144904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2336667</v>
          </cell>
          <cell r="P859">
            <v>0</v>
          </cell>
          <cell r="Q859">
            <v>0</v>
          </cell>
          <cell r="R859">
            <v>19151</v>
          </cell>
          <cell r="S859">
            <v>0</v>
          </cell>
          <cell r="T859">
            <v>151486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5868</v>
          </cell>
          <cell r="Z859">
            <v>2336667</v>
          </cell>
          <cell r="AA859">
            <v>2513172</v>
          </cell>
          <cell r="AB859" t="str">
            <v>ERTB</v>
          </cell>
          <cell r="AC859">
            <v>1101</v>
          </cell>
          <cell r="AD859">
            <v>2</v>
          </cell>
          <cell r="AE859">
            <v>114446</v>
          </cell>
        </row>
        <row r="860">
          <cell r="A860" t="str">
            <v>SMA</v>
          </cell>
          <cell r="B860">
            <v>5</v>
          </cell>
          <cell r="C860" t="str">
            <v>DRMN</v>
          </cell>
          <cell r="D860">
            <v>52</v>
          </cell>
          <cell r="E860">
            <v>1</v>
          </cell>
          <cell r="F860" t="str">
            <v xml:space="preserve">B </v>
          </cell>
          <cell r="G860">
            <v>2</v>
          </cell>
          <cell r="H860">
            <v>3864</v>
          </cell>
          <cell r="I860">
            <v>158383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3071803</v>
          </cell>
          <cell r="P860">
            <v>0</v>
          </cell>
          <cell r="Q860">
            <v>0</v>
          </cell>
          <cell r="R860">
            <v>20681</v>
          </cell>
          <cell r="S860">
            <v>0</v>
          </cell>
          <cell r="T860">
            <v>75076</v>
          </cell>
          <cell r="U860">
            <v>522075</v>
          </cell>
          <cell r="V860">
            <v>0</v>
          </cell>
          <cell r="W860">
            <v>0</v>
          </cell>
          <cell r="X860">
            <v>0</v>
          </cell>
          <cell r="Y860">
            <v>4920</v>
          </cell>
          <cell r="Z860">
            <v>3071803</v>
          </cell>
          <cell r="AA860">
            <v>3172480</v>
          </cell>
          <cell r="AB860" t="str">
            <v>ERTB</v>
          </cell>
          <cell r="AC860">
            <v>1101</v>
          </cell>
          <cell r="AD860">
            <v>2</v>
          </cell>
          <cell r="AE860">
            <v>158383</v>
          </cell>
        </row>
        <row r="861">
          <cell r="A861" t="str">
            <v>SMA</v>
          </cell>
          <cell r="B861">
            <v>5</v>
          </cell>
          <cell r="C861" t="str">
            <v>DRMN</v>
          </cell>
          <cell r="D861">
            <v>52</v>
          </cell>
          <cell r="E861">
            <v>1</v>
          </cell>
          <cell r="F861" t="str">
            <v xml:space="preserve">B </v>
          </cell>
          <cell r="G861">
            <v>3</v>
          </cell>
          <cell r="H861">
            <v>10145</v>
          </cell>
          <cell r="I861">
            <v>726645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14092292</v>
          </cell>
          <cell r="P861">
            <v>0</v>
          </cell>
          <cell r="Q861">
            <v>640</v>
          </cell>
          <cell r="R861">
            <v>108910</v>
          </cell>
          <cell r="S861">
            <v>0</v>
          </cell>
          <cell r="T861">
            <v>134646</v>
          </cell>
          <cell r="U861">
            <v>2395791</v>
          </cell>
          <cell r="V861">
            <v>0</v>
          </cell>
          <cell r="W861">
            <v>0</v>
          </cell>
          <cell r="X861">
            <v>0</v>
          </cell>
          <cell r="Y861">
            <v>30233</v>
          </cell>
          <cell r="Z861">
            <v>14092932</v>
          </cell>
          <cell r="AA861">
            <v>14366721</v>
          </cell>
          <cell r="AB861" t="str">
            <v>ERTB</v>
          </cell>
          <cell r="AC861">
            <v>1101</v>
          </cell>
          <cell r="AD861">
            <v>2</v>
          </cell>
          <cell r="AE861">
            <v>725390</v>
          </cell>
        </row>
        <row r="862">
          <cell r="A862" t="str">
            <v>SMA</v>
          </cell>
          <cell r="B862">
            <v>5</v>
          </cell>
          <cell r="C862" t="str">
            <v>DRMN</v>
          </cell>
          <cell r="D862">
            <v>52</v>
          </cell>
          <cell r="E862">
            <v>1</v>
          </cell>
          <cell r="F862" t="str">
            <v xml:space="preserve">B </v>
          </cell>
          <cell r="G862">
            <v>4</v>
          </cell>
          <cell r="H862">
            <v>2316</v>
          </cell>
          <cell r="I862">
            <v>275773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5348885</v>
          </cell>
          <cell r="P862">
            <v>0</v>
          </cell>
          <cell r="Q862">
            <v>0</v>
          </cell>
          <cell r="R862">
            <v>62097</v>
          </cell>
          <cell r="S862">
            <v>0</v>
          </cell>
          <cell r="T862">
            <v>74242</v>
          </cell>
          <cell r="U862">
            <v>909324</v>
          </cell>
          <cell r="V862">
            <v>0</v>
          </cell>
          <cell r="W862">
            <v>0</v>
          </cell>
          <cell r="X862">
            <v>0</v>
          </cell>
          <cell r="Y862">
            <v>12936</v>
          </cell>
          <cell r="Z862">
            <v>5348885</v>
          </cell>
          <cell r="AA862">
            <v>5498160</v>
          </cell>
          <cell r="AB862" t="str">
            <v>ERTB</v>
          </cell>
          <cell r="AC862">
            <v>1101</v>
          </cell>
          <cell r="AD862">
            <v>2</v>
          </cell>
          <cell r="AE862">
            <v>275773</v>
          </cell>
        </row>
        <row r="863">
          <cell r="A863" t="str">
            <v>SMA</v>
          </cell>
          <cell r="B863">
            <v>5</v>
          </cell>
          <cell r="C863" t="str">
            <v>DRMN</v>
          </cell>
          <cell r="D863">
            <v>52</v>
          </cell>
          <cell r="E863">
            <v>1</v>
          </cell>
          <cell r="F863" t="str">
            <v xml:space="preserve">B </v>
          </cell>
          <cell r="G863">
            <v>5</v>
          </cell>
          <cell r="H863">
            <v>703</v>
          </cell>
          <cell r="I863">
            <v>121140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2349529</v>
          </cell>
          <cell r="P863">
            <v>0</v>
          </cell>
          <cell r="Q863">
            <v>0</v>
          </cell>
          <cell r="R863">
            <v>26338</v>
          </cell>
          <cell r="S863">
            <v>0</v>
          </cell>
          <cell r="T863">
            <v>25898</v>
          </cell>
          <cell r="U863">
            <v>399418</v>
          </cell>
          <cell r="V863">
            <v>0</v>
          </cell>
          <cell r="W863">
            <v>0</v>
          </cell>
          <cell r="X863">
            <v>0</v>
          </cell>
          <cell r="Y863">
            <v>6290</v>
          </cell>
          <cell r="Z863">
            <v>2349529</v>
          </cell>
          <cell r="AA863">
            <v>2408055</v>
          </cell>
          <cell r="AB863" t="str">
            <v>ERTB</v>
          </cell>
          <cell r="AC863">
            <v>1101</v>
          </cell>
          <cell r="AD863">
            <v>2</v>
          </cell>
          <cell r="AE863">
            <v>121140</v>
          </cell>
        </row>
        <row r="864">
          <cell r="A864" t="str">
            <v>SMA</v>
          </cell>
          <cell r="B864">
            <v>5</v>
          </cell>
          <cell r="C864" t="str">
            <v>DRMN</v>
          </cell>
          <cell r="D864">
            <v>52</v>
          </cell>
          <cell r="E864">
            <v>1</v>
          </cell>
          <cell r="F864" t="str">
            <v xml:space="preserve">B </v>
          </cell>
          <cell r="G864">
            <v>6</v>
          </cell>
          <cell r="H864">
            <v>431</v>
          </cell>
          <cell r="I864">
            <v>102924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1996370</v>
          </cell>
          <cell r="P864">
            <v>0</v>
          </cell>
          <cell r="Q864">
            <v>0</v>
          </cell>
          <cell r="R864">
            <v>22117</v>
          </cell>
          <cell r="S864">
            <v>0</v>
          </cell>
          <cell r="T864">
            <v>37225</v>
          </cell>
          <cell r="U864">
            <v>339423</v>
          </cell>
          <cell r="V864">
            <v>0</v>
          </cell>
          <cell r="W864">
            <v>0</v>
          </cell>
          <cell r="X864">
            <v>0</v>
          </cell>
          <cell r="Y864">
            <v>6105</v>
          </cell>
          <cell r="Z864">
            <v>1996370</v>
          </cell>
          <cell r="AA864">
            <v>2061817</v>
          </cell>
          <cell r="AB864" t="str">
            <v>ERTB</v>
          </cell>
          <cell r="AC864">
            <v>1101</v>
          </cell>
          <cell r="AD864">
            <v>2</v>
          </cell>
          <cell r="AE864">
            <v>102924</v>
          </cell>
        </row>
        <row r="865">
          <cell r="A865" t="str">
            <v>SMA</v>
          </cell>
          <cell r="B865">
            <v>5</v>
          </cell>
          <cell r="C865" t="str">
            <v>DRMN</v>
          </cell>
          <cell r="D865">
            <v>52</v>
          </cell>
          <cell r="E865">
            <v>1</v>
          </cell>
          <cell r="F865" t="str">
            <v xml:space="preserve">B </v>
          </cell>
          <cell r="G865">
            <v>7</v>
          </cell>
          <cell r="H865">
            <v>160</v>
          </cell>
          <cell r="I865">
            <v>53425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1074967</v>
          </cell>
          <cell r="P865">
            <v>0</v>
          </cell>
          <cell r="Q865">
            <v>0</v>
          </cell>
          <cell r="R865">
            <v>11021</v>
          </cell>
          <cell r="S865">
            <v>0</v>
          </cell>
          <cell r="T865">
            <v>8409</v>
          </cell>
          <cell r="U865">
            <v>215034</v>
          </cell>
          <cell r="V865">
            <v>0</v>
          </cell>
          <cell r="W865">
            <v>0</v>
          </cell>
          <cell r="X865">
            <v>0</v>
          </cell>
          <cell r="Y865">
            <v>3198</v>
          </cell>
          <cell r="Z865">
            <v>1074967</v>
          </cell>
          <cell r="AA865">
            <v>1097595</v>
          </cell>
          <cell r="AB865" t="str">
            <v>ERTB</v>
          </cell>
          <cell r="AC865">
            <v>1101</v>
          </cell>
          <cell r="AD865">
            <v>2</v>
          </cell>
          <cell r="AE865">
            <v>53425</v>
          </cell>
        </row>
        <row r="866">
          <cell r="A866" t="str">
            <v>SMA</v>
          </cell>
          <cell r="B866">
            <v>5</v>
          </cell>
          <cell r="C866" t="str">
            <v>DRMN</v>
          </cell>
          <cell r="D866">
            <v>52</v>
          </cell>
          <cell r="E866">
            <v>1</v>
          </cell>
          <cell r="F866" t="str">
            <v xml:space="preserve">B </v>
          </cell>
          <cell r="G866">
            <v>8</v>
          </cell>
          <cell r="H866">
            <v>61</v>
          </cell>
          <cell r="I866">
            <v>26144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526107</v>
          </cell>
          <cell r="P866">
            <v>0</v>
          </cell>
          <cell r="Q866">
            <v>0</v>
          </cell>
          <cell r="R866">
            <v>5161</v>
          </cell>
          <cell r="S866">
            <v>0</v>
          </cell>
          <cell r="T866">
            <v>1030</v>
          </cell>
          <cell r="U866">
            <v>105230</v>
          </cell>
          <cell r="V866">
            <v>0</v>
          </cell>
          <cell r="W866">
            <v>0</v>
          </cell>
          <cell r="X866">
            <v>0</v>
          </cell>
          <cell r="Y866">
            <v>1476</v>
          </cell>
          <cell r="Z866">
            <v>526107</v>
          </cell>
          <cell r="AA866">
            <v>533774</v>
          </cell>
          <cell r="AB866" t="str">
            <v>ERTB</v>
          </cell>
          <cell r="AC866">
            <v>1101</v>
          </cell>
          <cell r="AD866">
            <v>2</v>
          </cell>
          <cell r="AE866">
            <v>26144</v>
          </cell>
        </row>
        <row r="867">
          <cell r="A867" t="str">
            <v>SMA</v>
          </cell>
          <cell r="B867">
            <v>5</v>
          </cell>
          <cell r="C867" t="str">
            <v>DRMN</v>
          </cell>
          <cell r="D867">
            <v>52</v>
          </cell>
          <cell r="E867">
            <v>1</v>
          </cell>
          <cell r="F867" t="str">
            <v xml:space="preserve">B </v>
          </cell>
          <cell r="G867">
            <v>9</v>
          </cell>
          <cell r="H867">
            <v>64</v>
          </cell>
          <cell r="I867">
            <v>42181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904996</v>
          </cell>
          <cell r="P867">
            <v>0</v>
          </cell>
          <cell r="Q867">
            <v>0</v>
          </cell>
          <cell r="R867">
            <v>10646</v>
          </cell>
          <cell r="S867">
            <v>0</v>
          </cell>
          <cell r="T867">
            <v>7158</v>
          </cell>
          <cell r="U867">
            <v>226265</v>
          </cell>
          <cell r="V867">
            <v>0</v>
          </cell>
          <cell r="W867">
            <v>0</v>
          </cell>
          <cell r="X867">
            <v>0</v>
          </cell>
          <cell r="Y867">
            <v>1850</v>
          </cell>
          <cell r="Z867">
            <v>904996</v>
          </cell>
          <cell r="AA867">
            <v>924650</v>
          </cell>
          <cell r="AB867" t="str">
            <v>ERTB</v>
          </cell>
          <cell r="AC867">
            <v>1101</v>
          </cell>
          <cell r="AD867">
            <v>2</v>
          </cell>
          <cell r="AE867">
            <v>42181</v>
          </cell>
        </row>
        <row r="868">
          <cell r="A868" t="str">
            <v>SMA</v>
          </cell>
          <cell r="B868">
            <v>5</v>
          </cell>
          <cell r="C868" t="str">
            <v>DRMN</v>
          </cell>
          <cell r="D868">
            <v>52</v>
          </cell>
          <cell r="E868">
            <v>1</v>
          </cell>
          <cell r="F868" t="str">
            <v xml:space="preserve">B </v>
          </cell>
          <cell r="G868">
            <v>10</v>
          </cell>
          <cell r="H868">
            <v>7</v>
          </cell>
          <cell r="I868">
            <v>7782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167014</v>
          </cell>
          <cell r="P868">
            <v>0</v>
          </cell>
          <cell r="Q868">
            <v>0</v>
          </cell>
          <cell r="R868">
            <v>1747</v>
          </cell>
          <cell r="S868">
            <v>0</v>
          </cell>
          <cell r="T868">
            <v>110</v>
          </cell>
          <cell r="U868">
            <v>41755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167014</v>
          </cell>
          <cell r="AA868">
            <v>168871</v>
          </cell>
          <cell r="AB868" t="str">
            <v>ERTB</v>
          </cell>
          <cell r="AC868">
            <v>1101</v>
          </cell>
          <cell r="AD868">
            <v>2</v>
          </cell>
          <cell r="AE868">
            <v>7782</v>
          </cell>
        </row>
        <row r="869">
          <cell r="A869" t="str">
            <v>SMA</v>
          </cell>
          <cell r="B869">
            <v>5</v>
          </cell>
          <cell r="C869" t="str">
            <v>DRMN</v>
          </cell>
          <cell r="D869">
            <v>52</v>
          </cell>
          <cell r="E869">
            <v>1</v>
          </cell>
          <cell r="F869" t="str">
            <v xml:space="preserve">B </v>
          </cell>
          <cell r="G869">
            <v>11</v>
          </cell>
          <cell r="H869">
            <v>481</v>
          </cell>
          <cell r="I869">
            <v>10480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59380</v>
          </cell>
          <cell r="P869">
            <v>0</v>
          </cell>
          <cell r="Q869">
            <v>0</v>
          </cell>
          <cell r="R869">
            <v>563</v>
          </cell>
          <cell r="S869">
            <v>0</v>
          </cell>
          <cell r="T869">
            <v>3796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444</v>
          </cell>
          <cell r="Z869">
            <v>59380</v>
          </cell>
          <cell r="AA869">
            <v>64183</v>
          </cell>
          <cell r="AB869" t="str">
            <v>ERTB</v>
          </cell>
          <cell r="AC869">
            <v>1101</v>
          </cell>
          <cell r="AD869">
            <v>2</v>
          </cell>
          <cell r="AE869">
            <v>7864</v>
          </cell>
        </row>
        <row r="870">
          <cell r="A870" t="str">
            <v>SMA</v>
          </cell>
          <cell r="B870">
            <v>5</v>
          </cell>
          <cell r="C870" t="str">
            <v>DRMN</v>
          </cell>
          <cell r="D870">
            <v>52</v>
          </cell>
          <cell r="E870">
            <v>1</v>
          </cell>
          <cell r="F870" t="str">
            <v xml:space="preserve">B </v>
          </cell>
          <cell r="G870">
            <v>12</v>
          </cell>
          <cell r="H870">
            <v>467</v>
          </cell>
          <cell r="I870">
            <v>27944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257593</v>
          </cell>
          <cell r="P870">
            <v>0</v>
          </cell>
          <cell r="Q870">
            <v>0</v>
          </cell>
          <cell r="R870">
            <v>2707</v>
          </cell>
          <cell r="S870">
            <v>0</v>
          </cell>
          <cell r="T870">
            <v>3718</v>
          </cell>
          <cell r="U870">
            <v>43787</v>
          </cell>
          <cell r="V870">
            <v>0</v>
          </cell>
          <cell r="W870">
            <v>0</v>
          </cell>
          <cell r="X870">
            <v>0</v>
          </cell>
          <cell r="Y870">
            <v>999</v>
          </cell>
          <cell r="Z870">
            <v>257593</v>
          </cell>
          <cell r="AA870">
            <v>265017</v>
          </cell>
          <cell r="AB870" t="str">
            <v>ERTB</v>
          </cell>
          <cell r="AC870">
            <v>1101</v>
          </cell>
          <cell r="AD870">
            <v>2</v>
          </cell>
          <cell r="AE870">
            <v>27944</v>
          </cell>
        </row>
        <row r="871">
          <cell r="A871" t="str">
            <v>SMA</v>
          </cell>
          <cell r="B871">
            <v>5</v>
          </cell>
          <cell r="C871" t="str">
            <v>DRMN</v>
          </cell>
          <cell r="D871">
            <v>52</v>
          </cell>
          <cell r="E871">
            <v>1</v>
          </cell>
          <cell r="F871" t="str">
            <v xml:space="preserve">B </v>
          </cell>
          <cell r="G871">
            <v>13</v>
          </cell>
          <cell r="H871">
            <v>37</v>
          </cell>
          <cell r="I871">
            <v>4205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60078</v>
          </cell>
          <cell r="P871">
            <v>0</v>
          </cell>
          <cell r="Q871">
            <v>0</v>
          </cell>
          <cell r="R871">
            <v>737</v>
          </cell>
          <cell r="S871">
            <v>0</v>
          </cell>
          <cell r="T871">
            <v>553</v>
          </cell>
          <cell r="U871">
            <v>10218</v>
          </cell>
          <cell r="V871">
            <v>0</v>
          </cell>
          <cell r="W871">
            <v>0</v>
          </cell>
          <cell r="X871">
            <v>0</v>
          </cell>
          <cell r="Y871">
            <v>196</v>
          </cell>
          <cell r="Z871">
            <v>60078</v>
          </cell>
          <cell r="AA871">
            <v>61564</v>
          </cell>
          <cell r="AB871" t="str">
            <v>ERTB</v>
          </cell>
          <cell r="AC871">
            <v>1101</v>
          </cell>
          <cell r="AD871">
            <v>2</v>
          </cell>
          <cell r="AE871">
            <v>4205</v>
          </cell>
        </row>
        <row r="872">
          <cell r="A872" t="str">
            <v>SMA</v>
          </cell>
          <cell r="B872">
            <v>5</v>
          </cell>
          <cell r="C872" t="str">
            <v>DRMN</v>
          </cell>
          <cell r="D872">
            <v>52</v>
          </cell>
          <cell r="E872">
            <v>1</v>
          </cell>
          <cell r="F872" t="str">
            <v xml:space="preserve">B </v>
          </cell>
          <cell r="G872">
            <v>14</v>
          </cell>
          <cell r="H872">
            <v>2</v>
          </cell>
          <cell r="I872">
            <v>307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3955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673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3955</v>
          </cell>
          <cell r="AA872">
            <v>3955</v>
          </cell>
          <cell r="AB872" t="str">
            <v>ERTB</v>
          </cell>
          <cell r="AC872">
            <v>1101</v>
          </cell>
          <cell r="AD872">
            <v>2</v>
          </cell>
          <cell r="AE872">
            <v>307</v>
          </cell>
        </row>
        <row r="873">
          <cell r="A873" t="str">
            <v>SMA</v>
          </cell>
          <cell r="B873">
            <v>5</v>
          </cell>
          <cell r="C873" t="str">
            <v>DRMN</v>
          </cell>
          <cell r="D873">
            <v>52</v>
          </cell>
          <cell r="E873">
            <v>2</v>
          </cell>
          <cell r="F873" t="str">
            <v>A4</v>
          </cell>
          <cell r="G873">
            <v>22</v>
          </cell>
          <cell r="H873">
            <v>1</v>
          </cell>
          <cell r="I873">
            <v>263080</v>
          </cell>
          <cell r="J873">
            <v>16514</v>
          </cell>
          <cell r="K873">
            <v>246566</v>
          </cell>
          <cell r="L873">
            <v>2427</v>
          </cell>
          <cell r="M873">
            <v>1344</v>
          </cell>
          <cell r="N873">
            <v>1083</v>
          </cell>
          <cell r="O873">
            <v>1816463</v>
          </cell>
          <cell r="P873">
            <v>3170788</v>
          </cell>
          <cell r="Q873">
            <v>221007</v>
          </cell>
          <cell r="R873">
            <v>0</v>
          </cell>
          <cell r="S873">
            <v>0</v>
          </cell>
          <cell r="T873">
            <v>0</v>
          </cell>
          <cell r="U873">
            <v>1393701</v>
          </cell>
          <cell r="V873">
            <v>0</v>
          </cell>
          <cell r="W873">
            <v>366545</v>
          </cell>
          <cell r="X873">
            <v>0</v>
          </cell>
          <cell r="Y873">
            <v>0</v>
          </cell>
          <cell r="Z873">
            <v>5574803</v>
          </cell>
          <cell r="AA873">
            <v>5574803</v>
          </cell>
          <cell r="AB873" t="str">
            <v>ERTB</v>
          </cell>
          <cell r="AC873">
            <v>1101</v>
          </cell>
          <cell r="AD873">
            <v>2</v>
          </cell>
          <cell r="AE873">
            <v>263080</v>
          </cell>
        </row>
        <row r="874">
          <cell r="A874" t="str">
            <v>SMA</v>
          </cell>
          <cell r="B874">
            <v>5</v>
          </cell>
          <cell r="C874" t="str">
            <v>DRMN</v>
          </cell>
          <cell r="D874">
            <v>52</v>
          </cell>
          <cell r="E874">
            <v>2</v>
          </cell>
          <cell r="F874" t="str">
            <v>A4</v>
          </cell>
          <cell r="G874">
            <v>21</v>
          </cell>
          <cell r="H874">
            <v>9</v>
          </cell>
          <cell r="I874">
            <v>694460</v>
          </cell>
          <cell r="J874">
            <v>37816</v>
          </cell>
          <cell r="K874">
            <v>656644</v>
          </cell>
          <cell r="L874">
            <v>6077</v>
          </cell>
          <cell r="M874">
            <v>2728</v>
          </cell>
          <cell r="N874">
            <v>0</v>
          </cell>
          <cell r="O874">
            <v>6564795</v>
          </cell>
          <cell r="P874">
            <v>8818802</v>
          </cell>
          <cell r="Q874">
            <v>873438</v>
          </cell>
          <cell r="R874">
            <v>53935</v>
          </cell>
          <cell r="S874">
            <v>0</v>
          </cell>
          <cell r="T874">
            <v>415648</v>
          </cell>
          <cell r="U874">
            <v>4281131</v>
          </cell>
          <cell r="V874">
            <v>0</v>
          </cell>
          <cell r="W874">
            <v>867477</v>
          </cell>
          <cell r="X874">
            <v>0</v>
          </cell>
          <cell r="Y874">
            <v>493</v>
          </cell>
          <cell r="Z874">
            <v>17124512</v>
          </cell>
          <cell r="AA874">
            <v>17594588</v>
          </cell>
          <cell r="AB874" t="str">
            <v>ERTB</v>
          </cell>
          <cell r="AC874">
            <v>1101</v>
          </cell>
          <cell r="AD874">
            <v>2</v>
          </cell>
          <cell r="AE874">
            <v>694460</v>
          </cell>
        </row>
        <row r="875">
          <cell r="A875" t="str">
            <v>SMA</v>
          </cell>
          <cell r="B875">
            <v>5</v>
          </cell>
          <cell r="C875" t="str">
            <v>DRMN</v>
          </cell>
          <cell r="D875">
            <v>52</v>
          </cell>
          <cell r="E875">
            <v>2</v>
          </cell>
          <cell r="F875" t="str">
            <v>A4</v>
          </cell>
          <cell r="G875">
            <v>20</v>
          </cell>
          <cell r="H875">
            <v>11</v>
          </cell>
          <cell r="I875">
            <v>212593</v>
          </cell>
          <cell r="J875">
            <v>0</v>
          </cell>
          <cell r="K875">
            <v>0</v>
          </cell>
          <cell r="L875">
            <v>982</v>
          </cell>
          <cell r="M875">
            <v>0</v>
          </cell>
          <cell r="N875">
            <v>0</v>
          </cell>
          <cell r="O875">
            <v>2439435</v>
          </cell>
          <cell r="P875">
            <v>768579</v>
          </cell>
          <cell r="Q875">
            <v>302381</v>
          </cell>
          <cell r="R875">
            <v>60760</v>
          </cell>
          <cell r="S875">
            <v>0</v>
          </cell>
          <cell r="T875">
            <v>163785</v>
          </cell>
          <cell r="U875">
            <v>898339</v>
          </cell>
          <cell r="V875">
            <v>0</v>
          </cell>
          <cell r="W875">
            <v>82962</v>
          </cell>
          <cell r="X875">
            <v>0</v>
          </cell>
          <cell r="Y875">
            <v>0</v>
          </cell>
          <cell r="Z875">
            <v>3593357</v>
          </cell>
          <cell r="AA875">
            <v>3817902</v>
          </cell>
          <cell r="AB875" t="str">
            <v>ERTB</v>
          </cell>
          <cell r="AC875">
            <v>1101</v>
          </cell>
          <cell r="AD875">
            <v>2</v>
          </cell>
          <cell r="AE875">
            <v>212593</v>
          </cell>
        </row>
        <row r="876">
          <cell r="A876" t="str">
            <v>SMA</v>
          </cell>
          <cell r="B876">
            <v>5</v>
          </cell>
          <cell r="C876" t="str">
            <v>DRMN</v>
          </cell>
          <cell r="D876">
            <v>52</v>
          </cell>
          <cell r="E876">
            <v>2</v>
          </cell>
          <cell r="F876" t="str">
            <v xml:space="preserve">B </v>
          </cell>
          <cell r="G876">
            <v>0</v>
          </cell>
          <cell r="H876">
            <v>109</v>
          </cell>
          <cell r="I876">
            <v>74349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1547817</v>
          </cell>
          <cell r="P876">
            <v>0</v>
          </cell>
          <cell r="Q876">
            <v>19922</v>
          </cell>
          <cell r="R876">
            <v>23642</v>
          </cell>
          <cell r="S876">
            <v>0</v>
          </cell>
          <cell r="T876">
            <v>18393</v>
          </cell>
          <cell r="U876">
            <v>389433</v>
          </cell>
          <cell r="V876">
            <v>0</v>
          </cell>
          <cell r="W876">
            <v>0</v>
          </cell>
          <cell r="X876">
            <v>0</v>
          </cell>
          <cell r="Y876">
            <v>1009</v>
          </cell>
          <cell r="Z876">
            <v>1567739</v>
          </cell>
          <cell r="AA876">
            <v>1610783</v>
          </cell>
          <cell r="AB876" t="str">
            <v>ERTB</v>
          </cell>
          <cell r="AC876">
            <v>1101</v>
          </cell>
          <cell r="AD876">
            <v>2</v>
          </cell>
          <cell r="AE876">
            <v>72739</v>
          </cell>
        </row>
        <row r="877">
          <cell r="A877" t="str">
            <v>SMA</v>
          </cell>
          <cell r="B877">
            <v>5</v>
          </cell>
          <cell r="C877" t="str">
            <v>DRMN</v>
          </cell>
          <cell r="D877">
            <v>52</v>
          </cell>
          <cell r="E877">
            <v>3</v>
          </cell>
          <cell r="F877" t="str">
            <v>A4</v>
          </cell>
          <cell r="G877">
            <v>21</v>
          </cell>
          <cell r="H877">
            <v>1</v>
          </cell>
          <cell r="I877">
            <v>5129</v>
          </cell>
          <cell r="J877">
            <v>159</v>
          </cell>
          <cell r="K877">
            <v>4970</v>
          </cell>
          <cell r="L877">
            <v>50</v>
          </cell>
          <cell r="M877">
            <v>50</v>
          </cell>
          <cell r="N877">
            <v>0</v>
          </cell>
          <cell r="O877">
            <v>41868</v>
          </cell>
          <cell r="P877">
            <v>34533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19100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76401</v>
          </cell>
          <cell r="AA877">
            <v>76401</v>
          </cell>
          <cell r="AB877" t="str">
            <v>ERTB</v>
          </cell>
          <cell r="AC877">
            <v>1101</v>
          </cell>
          <cell r="AD877">
            <v>2</v>
          </cell>
          <cell r="AE877">
            <v>5129</v>
          </cell>
        </row>
        <row r="878">
          <cell r="A878" t="str">
            <v>SMA</v>
          </cell>
          <cell r="B878">
            <v>5</v>
          </cell>
          <cell r="C878" t="str">
            <v>DRMN</v>
          </cell>
          <cell r="D878">
            <v>52</v>
          </cell>
          <cell r="E878">
            <v>3</v>
          </cell>
          <cell r="F878" t="str">
            <v>A4</v>
          </cell>
          <cell r="G878">
            <v>20</v>
          </cell>
          <cell r="H878">
            <v>9</v>
          </cell>
          <cell r="I878">
            <v>48586</v>
          </cell>
          <cell r="J878">
            <v>0</v>
          </cell>
          <cell r="K878">
            <v>0</v>
          </cell>
          <cell r="L878">
            <v>295</v>
          </cell>
          <cell r="M878">
            <v>0</v>
          </cell>
          <cell r="N878">
            <v>0</v>
          </cell>
          <cell r="O878">
            <v>557506</v>
          </cell>
          <cell r="P878">
            <v>230887</v>
          </cell>
          <cell r="Q878">
            <v>13415</v>
          </cell>
          <cell r="R878">
            <v>7533</v>
          </cell>
          <cell r="S878">
            <v>0</v>
          </cell>
          <cell r="T878">
            <v>0</v>
          </cell>
          <cell r="U878">
            <v>202214</v>
          </cell>
          <cell r="V878">
            <v>0</v>
          </cell>
          <cell r="W878">
            <v>7044</v>
          </cell>
          <cell r="X878">
            <v>0</v>
          </cell>
          <cell r="Y878">
            <v>0</v>
          </cell>
          <cell r="Z878">
            <v>808852</v>
          </cell>
          <cell r="AA878">
            <v>816385</v>
          </cell>
          <cell r="AB878" t="str">
            <v>ERTB</v>
          </cell>
          <cell r="AC878">
            <v>1101</v>
          </cell>
          <cell r="AD878">
            <v>2</v>
          </cell>
          <cell r="AE878">
            <v>48586</v>
          </cell>
        </row>
        <row r="879">
          <cell r="A879" t="str">
            <v>SMA</v>
          </cell>
          <cell r="B879">
            <v>5</v>
          </cell>
          <cell r="C879" t="str">
            <v>DRMN</v>
          </cell>
          <cell r="D879">
            <v>52</v>
          </cell>
          <cell r="E879">
            <v>3</v>
          </cell>
          <cell r="F879" t="str">
            <v xml:space="preserve">B </v>
          </cell>
          <cell r="G879">
            <v>0</v>
          </cell>
          <cell r="H879">
            <v>1951</v>
          </cell>
          <cell r="I879">
            <v>422617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8798245</v>
          </cell>
          <cell r="P879">
            <v>0</v>
          </cell>
          <cell r="Q879">
            <v>12284</v>
          </cell>
          <cell r="R879">
            <v>93364</v>
          </cell>
          <cell r="S879">
            <v>0</v>
          </cell>
          <cell r="T879">
            <v>112574</v>
          </cell>
          <cell r="U879">
            <v>2167328</v>
          </cell>
          <cell r="V879">
            <v>0</v>
          </cell>
          <cell r="W879">
            <v>0</v>
          </cell>
          <cell r="X879">
            <v>0</v>
          </cell>
          <cell r="Y879">
            <v>5518</v>
          </cell>
          <cell r="Z879">
            <v>8810529</v>
          </cell>
          <cell r="AA879">
            <v>9021985</v>
          </cell>
          <cell r="AB879" t="str">
            <v>ERTB</v>
          </cell>
          <cell r="AC879">
            <v>1101</v>
          </cell>
          <cell r="AD879">
            <v>2</v>
          </cell>
          <cell r="AE879">
            <v>409130</v>
          </cell>
        </row>
        <row r="880">
          <cell r="A880" t="str">
            <v>SMA</v>
          </cell>
          <cell r="B880">
            <v>5</v>
          </cell>
          <cell r="C880" t="str">
            <v>DRMN</v>
          </cell>
          <cell r="D880">
            <v>52</v>
          </cell>
          <cell r="E880">
            <v>4</v>
          </cell>
          <cell r="F880" t="str">
            <v>A4</v>
          </cell>
          <cell r="G880">
            <v>21</v>
          </cell>
          <cell r="H880">
            <v>1</v>
          </cell>
          <cell r="I880">
            <v>10811</v>
          </cell>
          <cell r="J880">
            <v>114</v>
          </cell>
          <cell r="K880">
            <v>10697</v>
          </cell>
          <cell r="L880">
            <v>566</v>
          </cell>
          <cell r="M880">
            <v>500</v>
          </cell>
          <cell r="N880">
            <v>0</v>
          </cell>
          <cell r="O880">
            <v>51348</v>
          </cell>
          <cell r="P880">
            <v>335498</v>
          </cell>
          <cell r="Q880">
            <v>7593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394439</v>
          </cell>
          <cell r="AA880">
            <v>394439</v>
          </cell>
          <cell r="AB880" t="str">
            <v>ERTB</v>
          </cell>
          <cell r="AC880">
            <v>1101</v>
          </cell>
          <cell r="AD880">
            <v>2</v>
          </cell>
          <cell r="AE880">
            <v>10811</v>
          </cell>
        </row>
        <row r="881">
          <cell r="A881" t="str">
            <v>SMA</v>
          </cell>
          <cell r="B881">
            <v>5</v>
          </cell>
          <cell r="C881" t="str">
            <v>DRMN</v>
          </cell>
          <cell r="D881">
            <v>52</v>
          </cell>
          <cell r="E881">
            <v>4</v>
          </cell>
          <cell r="F881" t="str">
            <v>A4</v>
          </cell>
          <cell r="G881">
            <v>20</v>
          </cell>
          <cell r="H881">
            <v>4</v>
          </cell>
          <cell r="I881">
            <v>282261</v>
          </cell>
          <cell r="J881">
            <v>0</v>
          </cell>
          <cell r="K881">
            <v>0</v>
          </cell>
          <cell r="L881">
            <v>571</v>
          </cell>
          <cell r="M881">
            <v>0</v>
          </cell>
          <cell r="N881">
            <v>0</v>
          </cell>
          <cell r="O881">
            <v>2186112</v>
          </cell>
          <cell r="P881">
            <v>301488</v>
          </cell>
          <cell r="Q881">
            <v>101560</v>
          </cell>
          <cell r="R881">
            <v>0</v>
          </cell>
          <cell r="S881">
            <v>0</v>
          </cell>
          <cell r="T881">
            <v>3703</v>
          </cell>
          <cell r="U881">
            <v>0</v>
          </cell>
          <cell r="V881">
            <v>0</v>
          </cell>
          <cell r="W881">
            <v>12144</v>
          </cell>
          <cell r="X881">
            <v>0</v>
          </cell>
          <cell r="Y881">
            <v>0</v>
          </cell>
          <cell r="Z881">
            <v>2601304</v>
          </cell>
          <cell r="AA881">
            <v>2605007</v>
          </cell>
          <cell r="AB881" t="str">
            <v>ERTB</v>
          </cell>
          <cell r="AC881">
            <v>1101</v>
          </cell>
          <cell r="AD881">
            <v>2</v>
          </cell>
          <cell r="AE881">
            <v>282261</v>
          </cell>
        </row>
        <row r="882">
          <cell r="A882" t="str">
            <v>SMA</v>
          </cell>
          <cell r="B882">
            <v>5</v>
          </cell>
          <cell r="C882" t="str">
            <v>DRMN</v>
          </cell>
          <cell r="D882">
            <v>52</v>
          </cell>
          <cell r="E882">
            <v>4</v>
          </cell>
          <cell r="F882" t="str">
            <v xml:space="preserve">B </v>
          </cell>
          <cell r="G882">
            <v>0</v>
          </cell>
          <cell r="H882">
            <v>10</v>
          </cell>
          <cell r="I882">
            <v>1281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12539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32</v>
          </cell>
          <cell r="U882">
            <v>0</v>
          </cell>
          <cell r="V882">
            <v>282</v>
          </cell>
          <cell r="W882">
            <v>0</v>
          </cell>
          <cell r="X882">
            <v>0</v>
          </cell>
          <cell r="Y882">
            <v>0</v>
          </cell>
          <cell r="Z882">
            <v>12539</v>
          </cell>
          <cell r="AA882">
            <v>12853</v>
          </cell>
          <cell r="AB882" t="str">
            <v>ERTB</v>
          </cell>
          <cell r="AC882">
            <v>1101</v>
          </cell>
          <cell r="AD882">
            <v>2</v>
          </cell>
          <cell r="AE882">
            <v>1079</v>
          </cell>
        </row>
        <row r="883">
          <cell r="A883" t="str">
            <v>SMA</v>
          </cell>
          <cell r="B883">
            <v>5</v>
          </cell>
          <cell r="C883" t="str">
            <v>DRMN</v>
          </cell>
          <cell r="D883">
            <v>52</v>
          </cell>
          <cell r="E883">
            <v>4</v>
          </cell>
          <cell r="F883" t="str">
            <v>A4</v>
          </cell>
          <cell r="G883">
            <v>23</v>
          </cell>
          <cell r="H883">
            <v>1</v>
          </cell>
          <cell r="I883">
            <v>9708</v>
          </cell>
          <cell r="J883">
            <v>335</v>
          </cell>
          <cell r="K883">
            <v>8342</v>
          </cell>
          <cell r="L883">
            <v>63</v>
          </cell>
          <cell r="M883">
            <v>50</v>
          </cell>
          <cell r="N883">
            <v>0</v>
          </cell>
          <cell r="O883">
            <v>50753</v>
          </cell>
          <cell r="P883">
            <v>43489</v>
          </cell>
          <cell r="Q883">
            <v>0</v>
          </cell>
          <cell r="R883">
            <v>595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94242</v>
          </cell>
          <cell r="AA883">
            <v>94837</v>
          </cell>
          <cell r="AB883" t="str">
            <v>ERTB</v>
          </cell>
          <cell r="AC883">
            <v>1101</v>
          </cell>
          <cell r="AD883">
            <v>2</v>
          </cell>
          <cell r="AE883">
            <v>9708</v>
          </cell>
        </row>
        <row r="884">
          <cell r="A884" t="str">
            <v>SMA</v>
          </cell>
          <cell r="B884">
            <v>5</v>
          </cell>
          <cell r="C884" t="str">
            <v>DRMN</v>
          </cell>
          <cell r="D884">
            <v>52</v>
          </cell>
          <cell r="E884">
            <v>5</v>
          </cell>
          <cell r="F884" t="str">
            <v>A4</v>
          </cell>
          <cell r="G884">
            <v>20</v>
          </cell>
          <cell r="H884">
            <v>4</v>
          </cell>
          <cell r="I884">
            <v>31806</v>
          </cell>
          <cell r="J884">
            <v>0</v>
          </cell>
          <cell r="K884">
            <v>0</v>
          </cell>
          <cell r="L884">
            <v>104</v>
          </cell>
          <cell r="M884">
            <v>0</v>
          </cell>
          <cell r="N884">
            <v>0</v>
          </cell>
          <cell r="O884">
            <v>363640</v>
          </cell>
          <cell r="P884">
            <v>80615</v>
          </cell>
          <cell r="Q884">
            <v>3052</v>
          </cell>
          <cell r="R884">
            <v>4721</v>
          </cell>
          <cell r="S884">
            <v>0</v>
          </cell>
          <cell r="T884">
            <v>0</v>
          </cell>
          <cell r="U884">
            <v>110640</v>
          </cell>
          <cell r="V884">
            <v>0</v>
          </cell>
          <cell r="W884">
            <v>1565</v>
          </cell>
          <cell r="X884">
            <v>0</v>
          </cell>
          <cell r="Y884">
            <v>0</v>
          </cell>
          <cell r="Z884">
            <v>448872</v>
          </cell>
          <cell r="AA884">
            <v>453593</v>
          </cell>
          <cell r="AB884" t="str">
            <v>ERTB</v>
          </cell>
          <cell r="AC884">
            <v>1101</v>
          </cell>
          <cell r="AD884">
            <v>2</v>
          </cell>
          <cell r="AE884">
            <v>31806</v>
          </cell>
        </row>
        <row r="885">
          <cell r="A885" t="str">
            <v>SMA</v>
          </cell>
          <cell r="B885">
            <v>5</v>
          </cell>
          <cell r="C885" t="str">
            <v>DRMN</v>
          </cell>
          <cell r="D885">
            <v>52</v>
          </cell>
          <cell r="E885">
            <v>5</v>
          </cell>
          <cell r="F885" t="str">
            <v xml:space="preserve">B </v>
          </cell>
          <cell r="G885">
            <v>0</v>
          </cell>
          <cell r="H885">
            <v>489</v>
          </cell>
          <cell r="I885">
            <v>288234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5826648</v>
          </cell>
          <cell r="P885">
            <v>0</v>
          </cell>
          <cell r="Q885">
            <v>0</v>
          </cell>
          <cell r="R885">
            <v>43506</v>
          </cell>
          <cell r="S885">
            <v>0</v>
          </cell>
          <cell r="T885">
            <v>144301</v>
          </cell>
          <cell r="U885">
            <v>1326227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5826648</v>
          </cell>
          <cell r="AA885">
            <v>6014455</v>
          </cell>
          <cell r="AB885" t="str">
            <v>ERTB</v>
          </cell>
          <cell r="AC885">
            <v>1101</v>
          </cell>
          <cell r="AD885">
            <v>2</v>
          </cell>
          <cell r="AE885">
            <v>286012</v>
          </cell>
        </row>
        <row r="886">
          <cell r="A886" t="str">
            <v>SMA</v>
          </cell>
          <cell r="B886">
            <v>5</v>
          </cell>
          <cell r="C886" t="str">
            <v>DRMN</v>
          </cell>
          <cell r="D886">
            <v>52</v>
          </cell>
          <cell r="E886">
            <v>6</v>
          </cell>
          <cell r="F886" t="str">
            <v xml:space="preserve">B </v>
          </cell>
          <cell r="G886">
            <v>0</v>
          </cell>
          <cell r="H886">
            <v>28</v>
          </cell>
          <cell r="I886">
            <v>441313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5195723</v>
          </cell>
          <cell r="P886">
            <v>0</v>
          </cell>
          <cell r="Q886">
            <v>0</v>
          </cell>
          <cell r="R886">
            <v>52292</v>
          </cell>
          <cell r="S886">
            <v>0</v>
          </cell>
          <cell r="T886">
            <v>390067</v>
          </cell>
          <cell r="U886">
            <v>1298929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5195723</v>
          </cell>
          <cell r="AA886">
            <v>5638082</v>
          </cell>
          <cell r="AB886" t="str">
            <v>ERTB</v>
          </cell>
          <cell r="AC886">
            <v>1101</v>
          </cell>
          <cell r="AD886">
            <v>2</v>
          </cell>
          <cell r="AE886">
            <v>441313</v>
          </cell>
        </row>
        <row r="887">
          <cell r="A887" t="str">
            <v>SMA</v>
          </cell>
          <cell r="B887">
            <v>5</v>
          </cell>
          <cell r="C887" t="str">
            <v>DRMN</v>
          </cell>
          <cell r="D887">
            <v>52</v>
          </cell>
          <cell r="E887">
            <v>7</v>
          </cell>
          <cell r="F887" t="str">
            <v>A4</v>
          </cell>
          <cell r="G887">
            <v>20</v>
          </cell>
          <cell r="H887">
            <v>12</v>
          </cell>
          <cell r="I887">
            <v>414153</v>
          </cell>
          <cell r="J887">
            <v>0</v>
          </cell>
          <cell r="K887">
            <v>0</v>
          </cell>
          <cell r="L887">
            <v>742</v>
          </cell>
          <cell r="M887">
            <v>0</v>
          </cell>
          <cell r="N887">
            <v>0</v>
          </cell>
          <cell r="O887">
            <v>4039373</v>
          </cell>
          <cell r="P887">
            <v>512416</v>
          </cell>
          <cell r="Q887">
            <v>285908</v>
          </cell>
          <cell r="R887">
            <v>0</v>
          </cell>
          <cell r="S887">
            <v>0</v>
          </cell>
          <cell r="T887">
            <v>0</v>
          </cell>
          <cell r="U887">
            <v>1218889</v>
          </cell>
          <cell r="V887">
            <v>0</v>
          </cell>
          <cell r="W887">
            <v>37848</v>
          </cell>
          <cell r="X887">
            <v>0</v>
          </cell>
          <cell r="Y887">
            <v>0</v>
          </cell>
          <cell r="Z887">
            <v>4875545</v>
          </cell>
          <cell r="AA887">
            <v>4875545</v>
          </cell>
          <cell r="AB887" t="str">
            <v>ERTB</v>
          </cell>
          <cell r="AC887">
            <v>1101</v>
          </cell>
          <cell r="AD887">
            <v>2</v>
          </cell>
          <cell r="AE887">
            <v>414153</v>
          </cell>
        </row>
        <row r="888">
          <cell r="A888" t="str">
            <v>SMA</v>
          </cell>
          <cell r="B888">
            <v>5</v>
          </cell>
          <cell r="C888" t="str">
            <v>DRMN</v>
          </cell>
          <cell r="D888">
            <v>52</v>
          </cell>
          <cell r="E888">
            <v>7</v>
          </cell>
          <cell r="F888" t="str">
            <v xml:space="preserve">B </v>
          </cell>
          <cell r="G888">
            <v>0</v>
          </cell>
          <cell r="H888">
            <v>6</v>
          </cell>
          <cell r="I888">
            <v>14979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265048</v>
          </cell>
          <cell r="P888">
            <v>0</v>
          </cell>
          <cell r="Q888">
            <v>0</v>
          </cell>
          <cell r="R888">
            <v>964</v>
          </cell>
          <cell r="S888">
            <v>0</v>
          </cell>
          <cell r="T888">
            <v>0</v>
          </cell>
          <cell r="U888">
            <v>66262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265048</v>
          </cell>
          <cell r="AA888">
            <v>266012</v>
          </cell>
          <cell r="AB888" t="str">
            <v>ERTB</v>
          </cell>
          <cell r="AC888">
            <v>1101</v>
          </cell>
          <cell r="AD888">
            <v>2</v>
          </cell>
          <cell r="AE888">
            <v>14933</v>
          </cell>
        </row>
        <row r="889">
          <cell r="A889" t="str">
            <v>SMA</v>
          </cell>
          <cell r="B889">
            <v>5</v>
          </cell>
          <cell r="C889" t="str">
            <v>DRMN</v>
          </cell>
          <cell r="D889">
            <v>52</v>
          </cell>
          <cell r="E889">
            <v>8</v>
          </cell>
          <cell r="F889" t="str">
            <v xml:space="preserve">B </v>
          </cell>
          <cell r="G889">
            <v>0</v>
          </cell>
          <cell r="H889">
            <v>4</v>
          </cell>
          <cell r="I889">
            <v>6016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125244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31311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125244</v>
          </cell>
          <cell r="AA889">
            <v>125244</v>
          </cell>
          <cell r="AB889" t="str">
            <v>ERTB</v>
          </cell>
          <cell r="AC889">
            <v>1101</v>
          </cell>
          <cell r="AD889">
            <v>2</v>
          </cell>
          <cell r="AE889">
            <v>5993</v>
          </cell>
        </row>
        <row r="890">
          <cell r="A890" t="str">
            <v>SMA</v>
          </cell>
          <cell r="B890">
            <v>5</v>
          </cell>
          <cell r="C890" t="str">
            <v>DRMN</v>
          </cell>
          <cell r="D890">
            <v>52</v>
          </cell>
          <cell r="E890">
            <v>90</v>
          </cell>
          <cell r="F890" t="str">
            <v>A4</v>
          </cell>
          <cell r="G890">
            <v>20</v>
          </cell>
          <cell r="H890">
            <v>2</v>
          </cell>
          <cell r="I890">
            <v>50640</v>
          </cell>
          <cell r="J890">
            <v>0</v>
          </cell>
          <cell r="K890">
            <v>0</v>
          </cell>
          <cell r="L890">
            <v>169</v>
          </cell>
          <cell r="M890">
            <v>0</v>
          </cell>
          <cell r="N890">
            <v>0</v>
          </cell>
          <cell r="O890">
            <v>134500</v>
          </cell>
          <cell r="P890">
            <v>145171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279671</v>
          </cell>
          <cell r="AA890">
            <v>279671</v>
          </cell>
          <cell r="AB890" t="str">
            <v>ERTB</v>
          </cell>
          <cell r="AC890">
            <v>1101</v>
          </cell>
          <cell r="AD890">
            <v>2</v>
          </cell>
          <cell r="AE890">
            <v>50640</v>
          </cell>
        </row>
        <row r="891">
          <cell r="A891" t="str">
            <v>SMA</v>
          </cell>
          <cell r="B891">
            <v>5</v>
          </cell>
          <cell r="C891" t="str">
            <v>DRMN</v>
          </cell>
          <cell r="D891">
            <v>53</v>
          </cell>
          <cell r="E891">
            <v>1</v>
          </cell>
          <cell r="F891" t="str">
            <v xml:space="preserve">B </v>
          </cell>
          <cell r="G891">
            <v>1</v>
          </cell>
          <cell r="H891">
            <v>9198</v>
          </cell>
          <cell r="I891">
            <v>195569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3171904</v>
          </cell>
          <cell r="P891">
            <v>0</v>
          </cell>
          <cell r="Q891">
            <v>0</v>
          </cell>
          <cell r="R891">
            <v>41834</v>
          </cell>
          <cell r="S891">
            <v>0</v>
          </cell>
          <cell r="T891">
            <v>302587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422124</v>
          </cell>
          <cell r="Z891">
            <v>3171904</v>
          </cell>
          <cell r="AA891">
            <v>3938449</v>
          </cell>
          <cell r="AB891" t="str">
            <v>ERCP</v>
          </cell>
          <cell r="AC891">
            <v>1101</v>
          </cell>
          <cell r="AD891">
            <v>2</v>
          </cell>
          <cell r="AE891">
            <v>145696</v>
          </cell>
        </row>
        <row r="892">
          <cell r="A892" t="str">
            <v>SMA</v>
          </cell>
          <cell r="B892">
            <v>5</v>
          </cell>
          <cell r="C892" t="str">
            <v>DRMN</v>
          </cell>
          <cell r="D892">
            <v>53</v>
          </cell>
          <cell r="E892">
            <v>1</v>
          </cell>
          <cell r="F892" t="str">
            <v xml:space="preserve">B </v>
          </cell>
          <cell r="G892">
            <v>2</v>
          </cell>
          <cell r="H892">
            <v>5820</v>
          </cell>
          <cell r="I892">
            <v>239321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4642452</v>
          </cell>
          <cell r="P892">
            <v>0</v>
          </cell>
          <cell r="Q892">
            <v>0</v>
          </cell>
          <cell r="R892">
            <v>37652</v>
          </cell>
          <cell r="S892">
            <v>0</v>
          </cell>
          <cell r="T892">
            <v>84038</v>
          </cell>
          <cell r="U892">
            <v>789035</v>
          </cell>
          <cell r="V892">
            <v>0</v>
          </cell>
          <cell r="W892">
            <v>0</v>
          </cell>
          <cell r="X892">
            <v>0</v>
          </cell>
          <cell r="Y892">
            <v>436444</v>
          </cell>
          <cell r="Z892">
            <v>4642452</v>
          </cell>
          <cell r="AA892">
            <v>5200586</v>
          </cell>
          <cell r="AB892" t="str">
            <v>ERCP</v>
          </cell>
          <cell r="AC892">
            <v>1101</v>
          </cell>
          <cell r="AD892">
            <v>2</v>
          </cell>
          <cell r="AE892">
            <v>239154</v>
          </cell>
        </row>
        <row r="893">
          <cell r="A893" t="str">
            <v>SMA</v>
          </cell>
          <cell r="B893">
            <v>5</v>
          </cell>
          <cell r="C893" t="str">
            <v>DRMN</v>
          </cell>
          <cell r="D893">
            <v>53</v>
          </cell>
          <cell r="E893">
            <v>1</v>
          </cell>
          <cell r="F893" t="str">
            <v xml:space="preserve">B </v>
          </cell>
          <cell r="G893">
            <v>3</v>
          </cell>
          <cell r="H893">
            <v>15826</v>
          </cell>
          <cell r="I893">
            <v>1151231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22328394</v>
          </cell>
          <cell r="P893">
            <v>0</v>
          </cell>
          <cell r="Q893">
            <v>0</v>
          </cell>
          <cell r="R893">
            <v>187678</v>
          </cell>
          <cell r="S893">
            <v>0</v>
          </cell>
          <cell r="T893">
            <v>295677</v>
          </cell>
          <cell r="U893">
            <v>3795870</v>
          </cell>
          <cell r="V893">
            <v>0</v>
          </cell>
          <cell r="W893">
            <v>0</v>
          </cell>
          <cell r="X893">
            <v>0</v>
          </cell>
          <cell r="Y893">
            <v>1864787</v>
          </cell>
          <cell r="Z893">
            <v>22328394</v>
          </cell>
          <cell r="AA893">
            <v>24676536</v>
          </cell>
          <cell r="AB893" t="str">
            <v>ERCP</v>
          </cell>
          <cell r="AC893">
            <v>1101</v>
          </cell>
          <cell r="AD893">
            <v>2</v>
          </cell>
          <cell r="AE893">
            <v>1149472</v>
          </cell>
        </row>
        <row r="894">
          <cell r="A894" t="str">
            <v>SMA</v>
          </cell>
          <cell r="B894">
            <v>5</v>
          </cell>
          <cell r="C894" t="str">
            <v>DRMN</v>
          </cell>
          <cell r="D894">
            <v>53</v>
          </cell>
          <cell r="E894">
            <v>1</v>
          </cell>
          <cell r="F894" t="str">
            <v xml:space="preserve">B </v>
          </cell>
          <cell r="G894">
            <v>4</v>
          </cell>
          <cell r="H894">
            <v>3793</v>
          </cell>
          <cell r="I894">
            <v>456633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8857245</v>
          </cell>
          <cell r="P894">
            <v>0</v>
          </cell>
          <cell r="Q894">
            <v>0</v>
          </cell>
          <cell r="R894">
            <v>96721</v>
          </cell>
          <cell r="S894">
            <v>0</v>
          </cell>
          <cell r="T894">
            <v>136572</v>
          </cell>
          <cell r="U894">
            <v>1505806</v>
          </cell>
          <cell r="V894">
            <v>0</v>
          </cell>
          <cell r="W894">
            <v>0</v>
          </cell>
          <cell r="X894">
            <v>0</v>
          </cell>
          <cell r="Y894">
            <v>775062</v>
          </cell>
          <cell r="Z894">
            <v>8857245</v>
          </cell>
          <cell r="AA894">
            <v>9865600</v>
          </cell>
          <cell r="AB894" t="str">
            <v>ERCP</v>
          </cell>
          <cell r="AC894">
            <v>1101</v>
          </cell>
          <cell r="AD894">
            <v>2</v>
          </cell>
          <cell r="AE894">
            <v>456633</v>
          </cell>
        </row>
        <row r="895">
          <cell r="A895" t="str">
            <v>SMA</v>
          </cell>
          <cell r="B895">
            <v>5</v>
          </cell>
          <cell r="C895" t="str">
            <v>DRMN</v>
          </cell>
          <cell r="D895">
            <v>53</v>
          </cell>
          <cell r="E895">
            <v>1</v>
          </cell>
          <cell r="F895" t="str">
            <v xml:space="preserve">B </v>
          </cell>
          <cell r="G895">
            <v>5</v>
          </cell>
          <cell r="H895">
            <v>1207</v>
          </cell>
          <cell r="I895">
            <v>209718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4067570</v>
          </cell>
          <cell r="P895">
            <v>0</v>
          </cell>
          <cell r="Q895">
            <v>0</v>
          </cell>
          <cell r="R895">
            <v>46816</v>
          </cell>
          <cell r="S895">
            <v>0</v>
          </cell>
          <cell r="T895">
            <v>86344</v>
          </cell>
          <cell r="U895">
            <v>691529</v>
          </cell>
          <cell r="V895">
            <v>0</v>
          </cell>
          <cell r="W895">
            <v>0</v>
          </cell>
          <cell r="X895">
            <v>0</v>
          </cell>
          <cell r="Y895">
            <v>374505</v>
          </cell>
          <cell r="Z895">
            <v>4067570</v>
          </cell>
          <cell r="AA895">
            <v>4575235</v>
          </cell>
          <cell r="AB895" t="str">
            <v>ERCP</v>
          </cell>
          <cell r="AC895">
            <v>1101</v>
          </cell>
          <cell r="AD895">
            <v>2</v>
          </cell>
          <cell r="AE895">
            <v>209718</v>
          </cell>
        </row>
        <row r="896">
          <cell r="A896" t="str">
            <v>SMA</v>
          </cell>
          <cell r="B896">
            <v>5</v>
          </cell>
          <cell r="C896" t="str">
            <v>DRMN</v>
          </cell>
          <cell r="D896">
            <v>53</v>
          </cell>
          <cell r="E896">
            <v>1</v>
          </cell>
          <cell r="F896" t="str">
            <v xml:space="preserve">B </v>
          </cell>
          <cell r="G896">
            <v>6</v>
          </cell>
          <cell r="H896">
            <v>766</v>
          </cell>
          <cell r="I896">
            <v>182314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3535969</v>
          </cell>
          <cell r="P896">
            <v>0</v>
          </cell>
          <cell r="Q896">
            <v>0</v>
          </cell>
          <cell r="R896">
            <v>41372</v>
          </cell>
          <cell r="S896">
            <v>0</v>
          </cell>
          <cell r="T896">
            <v>71955</v>
          </cell>
          <cell r="U896">
            <v>601242</v>
          </cell>
          <cell r="V896">
            <v>0</v>
          </cell>
          <cell r="W896">
            <v>0</v>
          </cell>
          <cell r="X896">
            <v>0</v>
          </cell>
          <cell r="Y896">
            <v>226098</v>
          </cell>
          <cell r="Z896">
            <v>3535969</v>
          </cell>
          <cell r="AA896">
            <v>3875394</v>
          </cell>
          <cell r="AB896" t="str">
            <v>ERCP</v>
          </cell>
          <cell r="AC896">
            <v>1101</v>
          </cell>
          <cell r="AD896">
            <v>2</v>
          </cell>
          <cell r="AE896">
            <v>182314</v>
          </cell>
        </row>
        <row r="897">
          <cell r="A897" t="str">
            <v>SMA</v>
          </cell>
          <cell r="B897">
            <v>5</v>
          </cell>
          <cell r="C897" t="str">
            <v>DRMN</v>
          </cell>
          <cell r="D897">
            <v>53</v>
          </cell>
          <cell r="E897">
            <v>1</v>
          </cell>
          <cell r="F897" t="str">
            <v xml:space="preserve">B </v>
          </cell>
          <cell r="G897">
            <v>7</v>
          </cell>
          <cell r="H897">
            <v>204</v>
          </cell>
          <cell r="I897">
            <v>67105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1349605</v>
          </cell>
          <cell r="P897">
            <v>0</v>
          </cell>
          <cell r="Q897">
            <v>0</v>
          </cell>
          <cell r="R897">
            <v>13283</v>
          </cell>
          <cell r="S897">
            <v>0</v>
          </cell>
          <cell r="T897">
            <v>28796</v>
          </cell>
          <cell r="U897">
            <v>269991</v>
          </cell>
          <cell r="V897">
            <v>0</v>
          </cell>
          <cell r="W897">
            <v>0</v>
          </cell>
          <cell r="X897">
            <v>0</v>
          </cell>
          <cell r="Y897">
            <v>81862</v>
          </cell>
          <cell r="Z897">
            <v>1349605</v>
          </cell>
          <cell r="AA897">
            <v>1473546</v>
          </cell>
          <cell r="AB897" t="str">
            <v>ERCP</v>
          </cell>
          <cell r="AC897">
            <v>1101</v>
          </cell>
          <cell r="AD897">
            <v>2</v>
          </cell>
          <cell r="AE897">
            <v>67105</v>
          </cell>
        </row>
        <row r="898">
          <cell r="A898" t="str">
            <v>SMA</v>
          </cell>
          <cell r="B898">
            <v>5</v>
          </cell>
          <cell r="C898" t="str">
            <v>DRMN</v>
          </cell>
          <cell r="D898">
            <v>53</v>
          </cell>
          <cell r="E898">
            <v>1</v>
          </cell>
          <cell r="F898" t="str">
            <v xml:space="preserve">B </v>
          </cell>
          <cell r="G898">
            <v>8</v>
          </cell>
          <cell r="H898">
            <v>94</v>
          </cell>
          <cell r="I898">
            <v>36916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751633</v>
          </cell>
          <cell r="P898">
            <v>0</v>
          </cell>
          <cell r="Q898">
            <v>0</v>
          </cell>
          <cell r="R898">
            <v>7748</v>
          </cell>
          <cell r="S898">
            <v>0</v>
          </cell>
          <cell r="T898">
            <v>18650</v>
          </cell>
          <cell r="U898">
            <v>150341</v>
          </cell>
          <cell r="V898">
            <v>0</v>
          </cell>
          <cell r="W898">
            <v>0</v>
          </cell>
          <cell r="X898">
            <v>0</v>
          </cell>
          <cell r="Y898">
            <v>26748</v>
          </cell>
          <cell r="Z898">
            <v>751633</v>
          </cell>
          <cell r="AA898">
            <v>804779</v>
          </cell>
          <cell r="AB898" t="str">
            <v>ERCP</v>
          </cell>
          <cell r="AC898">
            <v>1101</v>
          </cell>
          <cell r="AD898">
            <v>2</v>
          </cell>
          <cell r="AE898">
            <v>36916</v>
          </cell>
        </row>
        <row r="899">
          <cell r="A899" t="str">
            <v>SMA</v>
          </cell>
          <cell r="B899">
            <v>5</v>
          </cell>
          <cell r="C899" t="str">
            <v>DRMN</v>
          </cell>
          <cell r="D899">
            <v>53</v>
          </cell>
          <cell r="E899">
            <v>1</v>
          </cell>
          <cell r="F899" t="str">
            <v xml:space="preserve">B </v>
          </cell>
          <cell r="G899">
            <v>9</v>
          </cell>
          <cell r="H899">
            <v>104</v>
          </cell>
          <cell r="I899">
            <v>61317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1315667</v>
          </cell>
          <cell r="P899">
            <v>0</v>
          </cell>
          <cell r="Q899">
            <v>0</v>
          </cell>
          <cell r="R899">
            <v>12546</v>
          </cell>
          <cell r="S899">
            <v>0</v>
          </cell>
          <cell r="T899">
            <v>36666</v>
          </cell>
          <cell r="U899">
            <v>328949</v>
          </cell>
          <cell r="V899">
            <v>0</v>
          </cell>
          <cell r="W899">
            <v>0</v>
          </cell>
          <cell r="X899">
            <v>0</v>
          </cell>
          <cell r="Y899">
            <v>46819</v>
          </cell>
          <cell r="Z899">
            <v>1315667</v>
          </cell>
          <cell r="AA899">
            <v>1411698</v>
          </cell>
          <cell r="AB899" t="str">
            <v>ERCP</v>
          </cell>
          <cell r="AC899">
            <v>1101</v>
          </cell>
          <cell r="AD899">
            <v>2</v>
          </cell>
          <cell r="AE899">
            <v>61317</v>
          </cell>
        </row>
        <row r="900">
          <cell r="A900" t="str">
            <v>SMA</v>
          </cell>
          <cell r="B900">
            <v>5</v>
          </cell>
          <cell r="C900" t="str">
            <v>DRMN</v>
          </cell>
          <cell r="D900">
            <v>53</v>
          </cell>
          <cell r="E900">
            <v>1</v>
          </cell>
          <cell r="F900" t="str">
            <v xml:space="preserve">B </v>
          </cell>
          <cell r="G900">
            <v>10</v>
          </cell>
          <cell r="H900">
            <v>31</v>
          </cell>
          <cell r="I900">
            <v>65655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1407501</v>
          </cell>
          <cell r="P900">
            <v>0</v>
          </cell>
          <cell r="Q900">
            <v>0</v>
          </cell>
          <cell r="R900">
            <v>4189</v>
          </cell>
          <cell r="S900">
            <v>0</v>
          </cell>
          <cell r="T900">
            <v>0</v>
          </cell>
          <cell r="U900">
            <v>351875</v>
          </cell>
          <cell r="V900">
            <v>0</v>
          </cell>
          <cell r="W900">
            <v>0</v>
          </cell>
          <cell r="X900">
            <v>0</v>
          </cell>
          <cell r="Y900">
            <v>9593</v>
          </cell>
          <cell r="Z900">
            <v>1407501</v>
          </cell>
          <cell r="AA900">
            <v>1421283</v>
          </cell>
          <cell r="AB900" t="str">
            <v>ERCP</v>
          </cell>
          <cell r="AC900">
            <v>1101</v>
          </cell>
          <cell r="AD900">
            <v>2</v>
          </cell>
          <cell r="AE900">
            <v>65655</v>
          </cell>
        </row>
        <row r="901">
          <cell r="A901" t="str">
            <v>SMA</v>
          </cell>
          <cell r="B901">
            <v>5</v>
          </cell>
          <cell r="C901" t="str">
            <v>DRMN</v>
          </cell>
          <cell r="D901">
            <v>53</v>
          </cell>
          <cell r="E901">
            <v>1</v>
          </cell>
          <cell r="F901" t="str">
            <v xml:space="preserve">B </v>
          </cell>
          <cell r="G901">
            <v>11</v>
          </cell>
          <cell r="H901">
            <v>937</v>
          </cell>
          <cell r="I901">
            <v>20517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116087</v>
          </cell>
          <cell r="P901">
            <v>0</v>
          </cell>
          <cell r="Q901">
            <v>0</v>
          </cell>
          <cell r="R901">
            <v>2080</v>
          </cell>
          <cell r="S901">
            <v>1380</v>
          </cell>
          <cell r="T901">
            <v>19001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48555</v>
          </cell>
          <cell r="Z901">
            <v>116087</v>
          </cell>
          <cell r="AA901">
            <v>187103</v>
          </cell>
          <cell r="AB901" t="str">
            <v>ERCP</v>
          </cell>
          <cell r="AC901">
            <v>1101</v>
          </cell>
          <cell r="AD901">
            <v>2</v>
          </cell>
          <cell r="AE901">
            <v>13963</v>
          </cell>
        </row>
        <row r="902">
          <cell r="A902" t="str">
            <v>SMA</v>
          </cell>
          <cell r="B902">
            <v>5</v>
          </cell>
          <cell r="C902" t="str">
            <v>DRMN</v>
          </cell>
          <cell r="D902">
            <v>53</v>
          </cell>
          <cell r="E902">
            <v>1</v>
          </cell>
          <cell r="F902" t="str">
            <v xml:space="preserve">B </v>
          </cell>
          <cell r="G902">
            <v>12</v>
          </cell>
          <cell r="H902">
            <v>976</v>
          </cell>
          <cell r="I902">
            <v>59072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542122</v>
          </cell>
          <cell r="P902">
            <v>0</v>
          </cell>
          <cell r="Q902">
            <v>0</v>
          </cell>
          <cell r="R902">
            <v>5740</v>
          </cell>
          <cell r="S902">
            <v>0</v>
          </cell>
          <cell r="T902">
            <v>16760</v>
          </cell>
          <cell r="U902">
            <v>92213</v>
          </cell>
          <cell r="V902">
            <v>0</v>
          </cell>
          <cell r="W902">
            <v>0</v>
          </cell>
          <cell r="X902">
            <v>0</v>
          </cell>
          <cell r="Y902">
            <v>113484</v>
          </cell>
          <cell r="Z902">
            <v>542122</v>
          </cell>
          <cell r="AA902">
            <v>678106</v>
          </cell>
          <cell r="AB902" t="str">
            <v>ERCP</v>
          </cell>
          <cell r="AC902">
            <v>1101</v>
          </cell>
          <cell r="AD902">
            <v>2</v>
          </cell>
          <cell r="AE902">
            <v>59072</v>
          </cell>
        </row>
        <row r="903">
          <cell r="A903" t="str">
            <v>SMA</v>
          </cell>
          <cell r="B903">
            <v>5</v>
          </cell>
          <cell r="C903" t="str">
            <v>DRMN</v>
          </cell>
          <cell r="D903">
            <v>53</v>
          </cell>
          <cell r="E903">
            <v>1</v>
          </cell>
          <cell r="F903" t="str">
            <v xml:space="preserve">B </v>
          </cell>
          <cell r="G903">
            <v>13</v>
          </cell>
          <cell r="H903">
            <v>76</v>
          </cell>
          <cell r="I903">
            <v>8747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112891</v>
          </cell>
          <cell r="P903">
            <v>0</v>
          </cell>
          <cell r="Q903">
            <v>0</v>
          </cell>
          <cell r="R903">
            <v>952</v>
          </cell>
          <cell r="S903">
            <v>0</v>
          </cell>
          <cell r="T903">
            <v>2415</v>
          </cell>
          <cell r="U903">
            <v>19193</v>
          </cell>
          <cell r="V903">
            <v>0</v>
          </cell>
          <cell r="W903">
            <v>0</v>
          </cell>
          <cell r="X903">
            <v>0</v>
          </cell>
          <cell r="Y903">
            <v>18904</v>
          </cell>
          <cell r="Z903">
            <v>112891</v>
          </cell>
          <cell r="AA903">
            <v>135162</v>
          </cell>
          <cell r="AB903" t="str">
            <v>ERCP</v>
          </cell>
          <cell r="AC903">
            <v>1101</v>
          </cell>
          <cell r="AD903">
            <v>2</v>
          </cell>
          <cell r="AE903">
            <v>8747</v>
          </cell>
        </row>
        <row r="904">
          <cell r="A904" t="str">
            <v>SMA</v>
          </cell>
          <cell r="B904">
            <v>5</v>
          </cell>
          <cell r="C904" t="str">
            <v>DRMN</v>
          </cell>
          <cell r="D904">
            <v>53</v>
          </cell>
          <cell r="E904">
            <v>1</v>
          </cell>
          <cell r="F904" t="str">
            <v xml:space="preserve">B </v>
          </cell>
          <cell r="G904">
            <v>14</v>
          </cell>
          <cell r="H904">
            <v>6</v>
          </cell>
          <cell r="I904">
            <v>890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11264</v>
          </cell>
          <cell r="P904">
            <v>0</v>
          </cell>
          <cell r="Q904">
            <v>0</v>
          </cell>
          <cell r="R904">
            <v>24</v>
          </cell>
          <cell r="S904">
            <v>0</v>
          </cell>
          <cell r="T904">
            <v>0</v>
          </cell>
          <cell r="U904">
            <v>1916</v>
          </cell>
          <cell r="V904">
            <v>0</v>
          </cell>
          <cell r="W904">
            <v>0</v>
          </cell>
          <cell r="X904">
            <v>0</v>
          </cell>
          <cell r="Y904">
            <v>2780</v>
          </cell>
          <cell r="Z904">
            <v>11264</v>
          </cell>
          <cell r="AA904">
            <v>14068</v>
          </cell>
          <cell r="AB904" t="str">
            <v>ERCP</v>
          </cell>
          <cell r="AC904">
            <v>1101</v>
          </cell>
          <cell r="AD904">
            <v>2</v>
          </cell>
          <cell r="AE904">
            <v>890</v>
          </cell>
        </row>
        <row r="905">
          <cell r="A905" t="str">
            <v>SMA</v>
          </cell>
          <cell r="B905">
            <v>5</v>
          </cell>
          <cell r="C905" t="str">
            <v>DRMN</v>
          </cell>
          <cell r="D905">
            <v>53</v>
          </cell>
          <cell r="E905">
            <v>1</v>
          </cell>
          <cell r="F905" t="str">
            <v xml:space="preserve">B </v>
          </cell>
          <cell r="G905">
            <v>15</v>
          </cell>
          <cell r="H905">
            <v>14</v>
          </cell>
          <cell r="I905">
            <v>3956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65209</v>
          </cell>
          <cell r="P905">
            <v>0</v>
          </cell>
          <cell r="Q905">
            <v>0</v>
          </cell>
          <cell r="R905">
            <v>377</v>
          </cell>
          <cell r="S905">
            <v>0</v>
          </cell>
          <cell r="T905">
            <v>440</v>
          </cell>
          <cell r="U905">
            <v>13148</v>
          </cell>
          <cell r="V905">
            <v>0</v>
          </cell>
          <cell r="W905">
            <v>0</v>
          </cell>
          <cell r="X905">
            <v>0</v>
          </cell>
          <cell r="Y905">
            <v>7641</v>
          </cell>
          <cell r="Z905">
            <v>65209</v>
          </cell>
          <cell r="AA905">
            <v>73667</v>
          </cell>
          <cell r="AB905" t="str">
            <v>ERCP</v>
          </cell>
          <cell r="AC905">
            <v>1101</v>
          </cell>
          <cell r="AD905">
            <v>2</v>
          </cell>
          <cell r="AE905">
            <v>3956</v>
          </cell>
        </row>
        <row r="906">
          <cell r="A906" t="str">
            <v>SMA</v>
          </cell>
          <cell r="B906">
            <v>5</v>
          </cell>
          <cell r="C906" t="str">
            <v>DRMN</v>
          </cell>
          <cell r="D906">
            <v>53</v>
          </cell>
          <cell r="E906">
            <v>2</v>
          </cell>
          <cell r="F906" t="str">
            <v>A4</v>
          </cell>
          <cell r="G906">
            <v>22</v>
          </cell>
          <cell r="H906">
            <v>1</v>
          </cell>
          <cell r="I906">
            <v>672993</v>
          </cell>
          <cell r="J906">
            <v>71598</v>
          </cell>
          <cell r="K906">
            <v>601395</v>
          </cell>
          <cell r="L906">
            <v>1833</v>
          </cell>
          <cell r="M906">
            <v>1323</v>
          </cell>
          <cell r="N906">
            <v>1500</v>
          </cell>
          <cell r="O906">
            <v>4855900</v>
          </cell>
          <cell r="P906">
            <v>4019752</v>
          </cell>
          <cell r="Q906">
            <v>256450</v>
          </cell>
          <cell r="R906">
            <v>6798</v>
          </cell>
          <cell r="S906">
            <v>0</v>
          </cell>
          <cell r="T906">
            <v>0</v>
          </cell>
          <cell r="U906">
            <v>2283025</v>
          </cell>
          <cell r="V906">
            <v>0</v>
          </cell>
          <cell r="W906">
            <v>0</v>
          </cell>
          <cell r="X906">
            <v>0</v>
          </cell>
          <cell r="Y906">
            <v>2454</v>
          </cell>
          <cell r="Z906">
            <v>9132102</v>
          </cell>
          <cell r="AA906">
            <v>9141354</v>
          </cell>
          <cell r="AB906" t="str">
            <v>ERCP</v>
          </cell>
          <cell r="AC906">
            <v>1101</v>
          </cell>
          <cell r="AD906">
            <v>2</v>
          </cell>
          <cell r="AE906">
            <v>672993</v>
          </cell>
        </row>
        <row r="907">
          <cell r="A907" t="str">
            <v>SMA</v>
          </cell>
          <cell r="B907">
            <v>5</v>
          </cell>
          <cell r="C907" t="str">
            <v>DRMN</v>
          </cell>
          <cell r="D907">
            <v>53</v>
          </cell>
          <cell r="E907">
            <v>2</v>
          </cell>
          <cell r="F907" t="str">
            <v>A4</v>
          </cell>
          <cell r="G907">
            <v>21</v>
          </cell>
          <cell r="H907">
            <v>14</v>
          </cell>
          <cell r="I907">
            <v>1477304</v>
          </cell>
          <cell r="J907">
            <v>11045</v>
          </cell>
          <cell r="K907">
            <v>1466259</v>
          </cell>
          <cell r="L907">
            <v>7370</v>
          </cell>
          <cell r="M907">
            <v>7240</v>
          </cell>
          <cell r="N907">
            <v>0</v>
          </cell>
          <cell r="O907">
            <v>10115159</v>
          </cell>
          <cell r="P907">
            <v>5269614</v>
          </cell>
          <cell r="Q907">
            <v>361175</v>
          </cell>
          <cell r="R907">
            <v>133692</v>
          </cell>
          <cell r="S907">
            <v>0</v>
          </cell>
          <cell r="T907">
            <v>747052</v>
          </cell>
          <cell r="U907">
            <v>3936489</v>
          </cell>
          <cell r="V907">
            <v>0</v>
          </cell>
          <cell r="W907">
            <v>0</v>
          </cell>
          <cell r="X907">
            <v>0</v>
          </cell>
          <cell r="Y907">
            <v>17266</v>
          </cell>
          <cell r="Z907">
            <v>15745948</v>
          </cell>
          <cell r="AA907">
            <v>16643958</v>
          </cell>
          <cell r="AB907" t="str">
            <v>ERCP</v>
          </cell>
          <cell r="AC907">
            <v>1101</v>
          </cell>
          <cell r="AD907">
            <v>2</v>
          </cell>
          <cell r="AE907">
            <v>1477304</v>
          </cell>
        </row>
        <row r="908">
          <cell r="A908" t="str">
            <v>SMA</v>
          </cell>
          <cell r="B908">
            <v>5</v>
          </cell>
          <cell r="C908" t="str">
            <v>DRMN</v>
          </cell>
          <cell r="D908">
            <v>53</v>
          </cell>
          <cell r="E908">
            <v>2</v>
          </cell>
          <cell r="F908" t="str">
            <v>A4</v>
          </cell>
          <cell r="G908">
            <v>20</v>
          </cell>
          <cell r="H908">
            <v>39</v>
          </cell>
          <cell r="I908">
            <v>914965</v>
          </cell>
          <cell r="J908">
            <v>0</v>
          </cell>
          <cell r="K908">
            <v>0</v>
          </cell>
          <cell r="L908">
            <v>4923</v>
          </cell>
          <cell r="M908">
            <v>0</v>
          </cell>
          <cell r="N908">
            <v>0</v>
          </cell>
          <cell r="O908">
            <v>10498920</v>
          </cell>
          <cell r="P908">
            <v>3853068</v>
          </cell>
          <cell r="Q908">
            <v>864340</v>
          </cell>
          <cell r="R908">
            <v>186222</v>
          </cell>
          <cell r="S908">
            <v>0</v>
          </cell>
          <cell r="T908">
            <v>2288620</v>
          </cell>
          <cell r="U908">
            <v>3891355</v>
          </cell>
          <cell r="V908">
            <v>0</v>
          </cell>
          <cell r="W908">
            <v>349069</v>
          </cell>
          <cell r="X908">
            <v>0</v>
          </cell>
          <cell r="Y908">
            <v>31745</v>
          </cell>
          <cell r="Z908">
            <v>15565397</v>
          </cell>
          <cell r="AA908">
            <v>18071984</v>
          </cell>
          <cell r="AB908" t="str">
            <v>ERCP</v>
          </cell>
          <cell r="AC908">
            <v>1101</v>
          </cell>
          <cell r="AD908">
            <v>2</v>
          </cell>
          <cell r="AE908">
            <v>914965</v>
          </cell>
        </row>
        <row r="909">
          <cell r="A909" t="str">
            <v>SMA</v>
          </cell>
          <cell r="B909">
            <v>5</v>
          </cell>
          <cell r="C909" t="str">
            <v>DRMN</v>
          </cell>
          <cell r="D909">
            <v>53</v>
          </cell>
          <cell r="E909">
            <v>2</v>
          </cell>
          <cell r="F909" t="str">
            <v xml:space="preserve">B </v>
          </cell>
          <cell r="G909">
            <v>0</v>
          </cell>
          <cell r="H909">
            <v>160</v>
          </cell>
          <cell r="I909">
            <v>94259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1963557</v>
          </cell>
          <cell r="P909">
            <v>0</v>
          </cell>
          <cell r="Q909">
            <v>0</v>
          </cell>
          <cell r="R909">
            <v>31215</v>
          </cell>
          <cell r="S909">
            <v>0</v>
          </cell>
          <cell r="T909">
            <v>78438</v>
          </cell>
          <cell r="U909">
            <v>466997</v>
          </cell>
          <cell r="V909">
            <v>0</v>
          </cell>
          <cell r="W909">
            <v>0</v>
          </cell>
          <cell r="X909">
            <v>0</v>
          </cell>
          <cell r="Y909">
            <v>75855</v>
          </cell>
          <cell r="Z909">
            <v>1963557</v>
          </cell>
          <cell r="AA909">
            <v>2149065</v>
          </cell>
          <cell r="AB909" t="str">
            <v>ERCP</v>
          </cell>
          <cell r="AC909">
            <v>1101</v>
          </cell>
          <cell r="AD909">
            <v>2</v>
          </cell>
          <cell r="AE909">
            <v>91968</v>
          </cell>
        </row>
        <row r="910">
          <cell r="A910" t="str">
            <v>SMA</v>
          </cell>
          <cell r="B910">
            <v>5</v>
          </cell>
          <cell r="C910" t="str">
            <v>DRMN</v>
          </cell>
          <cell r="D910">
            <v>53</v>
          </cell>
          <cell r="E910">
            <v>3</v>
          </cell>
          <cell r="F910" t="str">
            <v>A4</v>
          </cell>
          <cell r="G910">
            <v>21</v>
          </cell>
          <cell r="H910">
            <v>1</v>
          </cell>
          <cell r="I910">
            <v>8930</v>
          </cell>
          <cell r="J910">
            <v>650</v>
          </cell>
          <cell r="K910">
            <v>8280</v>
          </cell>
          <cell r="L910">
            <v>50</v>
          </cell>
          <cell r="M910">
            <v>50</v>
          </cell>
          <cell r="N910">
            <v>0</v>
          </cell>
          <cell r="O910">
            <v>93424</v>
          </cell>
          <cell r="P910">
            <v>34533</v>
          </cell>
          <cell r="Q910">
            <v>1840</v>
          </cell>
          <cell r="R910">
            <v>0</v>
          </cell>
          <cell r="S910">
            <v>0</v>
          </cell>
          <cell r="T910">
            <v>0</v>
          </cell>
          <cell r="U910">
            <v>32449</v>
          </cell>
          <cell r="V910">
            <v>0</v>
          </cell>
          <cell r="W910">
            <v>0</v>
          </cell>
          <cell r="X910">
            <v>0</v>
          </cell>
          <cell r="Y910">
            <v>2454</v>
          </cell>
          <cell r="Z910">
            <v>129797</v>
          </cell>
          <cell r="AA910">
            <v>132251</v>
          </cell>
          <cell r="AB910" t="str">
            <v>ERCP</v>
          </cell>
          <cell r="AC910">
            <v>1101</v>
          </cell>
          <cell r="AD910">
            <v>2</v>
          </cell>
          <cell r="AE910">
            <v>8930</v>
          </cell>
        </row>
        <row r="911">
          <cell r="A911" t="str">
            <v>SMA</v>
          </cell>
          <cell r="B911">
            <v>5</v>
          </cell>
          <cell r="C911" t="str">
            <v>DRMN</v>
          </cell>
          <cell r="D911">
            <v>53</v>
          </cell>
          <cell r="E911">
            <v>3</v>
          </cell>
          <cell r="F911" t="str">
            <v>A4</v>
          </cell>
          <cell r="G911">
            <v>20</v>
          </cell>
          <cell r="H911">
            <v>10</v>
          </cell>
          <cell r="I911">
            <v>112064</v>
          </cell>
          <cell r="J911">
            <v>0</v>
          </cell>
          <cell r="K911">
            <v>0</v>
          </cell>
          <cell r="L911">
            <v>431</v>
          </cell>
          <cell r="M911">
            <v>0</v>
          </cell>
          <cell r="N911">
            <v>0</v>
          </cell>
          <cell r="O911">
            <v>1285899</v>
          </cell>
          <cell r="P911">
            <v>337328</v>
          </cell>
          <cell r="Q911">
            <v>17408</v>
          </cell>
          <cell r="R911">
            <v>4820</v>
          </cell>
          <cell r="S911">
            <v>0</v>
          </cell>
          <cell r="T911">
            <v>0</v>
          </cell>
          <cell r="U911">
            <v>411724</v>
          </cell>
          <cell r="V911">
            <v>0</v>
          </cell>
          <cell r="W911">
            <v>6261</v>
          </cell>
          <cell r="X911">
            <v>0</v>
          </cell>
          <cell r="Y911">
            <v>19444</v>
          </cell>
          <cell r="Z911">
            <v>1646896</v>
          </cell>
          <cell r="AA911">
            <v>1671160</v>
          </cell>
          <cell r="AB911" t="str">
            <v>ERCP</v>
          </cell>
          <cell r="AC911">
            <v>1101</v>
          </cell>
          <cell r="AD911">
            <v>2</v>
          </cell>
          <cell r="AE911">
            <v>112064</v>
          </cell>
        </row>
        <row r="912">
          <cell r="A912" t="str">
            <v>SMA</v>
          </cell>
          <cell r="B912">
            <v>5</v>
          </cell>
          <cell r="C912" t="str">
            <v>DRMN</v>
          </cell>
          <cell r="D912">
            <v>53</v>
          </cell>
          <cell r="E912">
            <v>3</v>
          </cell>
          <cell r="F912" t="str">
            <v xml:space="preserve">B </v>
          </cell>
          <cell r="G912">
            <v>0</v>
          </cell>
          <cell r="H912">
            <v>3066</v>
          </cell>
          <cell r="I912">
            <v>608607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12668821</v>
          </cell>
          <cell r="P912">
            <v>0</v>
          </cell>
          <cell r="Q912">
            <v>0</v>
          </cell>
          <cell r="R912">
            <v>150429</v>
          </cell>
          <cell r="S912">
            <v>0</v>
          </cell>
          <cell r="T912">
            <v>916728</v>
          </cell>
          <cell r="U912">
            <v>3138525</v>
          </cell>
          <cell r="V912">
            <v>0</v>
          </cell>
          <cell r="W912">
            <v>0</v>
          </cell>
          <cell r="X912">
            <v>0</v>
          </cell>
          <cell r="Y912">
            <v>895914</v>
          </cell>
          <cell r="Z912">
            <v>12668821</v>
          </cell>
          <cell r="AA912">
            <v>14631892</v>
          </cell>
          <cell r="AB912" t="str">
            <v>ERCP</v>
          </cell>
          <cell r="AC912">
            <v>1101</v>
          </cell>
          <cell r="AD912">
            <v>2</v>
          </cell>
          <cell r="AE912">
            <v>585415</v>
          </cell>
        </row>
        <row r="913">
          <cell r="A913" t="str">
            <v>SMA</v>
          </cell>
          <cell r="B913">
            <v>5</v>
          </cell>
          <cell r="C913" t="str">
            <v>DRMN</v>
          </cell>
          <cell r="D913">
            <v>53</v>
          </cell>
          <cell r="E913">
            <v>4</v>
          </cell>
          <cell r="F913" t="str">
            <v>A4</v>
          </cell>
          <cell r="G913">
            <v>21</v>
          </cell>
          <cell r="H913">
            <v>2</v>
          </cell>
          <cell r="I913">
            <v>30413</v>
          </cell>
          <cell r="J913">
            <v>135</v>
          </cell>
          <cell r="K913">
            <v>30278</v>
          </cell>
          <cell r="L913">
            <v>1141</v>
          </cell>
          <cell r="M913">
            <v>713</v>
          </cell>
          <cell r="N913">
            <v>0</v>
          </cell>
          <cell r="O913">
            <v>137553</v>
          </cell>
          <cell r="P913">
            <v>996942</v>
          </cell>
          <cell r="Q913">
            <v>826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1135321</v>
          </cell>
          <cell r="AA913">
            <v>1135321</v>
          </cell>
          <cell r="AB913" t="str">
            <v>ERCP</v>
          </cell>
          <cell r="AC913">
            <v>1101</v>
          </cell>
          <cell r="AD913">
            <v>2</v>
          </cell>
          <cell r="AE913">
            <v>30413</v>
          </cell>
        </row>
        <row r="914">
          <cell r="A914" t="str">
            <v>SMA</v>
          </cell>
          <cell r="B914">
            <v>5</v>
          </cell>
          <cell r="C914" t="str">
            <v>DRMN</v>
          </cell>
          <cell r="D914">
            <v>53</v>
          </cell>
          <cell r="E914">
            <v>4</v>
          </cell>
          <cell r="F914" t="str">
            <v>A4</v>
          </cell>
          <cell r="G914">
            <v>20</v>
          </cell>
          <cell r="H914">
            <v>13</v>
          </cell>
          <cell r="I914">
            <v>211664</v>
          </cell>
          <cell r="J914">
            <v>0</v>
          </cell>
          <cell r="K914">
            <v>0</v>
          </cell>
          <cell r="L914">
            <v>809</v>
          </cell>
          <cell r="M914">
            <v>0</v>
          </cell>
          <cell r="N914">
            <v>0</v>
          </cell>
          <cell r="O914">
            <v>1639337</v>
          </cell>
          <cell r="P914">
            <v>427152</v>
          </cell>
          <cell r="Q914">
            <v>126607</v>
          </cell>
          <cell r="R914">
            <v>13734</v>
          </cell>
          <cell r="S914">
            <v>0</v>
          </cell>
          <cell r="T914">
            <v>17330</v>
          </cell>
          <cell r="U914">
            <v>0</v>
          </cell>
          <cell r="V914">
            <v>0</v>
          </cell>
          <cell r="W914">
            <v>35376</v>
          </cell>
          <cell r="X914">
            <v>0</v>
          </cell>
          <cell r="Y914">
            <v>0</v>
          </cell>
          <cell r="Z914">
            <v>2228472</v>
          </cell>
          <cell r="AA914">
            <v>2259536</v>
          </cell>
          <cell r="AB914" t="str">
            <v>ERCP</v>
          </cell>
          <cell r="AC914">
            <v>1101</v>
          </cell>
          <cell r="AD914">
            <v>2</v>
          </cell>
          <cell r="AE914">
            <v>211664</v>
          </cell>
        </row>
        <row r="915">
          <cell r="A915" t="str">
            <v>SMA</v>
          </cell>
          <cell r="B915">
            <v>5</v>
          </cell>
          <cell r="C915" t="str">
            <v>DRMN</v>
          </cell>
          <cell r="D915">
            <v>53</v>
          </cell>
          <cell r="E915">
            <v>4</v>
          </cell>
          <cell r="F915" t="str">
            <v xml:space="preserve">B </v>
          </cell>
          <cell r="G915">
            <v>0</v>
          </cell>
          <cell r="H915">
            <v>139</v>
          </cell>
          <cell r="I915">
            <v>47537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465309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9882</v>
          </cell>
          <cell r="U915">
            <v>0</v>
          </cell>
          <cell r="V915">
            <v>5927</v>
          </cell>
          <cell r="W915">
            <v>0</v>
          </cell>
          <cell r="X915">
            <v>0</v>
          </cell>
          <cell r="Y915">
            <v>0</v>
          </cell>
          <cell r="Z915">
            <v>465309</v>
          </cell>
          <cell r="AA915">
            <v>481118</v>
          </cell>
          <cell r="AB915" t="str">
            <v>ERCP</v>
          </cell>
          <cell r="AC915">
            <v>1101</v>
          </cell>
          <cell r="AD915">
            <v>2</v>
          </cell>
          <cell r="AE915">
            <v>46355</v>
          </cell>
        </row>
        <row r="916">
          <cell r="A916" t="str">
            <v>SMA</v>
          </cell>
          <cell r="B916">
            <v>5</v>
          </cell>
          <cell r="C916" t="str">
            <v>DRMN</v>
          </cell>
          <cell r="D916">
            <v>53</v>
          </cell>
          <cell r="E916">
            <v>5</v>
          </cell>
          <cell r="F916" t="str">
            <v>A4</v>
          </cell>
          <cell r="G916">
            <v>20</v>
          </cell>
          <cell r="H916">
            <v>5</v>
          </cell>
          <cell r="I916">
            <v>40253</v>
          </cell>
          <cell r="J916">
            <v>0</v>
          </cell>
          <cell r="K916">
            <v>0</v>
          </cell>
          <cell r="L916">
            <v>215</v>
          </cell>
          <cell r="M916">
            <v>0</v>
          </cell>
          <cell r="N916">
            <v>0</v>
          </cell>
          <cell r="O916">
            <v>430867</v>
          </cell>
          <cell r="P916">
            <v>161620</v>
          </cell>
          <cell r="Q916">
            <v>64181</v>
          </cell>
          <cell r="R916">
            <v>5348</v>
          </cell>
          <cell r="S916">
            <v>0</v>
          </cell>
          <cell r="T916">
            <v>0</v>
          </cell>
          <cell r="U916">
            <v>143547</v>
          </cell>
          <cell r="V916">
            <v>0</v>
          </cell>
          <cell r="W916">
            <v>37176</v>
          </cell>
          <cell r="X916">
            <v>0</v>
          </cell>
          <cell r="Y916">
            <v>0</v>
          </cell>
          <cell r="Z916">
            <v>693844</v>
          </cell>
          <cell r="AA916">
            <v>699192</v>
          </cell>
          <cell r="AB916" t="str">
            <v>ERCP</v>
          </cell>
          <cell r="AC916">
            <v>1101</v>
          </cell>
          <cell r="AD916">
            <v>2</v>
          </cell>
          <cell r="AE916">
            <v>40253</v>
          </cell>
        </row>
        <row r="917">
          <cell r="A917" t="str">
            <v>SMA</v>
          </cell>
          <cell r="B917">
            <v>5</v>
          </cell>
          <cell r="C917" t="str">
            <v>DRMN</v>
          </cell>
          <cell r="D917">
            <v>53</v>
          </cell>
          <cell r="E917">
            <v>5</v>
          </cell>
          <cell r="F917" t="str">
            <v xml:space="preserve">B </v>
          </cell>
          <cell r="G917">
            <v>0</v>
          </cell>
          <cell r="H917">
            <v>377</v>
          </cell>
          <cell r="I917">
            <v>194153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3795381</v>
          </cell>
          <cell r="P917">
            <v>0</v>
          </cell>
          <cell r="Q917">
            <v>0</v>
          </cell>
          <cell r="R917">
            <v>44304</v>
          </cell>
          <cell r="S917">
            <v>0</v>
          </cell>
          <cell r="T917">
            <v>643683</v>
          </cell>
          <cell r="U917">
            <v>763921</v>
          </cell>
          <cell r="V917">
            <v>94</v>
          </cell>
          <cell r="W917">
            <v>0</v>
          </cell>
          <cell r="X917">
            <v>0</v>
          </cell>
          <cell r="Y917">
            <v>0</v>
          </cell>
          <cell r="Z917">
            <v>3795381</v>
          </cell>
          <cell r="AA917">
            <v>4483462</v>
          </cell>
          <cell r="AB917" t="str">
            <v>ERCP</v>
          </cell>
          <cell r="AC917">
            <v>1101</v>
          </cell>
          <cell r="AD917">
            <v>2</v>
          </cell>
          <cell r="AE917">
            <v>191703</v>
          </cell>
        </row>
        <row r="918">
          <cell r="A918" t="str">
            <v>SMA</v>
          </cell>
          <cell r="B918">
            <v>5</v>
          </cell>
          <cell r="C918" t="str">
            <v>DRMN</v>
          </cell>
          <cell r="D918">
            <v>53</v>
          </cell>
          <cell r="E918">
            <v>6</v>
          </cell>
          <cell r="F918" t="str">
            <v xml:space="preserve">B </v>
          </cell>
          <cell r="G918">
            <v>0</v>
          </cell>
          <cell r="H918">
            <v>20</v>
          </cell>
          <cell r="I918">
            <v>574813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6767460</v>
          </cell>
          <cell r="P918">
            <v>0</v>
          </cell>
          <cell r="Q918">
            <v>0</v>
          </cell>
          <cell r="R918">
            <v>96386</v>
          </cell>
          <cell r="S918">
            <v>0</v>
          </cell>
          <cell r="T918">
            <v>0</v>
          </cell>
          <cell r="U918">
            <v>1691865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6767460</v>
          </cell>
          <cell r="AA918">
            <v>6863846</v>
          </cell>
          <cell r="AB918" t="str">
            <v>ERCP</v>
          </cell>
          <cell r="AC918">
            <v>1101</v>
          </cell>
          <cell r="AD918">
            <v>2</v>
          </cell>
          <cell r="AE918">
            <v>574813</v>
          </cell>
        </row>
        <row r="919">
          <cell r="A919" t="str">
            <v>SMA</v>
          </cell>
          <cell r="B919">
            <v>5</v>
          </cell>
          <cell r="C919" t="str">
            <v>DRMN</v>
          </cell>
          <cell r="D919">
            <v>53</v>
          </cell>
          <cell r="E919">
            <v>7</v>
          </cell>
          <cell r="F919" t="str">
            <v>A4</v>
          </cell>
          <cell r="G919">
            <v>22</v>
          </cell>
          <cell r="H919">
            <v>1</v>
          </cell>
          <cell r="I919">
            <v>102206</v>
          </cell>
          <cell r="J919">
            <v>7924</v>
          </cell>
          <cell r="K919">
            <v>94282</v>
          </cell>
          <cell r="L919">
            <v>366</v>
          </cell>
          <cell r="M919">
            <v>185</v>
          </cell>
          <cell r="N919">
            <v>181</v>
          </cell>
          <cell r="O919">
            <v>608895</v>
          </cell>
          <cell r="P919">
            <v>427093</v>
          </cell>
          <cell r="Q919">
            <v>46388</v>
          </cell>
          <cell r="R919">
            <v>0</v>
          </cell>
          <cell r="S919">
            <v>0</v>
          </cell>
          <cell r="T919">
            <v>0</v>
          </cell>
          <cell r="U919">
            <v>279687</v>
          </cell>
          <cell r="V919">
            <v>0</v>
          </cell>
          <cell r="W919">
            <v>36373</v>
          </cell>
          <cell r="X919">
            <v>0</v>
          </cell>
          <cell r="Y919">
            <v>0</v>
          </cell>
          <cell r="Z919">
            <v>1118749</v>
          </cell>
          <cell r="AA919">
            <v>1118749</v>
          </cell>
          <cell r="AB919" t="str">
            <v>ERCP</v>
          </cell>
          <cell r="AC919">
            <v>1101</v>
          </cell>
          <cell r="AD919">
            <v>2</v>
          </cell>
          <cell r="AE919">
            <v>102206</v>
          </cell>
        </row>
        <row r="920">
          <cell r="A920" t="str">
            <v>SMA</v>
          </cell>
          <cell r="B920">
            <v>5</v>
          </cell>
          <cell r="C920" t="str">
            <v>DRMN</v>
          </cell>
          <cell r="D920">
            <v>53</v>
          </cell>
          <cell r="E920">
            <v>7</v>
          </cell>
          <cell r="F920" t="str">
            <v>A4</v>
          </cell>
          <cell r="G920">
            <v>20</v>
          </cell>
          <cell r="H920">
            <v>12</v>
          </cell>
          <cell r="I920">
            <v>410171</v>
          </cell>
          <cell r="J920">
            <v>0</v>
          </cell>
          <cell r="K920">
            <v>0</v>
          </cell>
          <cell r="L920">
            <v>675</v>
          </cell>
          <cell r="M920">
            <v>0</v>
          </cell>
          <cell r="N920">
            <v>0</v>
          </cell>
          <cell r="O920">
            <v>4000535</v>
          </cell>
          <cell r="P920">
            <v>448200</v>
          </cell>
          <cell r="Q920">
            <v>271309</v>
          </cell>
          <cell r="R920">
            <v>0</v>
          </cell>
          <cell r="S920">
            <v>0</v>
          </cell>
          <cell r="T920">
            <v>0</v>
          </cell>
          <cell r="U920">
            <v>1188145</v>
          </cell>
          <cell r="V920">
            <v>0</v>
          </cell>
          <cell r="W920">
            <v>32536</v>
          </cell>
          <cell r="X920">
            <v>0</v>
          </cell>
          <cell r="Y920">
            <v>0</v>
          </cell>
          <cell r="Z920">
            <v>4752580</v>
          </cell>
          <cell r="AA920">
            <v>4752580</v>
          </cell>
          <cell r="AB920" t="str">
            <v>ERCP</v>
          </cell>
          <cell r="AC920">
            <v>1101</v>
          </cell>
          <cell r="AD920">
            <v>2</v>
          </cell>
          <cell r="AE920">
            <v>410171</v>
          </cell>
        </row>
        <row r="921">
          <cell r="A921" t="str">
            <v>SMA</v>
          </cell>
          <cell r="B921">
            <v>5</v>
          </cell>
          <cell r="C921" t="str">
            <v>DRMN</v>
          </cell>
          <cell r="D921">
            <v>53</v>
          </cell>
          <cell r="E921">
            <v>7</v>
          </cell>
          <cell r="F921" t="str">
            <v xml:space="preserve">B </v>
          </cell>
          <cell r="G921">
            <v>0</v>
          </cell>
          <cell r="H921">
            <v>3</v>
          </cell>
          <cell r="I921">
            <v>370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6548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1637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6548</v>
          </cell>
          <cell r="AA921">
            <v>6548</v>
          </cell>
          <cell r="AB921" t="str">
            <v>ERCP</v>
          </cell>
          <cell r="AC921">
            <v>1101</v>
          </cell>
          <cell r="AD921">
            <v>2</v>
          </cell>
          <cell r="AE921">
            <v>370</v>
          </cell>
        </row>
        <row r="922">
          <cell r="A922" t="str">
            <v>SMA</v>
          </cell>
          <cell r="B922">
            <v>5</v>
          </cell>
          <cell r="C922" t="str">
            <v>DRMN</v>
          </cell>
          <cell r="D922">
            <v>53</v>
          </cell>
          <cell r="E922">
            <v>8</v>
          </cell>
          <cell r="F922" t="str">
            <v xml:space="preserve">B </v>
          </cell>
          <cell r="G922">
            <v>0</v>
          </cell>
          <cell r="H922">
            <v>6</v>
          </cell>
          <cell r="I922">
            <v>16608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345756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86439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345756</v>
          </cell>
          <cell r="AA922">
            <v>345756</v>
          </cell>
          <cell r="AB922" t="str">
            <v>ERCP</v>
          </cell>
          <cell r="AC922">
            <v>1101</v>
          </cell>
          <cell r="AD922">
            <v>2</v>
          </cell>
          <cell r="AE922">
            <v>16578</v>
          </cell>
        </row>
        <row r="923">
          <cell r="A923" t="str">
            <v>SMA</v>
          </cell>
          <cell r="B923">
            <v>5</v>
          </cell>
          <cell r="C923" t="str">
            <v>DRMN</v>
          </cell>
          <cell r="D923">
            <v>54</v>
          </cell>
          <cell r="E923">
            <v>1</v>
          </cell>
          <cell r="F923" t="str">
            <v xml:space="preserve">B </v>
          </cell>
          <cell r="G923">
            <v>1</v>
          </cell>
          <cell r="H923">
            <v>12916</v>
          </cell>
          <cell r="I923">
            <v>314019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5065924</v>
          </cell>
          <cell r="P923">
            <v>0</v>
          </cell>
          <cell r="Q923">
            <v>0</v>
          </cell>
          <cell r="R923">
            <v>57194</v>
          </cell>
          <cell r="S923">
            <v>0</v>
          </cell>
          <cell r="T923">
            <v>631358</v>
          </cell>
          <cell r="U923">
            <v>330</v>
          </cell>
          <cell r="V923">
            <v>28111</v>
          </cell>
          <cell r="W923">
            <v>0</v>
          </cell>
          <cell r="X923">
            <v>0</v>
          </cell>
          <cell r="Y923">
            <v>308819</v>
          </cell>
          <cell r="Z923">
            <v>5065924</v>
          </cell>
          <cell r="AA923">
            <v>6091406</v>
          </cell>
          <cell r="AB923" t="str">
            <v>ERLI</v>
          </cell>
          <cell r="AC923">
            <v>1101</v>
          </cell>
          <cell r="AD923">
            <v>2</v>
          </cell>
          <cell r="AE923">
            <v>234029</v>
          </cell>
        </row>
        <row r="924">
          <cell r="A924" t="str">
            <v>SMA</v>
          </cell>
          <cell r="B924">
            <v>5</v>
          </cell>
          <cell r="C924" t="str">
            <v>DRMN</v>
          </cell>
          <cell r="D924">
            <v>54</v>
          </cell>
          <cell r="E924">
            <v>1</v>
          </cell>
          <cell r="F924" t="str">
            <v xml:space="preserve">B </v>
          </cell>
          <cell r="G924">
            <v>2</v>
          </cell>
          <cell r="H924">
            <v>6235</v>
          </cell>
          <cell r="I924">
            <v>247803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4805967</v>
          </cell>
          <cell r="P924">
            <v>0</v>
          </cell>
          <cell r="Q924">
            <v>0</v>
          </cell>
          <cell r="R924">
            <v>43377</v>
          </cell>
          <cell r="S924">
            <v>0</v>
          </cell>
          <cell r="T924">
            <v>124076</v>
          </cell>
          <cell r="U924">
            <v>816657</v>
          </cell>
          <cell r="V924">
            <v>17582</v>
          </cell>
          <cell r="W924">
            <v>0</v>
          </cell>
          <cell r="X924">
            <v>0</v>
          </cell>
          <cell r="Y924">
            <v>315332</v>
          </cell>
          <cell r="Z924">
            <v>4805967</v>
          </cell>
          <cell r="AA924">
            <v>5306334</v>
          </cell>
          <cell r="AB924" t="str">
            <v>ERLI</v>
          </cell>
          <cell r="AC924">
            <v>1101</v>
          </cell>
          <cell r="AD924">
            <v>2</v>
          </cell>
          <cell r="AE924">
            <v>247803</v>
          </cell>
        </row>
        <row r="925">
          <cell r="A925" t="str">
            <v>SMA</v>
          </cell>
          <cell r="B925">
            <v>5</v>
          </cell>
          <cell r="C925" t="str">
            <v>DRMN</v>
          </cell>
          <cell r="D925">
            <v>54</v>
          </cell>
          <cell r="E925">
            <v>1</v>
          </cell>
          <cell r="F925" t="str">
            <v xml:space="preserve">B </v>
          </cell>
          <cell r="G925">
            <v>3</v>
          </cell>
          <cell r="H925">
            <v>12594</v>
          </cell>
          <cell r="I925">
            <v>917677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17798763</v>
          </cell>
          <cell r="P925">
            <v>0</v>
          </cell>
          <cell r="Q925">
            <v>0</v>
          </cell>
          <cell r="R925">
            <v>132657</v>
          </cell>
          <cell r="S925">
            <v>0</v>
          </cell>
          <cell r="T925">
            <v>202291</v>
          </cell>
          <cell r="U925">
            <v>3025841</v>
          </cell>
          <cell r="V925">
            <v>16739</v>
          </cell>
          <cell r="W925">
            <v>0</v>
          </cell>
          <cell r="X925">
            <v>0</v>
          </cell>
          <cell r="Y925">
            <v>1200474</v>
          </cell>
          <cell r="Z925">
            <v>17798763</v>
          </cell>
          <cell r="AA925">
            <v>19350924</v>
          </cell>
          <cell r="AB925" t="str">
            <v>ERLI</v>
          </cell>
          <cell r="AC925">
            <v>1101</v>
          </cell>
          <cell r="AD925">
            <v>2</v>
          </cell>
          <cell r="AE925">
            <v>914340</v>
          </cell>
        </row>
        <row r="926">
          <cell r="A926" t="str">
            <v>SMA</v>
          </cell>
          <cell r="B926">
            <v>5</v>
          </cell>
          <cell r="C926" t="str">
            <v>DRMN</v>
          </cell>
          <cell r="D926">
            <v>54</v>
          </cell>
          <cell r="E926">
            <v>1</v>
          </cell>
          <cell r="F926" t="str">
            <v xml:space="preserve">B </v>
          </cell>
          <cell r="G926">
            <v>4</v>
          </cell>
          <cell r="H926">
            <v>3343</v>
          </cell>
          <cell r="I926">
            <v>396339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7687981</v>
          </cell>
          <cell r="P926">
            <v>0</v>
          </cell>
          <cell r="Q926">
            <v>0</v>
          </cell>
          <cell r="R926">
            <v>75623</v>
          </cell>
          <cell r="S926">
            <v>0</v>
          </cell>
          <cell r="T926">
            <v>136108</v>
          </cell>
          <cell r="U926">
            <v>1306995</v>
          </cell>
          <cell r="V926">
            <v>2541</v>
          </cell>
          <cell r="W926">
            <v>0</v>
          </cell>
          <cell r="X926">
            <v>0</v>
          </cell>
          <cell r="Y926">
            <v>634456</v>
          </cell>
          <cell r="Z926">
            <v>7687981</v>
          </cell>
          <cell r="AA926">
            <v>8536709</v>
          </cell>
          <cell r="AB926" t="str">
            <v>ERLI</v>
          </cell>
          <cell r="AC926">
            <v>1101</v>
          </cell>
          <cell r="AD926">
            <v>2</v>
          </cell>
          <cell r="AE926">
            <v>396339</v>
          </cell>
        </row>
        <row r="927">
          <cell r="A927" t="str">
            <v>SMA</v>
          </cell>
          <cell r="B927">
            <v>5</v>
          </cell>
          <cell r="C927" t="str">
            <v>DRMN</v>
          </cell>
          <cell r="D927">
            <v>54</v>
          </cell>
          <cell r="E927">
            <v>1</v>
          </cell>
          <cell r="F927" t="str">
            <v xml:space="preserve">B </v>
          </cell>
          <cell r="G927">
            <v>5</v>
          </cell>
          <cell r="H927">
            <v>920</v>
          </cell>
          <cell r="I927">
            <v>156835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3041421</v>
          </cell>
          <cell r="P927">
            <v>0</v>
          </cell>
          <cell r="Q927">
            <v>0</v>
          </cell>
          <cell r="R927">
            <v>33206</v>
          </cell>
          <cell r="S927">
            <v>0</v>
          </cell>
          <cell r="T927">
            <v>57531</v>
          </cell>
          <cell r="U927">
            <v>517055</v>
          </cell>
          <cell r="V927">
            <v>470</v>
          </cell>
          <cell r="W927">
            <v>0</v>
          </cell>
          <cell r="X927">
            <v>0</v>
          </cell>
          <cell r="Y927">
            <v>337571</v>
          </cell>
          <cell r="Z927">
            <v>3041421</v>
          </cell>
          <cell r="AA927">
            <v>3470199</v>
          </cell>
          <cell r="AB927" t="str">
            <v>ERLI</v>
          </cell>
          <cell r="AC927">
            <v>1101</v>
          </cell>
          <cell r="AD927">
            <v>2</v>
          </cell>
          <cell r="AE927">
            <v>156835</v>
          </cell>
        </row>
        <row r="928">
          <cell r="A928" t="str">
            <v>SMA</v>
          </cell>
          <cell r="B928">
            <v>5</v>
          </cell>
          <cell r="C928" t="str">
            <v>DRMN</v>
          </cell>
          <cell r="D928">
            <v>54</v>
          </cell>
          <cell r="E928">
            <v>1</v>
          </cell>
          <cell r="F928" t="str">
            <v xml:space="preserve">B </v>
          </cell>
          <cell r="G928">
            <v>6</v>
          </cell>
          <cell r="H928">
            <v>574</v>
          </cell>
          <cell r="I928">
            <v>136529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2648266</v>
          </cell>
          <cell r="P928">
            <v>0</v>
          </cell>
          <cell r="Q928">
            <v>0</v>
          </cell>
          <cell r="R928">
            <v>29209</v>
          </cell>
          <cell r="S928">
            <v>0</v>
          </cell>
          <cell r="T928">
            <v>54311</v>
          </cell>
          <cell r="U928">
            <v>450367</v>
          </cell>
          <cell r="V928">
            <v>566</v>
          </cell>
          <cell r="W928">
            <v>0</v>
          </cell>
          <cell r="X928">
            <v>0</v>
          </cell>
          <cell r="Y928">
            <v>209423</v>
          </cell>
          <cell r="Z928">
            <v>2648266</v>
          </cell>
          <cell r="AA928">
            <v>2941775</v>
          </cell>
          <cell r="AB928" t="str">
            <v>ERLI</v>
          </cell>
          <cell r="AC928">
            <v>1101</v>
          </cell>
          <cell r="AD928">
            <v>2</v>
          </cell>
          <cell r="AE928">
            <v>136529</v>
          </cell>
        </row>
        <row r="929">
          <cell r="A929" t="str">
            <v>SMA</v>
          </cell>
          <cell r="B929">
            <v>5</v>
          </cell>
          <cell r="C929" t="str">
            <v>DRMN</v>
          </cell>
          <cell r="D929">
            <v>54</v>
          </cell>
          <cell r="E929">
            <v>1</v>
          </cell>
          <cell r="F929" t="str">
            <v xml:space="preserve">B </v>
          </cell>
          <cell r="G929">
            <v>7</v>
          </cell>
          <cell r="H929">
            <v>174</v>
          </cell>
          <cell r="I929">
            <v>55611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1121139</v>
          </cell>
          <cell r="P929">
            <v>0</v>
          </cell>
          <cell r="Q929">
            <v>0</v>
          </cell>
          <cell r="R929">
            <v>9440</v>
          </cell>
          <cell r="S929">
            <v>0</v>
          </cell>
          <cell r="T929">
            <v>23608</v>
          </cell>
          <cell r="U929">
            <v>224298</v>
          </cell>
          <cell r="V929">
            <v>94</v>
          </cell>
          <cell r="W929">
            <v>0</v>
          </cell>
          <cell r="X929">
            <v>0</v>
          </cell>
          <cell r="Y929">
            <v>83923</v>
          </cell>
          <cell r="Z929">
            <v>1121139</v>
          </cell>
          <cell r="AA929">
            <v>1238204</v>
          </cell>
          <cell r="AB929" t="str">
            <v>ERLI</v>
          </cell>
          <cell r="AC929">
            <v>1101</v>
          </cell>
          <cell r="AD929">
            <v>2</v>
          </cell>
          <cell r="AE929">
            <v>55611</v>
          </cell>
        </row>
        <row r="930">
          <cell r="A930" t="str">
            <v>SMA</v>
          </cell>
          <cell r="B930">
            <v>5</v>
          </cell>
          <cell r="C930" t="str">
            <v>DRMN</v>
          </cell>
          <cell r="D930">
            <v>54</v>
          </cell>
          <cell r="E930">
            <v>1</v>
          </cell>
          <cell r="F930" t="str">
            <v xml:space="preserve">B </v>
          </cell>
          <cell r="G930">
            <v>8</v>
          </cell>
          <cell r="H930">
            <v>90</v>
          </cell>
          <cell r="I930">
            <v>38259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771148</v>
          </cell>
          <cell r="P930">
            <v>0</v>
          </cell>
          <cell r="Q930">
            <v>0</v>
          </cell>
          <cell r="R930">
            <v>6368</v>
          </cell>
          <cell r="S930">
            <v>0</v>
          </cell>
          <cell r="T930">
            <v>35984</v>
          </cell>
          <cell r="U930">
            <v>154258</v>
          </cell>
          <cell r="V930">
            <v>0</v>
          </cell>
          <cell r="W930">
            <v>0</v>
          </cell>
          <cell r="X930">
            <v>0</v>
          </cell>
          <cell r="Y930">
            <v>56819</v>
          </cell>
          <cell r="Z930">
            <v>771148</v>
          </cell>
          <cell r="AA930">
            <v>870319</v>
          </cell>
          <cell r="AB930" t="str">
            <v>ERLI</v>
          </cell>
          <cell r="AC930">
            <v>1101</v>
          </cell>
          <cell r="AD930">
            <v>2</v>
          </cell>
          <cell r="AE930">
            <v>38259</v>
          </cell>
        </row>
        <row r="931">
          <cell r="A931" t="str">
            <v>SMA</v>
          </cell>
          <cell r="B931">
            <v>5</v>
          </cell>
          <cell r="C931" t="str">
            <v>DRMN</v>
          </cell>
          <cell r="D931">
            <v>54</v>
          </cell>
          <cell r="E931">
            <v>1</v>
          </cell>
          <cell r="F931" t="str">
            <v xml:space="preserve">B </v>
          </cell>
          <cell r="G931">
            <v>9</v>
          </cell>
          <cell r="H931">
            <v>100</v>
          </cell>
          <cell r="I931">
            <v>56000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1210114</v>
          </cell>
          <cell r="P931">
            <v>0</v>
          </cell>
          <cell r="Q931">
            <v>0</v>
          </cell>
          <cell r="R931">
            <v>13928</v>
          </cell>
          <cell r="S931">
            <v>0</v>
          </cell>
          <cell r="T931">
            <v>35022</v>
          </cell>
          <cell r="U931">
            <v>302574</v>
          </cell>
          <cell r="V931">
            <v>472</v>
          </cell>
          <cell r="W931">
            <v>0</v>
          </cell>
          <cell r="X931">
            <v>0</v>
          </cell>
          <cell r="Y931">
            <v>70556</v>
          </cell>
          <cell r="Z931">
            <v>1210114</v>
          </cell>
          <cell r="AA931">
            <v>1330092</v>
          </cell>
          <cell r="AB931" t="str">
            <v>ERLI</v>
          </cell>
          <cell r="AC931">
            <v>1101</v>
          </cell>
          <cell r="AD931">
            <v>2</v>
          </cell>
          <cell r="AE931">
            <v>56000</v>
          </cell>
        </row>
        <row r="932">
          <cell r="A932" t="str">
            <v>SMA</v>
          </cell>
          <cell r="B932">
            <v>5</v>
          </cell>
          <cell r="C932" t="str">
            <v>DRMN</v>
          </cell>
          <cell r="D932">
            <v>54</v>
          </cell>
          <cell r="E932">
            <v>1</v>
          </cell>
          <cell r="F932" t="str">
            <v xml:space="preserve">B </v>
          </cell>
          <cell r="G932">
            <v>10</v>
          </cell>
          <cell r="H932">
            <v>35</v>
          </cell>
          <cell r="I932">
            <v>2401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55352</v>
          </cell>
          <cell r="P932">
            <v>0</v>
          </cell>
          <cell r="Q932">
            <v>0</v>
          </cell>
          <cell r="R932">
            <v>1783</v>
          </cell>
          <cell r="S932">
            <v>0</v>
          </cell>
          <cell r="T932">
            <v>-64</v>
          </cell>
          <cell r="U932">
            <v>13845</v>
          </cell>
          <cell r="V932">
            <v>-94</v>
          </cell>
          <cell r="W932">
            <v>0</v>
          </cell>
          <cell r="X932">
            <v>0</v>
          </cell>
          <cell r="Y932">
            <v>16478</v>
          </cell>
          <cell r="Z932">
            <v>55352</v>
          </cell>
          <cell r="AA932">
            <v>73455</v>
          </cell>
          <cell r="AB932" t="str">
            <v>ERLI</v>
          </cell>
          <cell r="AC932">
            <v>1101</v>
          </cell>
          <cell r="AD932">
            <v>2</v>
          </cell>
          <cell r="AE932">
            <v>2401</v>
          </cell>
        </row>
        <row r="933">
          <cell r="A933" t="str">
            <v>SMA</v>
          </cell>
          <cell r="B933">
            <v>5</v>
          </cell>
          <cell r="C933" t="str">
            <v>DRMN</v>
          </cell>
          <cell r="D933">
            <v>54</v>
          </cell>
          <cell r="E933">
            <v>1</v>
          </cell>
          <cell r="F933" t="str">
            <v xml:space="preserve">B </v>
          </cell>
          <cell r="G933">
            <v>11</v>
          </cell>
          <cell r="H933">
            <v>575</v>
          </cell>
          <cell r="I933">
            <v>14837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83623</v>
          </cell>
          <cell r="P933">
            <v>0</v>
          </cell>
          <cell r="Q933">
            <v>0</v>
          </cell>
          <cell r="R933">
            <v>1477</v>
          </cell>
          <cell r="S933">
            <v>0</v>
          </cell>
          <cell r="T933">
            <v>9412</v>
          </cell>
          <cell r="U933">
            <v>0</v>
          </cell>
          <cell r="V933">
            <v>1600</v>
          </cell>
          <cell r="W933">
            <v>0</v>
          </cell>
          <cell r="X933">
            <v>0</v>
          </cell>
          <cell r="Y933">
            <v>10270</v>
          </cell>
          <cell r="Z933">
            <v>83623</v>
          </cell>
          <cell r="AA933">
            <v>106382</v>
          </cell>
          <cell r="AB933" t="str">
            <v>ERLI</v>
          </cell>
          <cell r="AC933">
            <v>1101</v>
          </cell>
          <cell r="AD933">
            <v>2</v>
          </cell>
          <cell r="AE933">
            <v>10120</v>
          </cell>
        </row>
        <row r="934">
          <cell r="A934" t="str">
            <v>SMA</v>
          </cell>
          <cell r="B934">
            <v>5</v>
          </cell>
          <cell r="C934" t="str">
            <v>DRMN</v>
          </cell>
          <cell r="D934">
            <v>54</v>
          </cell>
          <cell r="E934">
            <v>1</v>
          </cell>
          <cell r="F934" t="str">
            <v xml:space="preserve">B </v>
          </cell>
          <cell r="G934">
            <v>12</v>
          </cell>
          <cell r="H934">
            <v>414</v>
          </cell>
          <cell r="I934">
            <v>21934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196027</v>
          </cell>
          <cell r="P934">
            <v>0</v>
          </cell>
          <cell r="Q934">
            <v>0</v>
          </cell>
          <cell r="R934">
            <v>2527</v>
          </cell>
          <cell r="S934">
            <v>0</v>
          </cell>
          <cell r="T934">
            <v>15788</v>
          </cell>
          <cell r="U934">
            <v>33333</v>
          </cell>
          <cell r="V934">
            <v>940</v>
          </cell>
          <cell r="W934">
            <v>0</v>
          </cell>
          <cell r="X934">
            <v>0</v>
          </cell>
          <cell r="Y934">
            <v>24924</v>
          </cell>
          <cell r="Z934">
            <v>196027</v>
          </cell>
          <cell r="AA934">
            <v>240206</v>
          </cell>
          <cell r="AB934" t="str">
            <v>ERLI</v>
          </cell>
          <cell r="AC934">
            <v>1101</v>
          </cell>
          <cell r="AD934">
            <v>2</v>
          </cell>
          <cell r="AE934">
            <v>21934</v>
          </cell>
        </row>
        <row r="935">
          <cell r="A935" t="str">
            <v>SMA</v>
          </cell>
          <cell r="B935">
            <v>5</v>
          </cell>
          <cell r="C935" t="str">
            <v>DRMN</v>
          </cell>
          <cell r="D935">
            <v>54</v>
          </cell>
          <cell r="E935">
            <v>1</v>
          </cell>
          <cell r="F935" t="str">
            <v xml:space="preserve">B </v>
          </cell>
          <cell r="G935">
            <v>13</v>
          </cell>
          <cell r="H935">
            <v>33</v>
          </cell>
          <cell r="I935">
            <v>3730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54398</v>
          </cell>
          <cell r="P935">
            <v>0</v>
          </cell>
          <cell r="Q935">
            <v>0</v>
          </cell>
          <cell r="R935">
            <v>352</v>
          </cell>
          <cell r="S935">
            <v>0</v>
          </cell>
          <cell r="T935">
            <v>845</v>
          </cell>
          <cell r="U935">
            <v>9251</v>
          </cell>
          <cell r="V935">
            <v>188</v>
          </cell>
          <cell r="W935">
            <v>0</v>
          </cell>
          <cell r="X935">
            <v>0</v>
          </cell>
          <cell r="Y935">
            <v>4758</v>
          </cell>
          <cell r="Z935">
            <v>54398</v>
          </cell>
          <cell r="AA935">
            <v>60541</v>
          </cell>
          <cell r="AB935" t="str">
            <v>ERLI</v>
          </cell>
          <cell r="AC935">
            <v>1101</v>
          </cell>
          <cell r="AD935">
            <v>2</v>
          </cell>
          <cell r="AE935">
            <v>3730</v>
          </cell>
        </row>
        <row r="936">
          <cell r="A936" t="str">
            <v>SMA</v>
          </cell>
          <cell r="B936">
            <v>5</v>
          </cell>
          <cell r="C936" t="str">
            <v>DRMN</v>
          </cell>
          <cell r="D936">
            <v>54</v>
          </cell>
          <cell r="E936">
            <v>1</v>
          </cell>
          <cell r="F936" t="str">
            <v xml:space="preserve">B </v>
          </cell>
          <cell r="G936">
            <v>14</v>
          </cell>
          <cell r="H936">
            <v>1</v>
          </cell>
          <cell r="I936">
            <v>154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1987</v>
          </cell>
          <cell r="P936">
            <v>0</v>
          </cell>
          <cell r="Q936">
            <v>0</v>
          </cell>
          <cell r="R936">
            <v>8</v>
          </cell>
          <cell r="S936">
            <v>0</v>
          </cell>
          <cell r="T936">
            <v>0</v>
          </cell>
          <cell r="U936">
            <v>338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1987</v>
          </cell>
          <cell r="AA936">
            <v>1995</v>
          </cell>
          <cell r="AB936" t="str">
            <v>ERLI</v>
          </cell>
          <cell r="AC936">
            <v>1101</v>
          </cell>
          <cell r="AD936">
            <v>2</v>
          </cell>
          <cell r="AE936">
            <v>154</v>
          </cell>
        </row>
        <row r="937">
          <cell r="A937" t="str">
            <v>SMA</v>
          </cell>
          <cell r="B937">
            <v>5</v>
          </cell>
          <cell r="C937" t="str">
            <v>DRMN</v>
          </cell>
          <cell r="D937">
            <v>54</v>
          </cell>
          <cell r="E937">
            <v>1</v>
          </cell>
          <cell r="F937" t="str">
            <v xml:space="preserve">B </v>
          </cell>
          <cell r="G937">
            <v>15</v>
          </cell>
          <cell r="H937">
            <v>3</v>
          </cell>
          <cell r="I937">
            <v>721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11197</v>
          </cell>
          <cell r="P937">
            <v>0</v>
          </cell>
          <cell r="Q937">
            <v>0</v>
          </cell>
          <cell r="R937">
            <v>194</v>
          </cell>
          <cell r="S937">
            <v>0</v>
          </cell>
          <cell r="T937">
            <v>2514</v>
          </cell>
          <cell r="U937">
            <v>2081</v>
          </cell>
          <cell r="V937">
            <v>0</v>
          </cell>
          <cell r="W937">
            <v>0</v>
          </cell>
          <cell r="X937">
            <v>0</v>
          </cell>
          <cell r="Y937">
            <v>1570</v>
          </cell>
          <cell r="Z937">
            <v>11197</v>
          </cell>
          <cell r="AA937">
            <v>15475</v>
          </cell>
          <cell r="AB937" t="str">
            <v>ERLI</v>
          </cell>
          <cell r="AC937">
            <v>1101</v>
          </cell>
          <cell r="AD937">
            <v>2</v>
          </cell>
          <cell r="AE937">
            <v>721</v>
          </cell>
        </row>
        <row r="938">
          <cell r="A938" t="str">
            <v>SMA</v>
          </cell>
          <cell r="B938">
            <v>5</v>
          </cell>
          <cell r="C938" t="str">
            <v>DRMN</v>
          </cell>
          <cell r="D938">
            <v>54</v>
          </cell>
          <cell r="E938">
            <v>2</v>
          </cell>
          <cell r="F938" t="str">
            <v>A4</v>
          </cell>
          <cell r="G938">
            <v>21</v>
          </cell>
          <cell r="H938">
            <v>1</v>
          </cell>
          <cell r="I938">
            <v>64443</v>
          </cell>
          <cell r="J938">
            <v>211</v>
          </cell>
          <cell r="K938">
            <v>64232</v>
          </cell>
          <cell r="L938">
            <v>227</v>
          </cell>
          <cell r="M938">
            <v>227</v>
          </cell>
          <cell r="N938">
            <v>0</v>
          </cell>
          <cell r="O938">
            <v>427738</v>
          </cell>
          <cell r="P938">
            <v>156781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146130</v>
          </cell>
          <cell r="V938">
            <v>0</v>
          </cell>
          <cell r="W938">
            <v>0</v>
          </cell>
          <cell r="X938">
            <v>0</v>
          </cell>
          <cell r="Y938">
            <v>4488</v>
          </cell>
          <cell r="Z938">
            <v>584519</v>
          </cell>
          <cell r="AA938">
            <v>589007</v>
          </cell>
          <cell r="AB938" t="str">
            <v>ERLI</v>
          </cell>
          <cell r="AC938">
            <v>1101</v>
          </cell>
          <cell r="AD938">
            <v>2</v>
          </cell>
          <cell r="AE938">
            <v>64443</v>
          </cell>
        </row>
        <row r="939">
          <cell r="A939" t="str">
            <v>SMA</v>
          </cell>
          <cell r="B939">
            <v>5</v>
          </cell>
          <cell r="C939" t="str">
            <v>DRMN</v>
          </cell>
          <cell r="D939">
            <v>54</v>
          </cell>
          <cell r="E939">
            <v>2</v>
          </cell>
          <cell r="F939" t="str">
            <v>A4</v>
          </cell>
          <cell r="G939">
            <v>20</v>
          </cell>
          <cell r="H939">
            <v>15</v>
          </cell>
          <cell r="I939">
            <v>561293</v>
          </cell>
          <cell r="J939">
            <v>0</v>
          </cell>
          <cell r="K939">
            <v>0</v>
          </cell>
          <cell r="L939">
            <v>1899</v>
          </cell>
          <cell r="M939">
            <v>0</v>
          </cell>
          <cell r="N939">
            <v>0</v>
          </cell>
          <cell r="O939">
            <v>6440649</v>
          </cell>
          <cell r="P939">
            <v>1486286</v>
          </cell>
          <cell r="Q939">
            <v>267635</v>
          </cell>
          <cell r="R939">
            <v>168575</v>
          </cell>
          <cell r="S939">
            <v>0</v>
          </cell>
          <cell r="T939">
            <v>0</v>
          </cell>
          <cell r="U939">
            <v>2076428</v>
          </cell>
          <cell r="V939">
            <v>0</v>
          </cell>
          <cell r="W939">
            <v>111137</v>
          </cell>
          <cell r="X939">
            <v>0</v>
          </cell>
          <cell r="Y939">
            <v>37878</v>
          </cell>
          <cell r="Z939">
            <v>8305707</v>
          </cell>
          <cell r="AA939">
            <v>8512160</v>
          </cell>
          <cell r="AB939" t="str">
            <v>ERLI</v>
          </cell>
          <cell r="AC939">
            <v>1101</v>
          </cell>
          <cell r="AD939">
            <v>2</v>
          </cell>
          <cell r="AE939">
            <v>561293</v>
          </cell>
        </row>
        <row r="940">
          <cell r="A940" t="str">
            <v>SMA</v>
          </cell>
          <cell r="B940">
            <v>5</v>
          </cell>
          <cell r="C940" t="str">
            <v>DRMN</v>
          </cell>
          <cell r="D940">
            <v>54</v>
          </cell>
          <cell r="E940">
            <v>2</v>
          </cell>
          <cell r="F940" t="str">
            <v xml:space="preserve">B </v>
          </cell>
          <cell r="G940">
            <v>0</v>
          </cell>
          <cell r="H940">
            <v>205</v>
          </cell>
          <cell r="I940">
            <v>87743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1826630</v>
          </cell>
          <cell r="P940">
            <v>0</v>
          </cell>
          <cell r="Q940">
            <v>0</v>
          </cell>
          <cell r="R940">
            <v>34543</v>
          </cell>
          <cell r="S940">
            <v>0</v>
          </cell>
          <cell r="T940">
            <v>146551</v>
          </cell>
          <cell r="U940">
            <v>442387</v>
          </cell>
          <cell r="V940">
            <v>0</v>
          </cell>
          <cell r="W940">
            <v>0</v>
          </cell>
          <cell r="X940">
            <v>0</v>
          </cell>
          <cell r="Y940">
            <v>120814</v>
          </cell>
          <cell r="Z940">
            <v>1826630</v>
          </cell>
          <cell r="AA940">
            <v>2128538</v>
          </cell>
          <cell r="AB940" t="str">
            <v>ERLI</v>
          </cell>
          <cell r="AC940">
            <v>1101</v>
          </cell>
          <cell r="AD940">
            <v>2</v>
          </cell>
          <cell r="AE940">
            <v>85231</v>
          </cell>
        </row>
        <row r="941">
          <cell r="A941" t="str">
            <v>SMA</v>
          </cell>
          <cell r="B941">
            <v>5</v>
          </cell>
          <cell r="C941" t="str">
            <v>DRMN</v>
          </cell>
          <cell r="D941">
            <v>54</v>
          </cell>
          <cell r="E941">
            <v>3</v>
          </cell>
          <cell r="F941" t="str">
            <v>A4</v>
          </cell>
          <cell r="G941">
            <v>20</v>
          </cell>
          <cell r="H941">
            <v>7</v>
          </cell>
          <cell r="I941">
            <v>47172</v>
          </cell>
          <cell r="J941">
            <v>0</v>
          </cell>
          <cell r="K941">
            <v>0</v>
          </cell>
          <cell r="L941">
            <v>187</v>
          </cell>
          <cell r="M941">
            <v>0</v>
          </cell>
          <cell r="N941">
            <v>0</v>
          </cell>
          <cell r="O941">
            <v>541284</v>
          </cell>
          <cell r="P941">
            <v>146360</v>
          </cell>
          <cell r="Q941">
            <v>10579</v>
          </cell>
          <cell r="R941">
            <v>0</v>
          </cell>
          <cell r="S941">
            <v>0</v>
          </cell>
          <cell r="T941">
            <v>0</v>
          </cell>
          <cell r="U941">
            <v>175339</v>
          </cell>
          <cell r="V941">
            <v>0</v>
          </cell>
          <cell r="W941">
            <v>3131</v>
          </cell>
          <cell r="X941">
            <v>0</v>
          </cell>
          <cell r="Y941">
            <v>27264</v>
          </cell>
          <cell r="Z941">
            <v>701354</v>
          </cell>
          <cell r="AA941">
            <v>728618</v>
          </cell>
          <cell r="AB941" t="str">
            <v>ERLI</v>
          </cell>
          <cell r="AC941">
            <v>1101</v>
          </cell>
          <cell r="AD941">
            <v>2</v>
          </cell>
          <cell r="AE941">
            <v>47172</v>
          </cell>
        </row>
        <row r="942">
          <cell r="A942" t="str">
            <v>SMA</v>
          </cell>
          <cell r="B942">
            <v>5</v>
          </cell>
          <cell r="C942" t="str">
            <v>DRMN</v>
          </cell>
          <cell r="D942">
            <v>54</v>
          </cell>
          <cell r="E942">
            <v>3</v>
          </cell>
          <cell r="F942" t="str">
            <v xml:space="preserve">B </v>
          </cell>
          <cell r="G942">
            <v>0</v>
          </cell>
          <cell r="H942">
            <v>2250</v>
          </cell>
          <cell r="I942">
            <v>385232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8031196</v>
          </cell>
          <cell r="P942">
            <v>0</v>
          </cell>
          <cell r="Q942">
            <v>0</v>
          </cell>
          <cell r="R942">
            <v>96505</v>
          </cell>
          <cell r="S942">
            <v>0</v>
          </cell>
          <cell r="T942">
            <v>439675</v>
          </cell>
          <cell r="U942">
            <v>1991112</v>
          </cell>
          <cell r="V942">
            <v>1505</v>
          </cell>
          <cell r="W942">
            <v>0</v>
          </cell>
          <cell r="X942">
            <v>0</v>
          </cell>
          <cell r="Y942">
            <v>690824</v>
          </cell>
          <cell r="Z942">
            <v>8031196</v>
          </cell>
          <cell r="AA942">
            <v>9259705</v>
          </cell>
          <cell r="AB942" t="str">
            <v>ERLI</v>
          </cell>
          <cell r="AC942">
            <v>1101</v>
          </cell>
          <cell r="AD942">
            <v>2</v>
          </cell>
          <cell r="AE942">
            <v>368996</v>
          </cell>
        </row>
        <row r="943">
          <cell r="A943" t="str">
            <v>SMA</v>
          </cell>
          <cell r="B943">
            <v>5</v>
          </cell>
          <cell r="C943" t="str">
            <v>DRMN</v>
          </cell>
          <cell r="D943">
            <v>54</v>
          </cell>
          <cell r="E943">
            <v>4</v>
          </cell>
          <cell r="F943" t="str">
            <v>A4</v>
          </cell>
          <cell r="G943">
            <v>20</v>
          </cell>
          <cell r="H943">
            <v>1</v>
          </cell>
          <cell r="I943">
            <v>769</v>
          </cell>
          <cell r="J943">
            <v>0</v>
          </cell>
          <cell r="K943">
            <v>0</v>
          </cell>
          <cell r="L943">
            <v>6</v>
          </cell>
          <cell r="M943">
            <v>0</v>
          </cell>
          <cell r="N943">
            <v>0</v>
          </cell>
          <cell r="O943">
            <v>5956</v>
          </cell>
          <cell r="P943">
            <v>3168</v>
          </cell>
          <cell r="Q943">
            <v>2052</v>
          </cell>
          <cell r="R943">
            <v>282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1056</v>
          </cell>
          <cell r="X943">
            <v>0</v>
          </cell>
          <cell r="Y943">
            <v>0</v>
          </cell>
          <cell r="Z943">
            <v>12232</v>
          </cell>
          <cell r="AA943">
            <v>12514</v>
          </cell>
          <cell r="AB943" t="str">
            <v>ERLI</v>
          </cell>
          <cell r="AC943">
            <v>1101</v>
          </cell>
          <cell r="AD943">
            <v>2</v>
          </cell>
          <cell r="AE943">
            <v>769</v>
          </cell>
        </row>
        <row r="944">
          <cell r="A944" t="str">
            <v>SMA</v>
          </cell>
          <cell r="B944">
            <v>5</v>
          </cell>
          <cell r="C944" t="str">
            <v>DRMN</v>
          </cell>
          <cell r="D944">
            <v>54</v>
          </cell>
          <cell r="E944">
            <v>4</v>
          </cell>
          <cell r="F944" t="str">
            <v xml:space="preserve">B </v>
          </cell>
          <cell r="G944">
            <v>0</v>
          </cell>
          <cell r="H944">
            <v>1235</v>
          </cell>
          <cell r="I944">
            <v>335349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3317760</v>
          </cell>
          <cell r="P944">
            <v>0</v>
          </cell>
          <cell r="Q944">
            <v>0</v>
          </cell>
          <cell r="R944">
            <v>63</v>
          </cell>
          <cell r="S944">
            <v>0</v>
          </cell>
          <cell r="T944">
            <v>410016</v>
          </cell>
          <cell r="U944">
            <v>0</v>
          </cell>
          <cell r="V944">
            <v>139280</v>
          </cell>
          <cell r="W944">
            <v>0</v>
          </cell>
          <cell r="X944">
            <v>0</v>
          </cell>
          <cell r="Y944">
            <v>0</v>
          </cell>
          <cell r="Z944">
            <v>3317760</v>
          </cell>
          <cell r="AA944">
            <v>3867119</v>
          </cell>
          <cell r="AB944" t="str">
            <v>ERLI</v>
          </cell>
          <cell r="AC944">
            <v>1101</v>
          </cell>
          <cell r="AD944">
            <v>2</v>
          </cell>
          <cell r="AE944">
            <v>323276</v>
          </cell>
        </row>
        <row r="945">
          <cell r="A945" t="str">
            <v>SMA</v>
          </cell>
          <cell r="B945">
            <v>5</v>
          </cell>
          <cell r="C945" t="str">
            <v>DRMN</v>
          </cell>
          <cell r="D945">
            <v>54</v>
          </cell>
          <cell r="E945">
            <v>5</v>
          </cell>
          <cell r="F945" t="str">
            <v>A4</v>
          </cell>
          <cell r="G945">
            <v>21</v>
          </cell>
          <cell r="H945">
            <v>1</v>
          </cell>
          <cell r="I945">
            <v>9076</v>
          </cell>
          <cell r="J945">
            <v>348</v>
          </cell>
          <cell r="K945">
            <v>8728</v>
          </cell>
          <cell r="L945">
            <v>36</v>
          </cell>
          <cell r="M945">
            <v>36</v>
          </cell>
          <cell r="N945">
            <v>0</v>
          </cell>
          <cell r="O945">
            <v>77752</v>
          </cell>
          <cell r="P945">
            <v>24864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25654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102616</v>
          </cell>
          <cell r="AA945">
            <v>102616</v>
          </cell>
          <cell r="AB945" t="str">
            <v>ERLI</v>
          </cell>
          <cell r="AC945">
            <v>1101</v>
          </cell>
          <cell r="AD945">
            <v>2</v>
          </cell>
          <cell r="AE945">
            <v>9076</v>
          </cell>
        </row>
        <row r="946">
          <cell r="A946" t="str">
            <v>SMA</v>
          </cell>
          <cell r="B946">
            <v>5</v>
          </cell>
          <cell r="C946" t="str">
            <v>DRMN</v>
          </cell>
          <cell r="D946">
            <v>54</v>
          </cell>
          <cell r="E946">
            <v>5</v>
          </cell>
          <cell r="F946" t="str">
            <v>A4</v>
          </cell>
          <cell r="G946">
            <v>20</v>
          </cell>
          <cell r="H946">
            <v>4</v>
          </cell>
          <cell r="I946">
            <v>31491</v>
          </cell>
          <cell r="J946">
            <v>0</v>
          </cell>
          <cell r="K946">
            <v>0</v>
          </cell>
          <cell r="L946">
            <v>146</v>
          </cell>
          <cell r="M946">
            <v>0</v>
          </cell>
          <cell r="N946">
            <v>0</v>
          </cell>
          <cell r="O946">
            <v>291123</v>
          </cell>
          <cell r="P946">
            <v>96463</v>
          </cell>
          <cell r="Q946">
            <v>51417</v>
          </cell>
          <cell r="R946">
            <v>1510</v>
          </cell>
          <cell r="S946">
            <v>0</v>
          </cell>
          <cell r="T946">
            <v>0</v>
          </cell>
          <cell r="U946">
            <v>34231</v>
          </cell>
          <cell r="V946">
            <v>0</v>
          </cell>
          <cell r="W946">
            <v>15261</v>
          </cell>
          <cell r="X946">
            <v>0</v>
          </cell>
          <cell r="Y946">
            <v>0</v>
          </cell>
          <cell r="Z946">
            <v>454264</v>
          </cell>
          <cell r="AA946">
            <v>455774</v>
          </cell>
          <cell r="AB946" t="str">
            <v>ERLI</v>
          </cell>
          <cell r="AC946">
            <v>1101</v>
          </cell>
          <cell r="AD946">
            <v>2</v>
          </cell>
          <cell r="AE946">
            <v>31491</v>
          </cell>
        </row>
        <row r="947">
          <cell r="A947" t="str">
            <v>SMA</v>
          </cell>
          <cell r="B947">
            <v>5</v>
          </cell>
          <cell r="C947" t="str">
            <v>DRMN</v>
          </cell>
          <cell r="D947">
            <v>54</v>
          </cell>
          <cell r="E947">
            <v>5</v>
          </cell>
          <cell r="F947" t="str">
            <v xml:space="preserve">B </v>
          </cell>
          <cell r="G947">
            <v>0</v>
          </cell>
          <cell r="H947">
            <v>475</v>
          </cell>
          <cell r="I947">
            <v>142487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2768396</v>
          </cell>
          <cell r="P947">
            <v>0</v>
          </cell>
          <cell r="Q947">
            <v>0</v>
          </cell>
          <cell r="R947">
            <v>26307</v>
          </cell>
          <cell r="S947">
            <v>0</v>
          </cell>
          <cell r="T947">
            <v>464360</v>
          </cell>
          <cell r="U947">
            <v>547210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2768396</v>
          </cell>
          <cell r="AA947">
            <v>3259063</v>
          </cell>
          <cell r="AB947" t="str">
            <v>ERLI</v>
          </cell>
          <cell r="AC947">
            <v>1101</v>
          </cell>
          <cell r="AD947">
            <v>2</v>
          </cell>
          <cell r="AE947">
            <v>140635</v>
          </cell>
        </row>
        <row r="948">
          <cell r="A948" t="str">
            <v>SMA</v>
          </cell>
          <cell r="B948">
            <v>5</v>
          </cell>
          <cell r="C948" t="str">
            <v>DRMN</v>
          </cell>
          <cell r="D948">
            <v>54</v>
          </cell>
          <cell r="E948">
            <v>6</v>
          </cell>
          <cell r="F948" t="str">
            <v xml:space="preserve">B </v>
          </cell>
          <cell r="G948">
            <v>0</v>
          </cell>
          <cell r="H948">
            <v>25</v>
          </cell>
          <cell r="I948">
            <v>432320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5089844</v>
          </cell>
          <cell r="P948">
            <v>0</v>
          </cell>
          <cell r="Q948">
            <v>0</v>
          </cell>
          <cell r="R948">
            <v>32060</v>
          </cell>
          <cell r="S948">
            <v>0</v>
          </cell>
          <cell r="T948">
            <v>0</v>
          </cell>
          <cell r="U948">
            <v>1272460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5089844</v>
          </cell>
          <cell r="AA948">
            <v>5121904</v>
          </cell>
          <cell r="AB948" t="str">
            <v>ERLI</v>
          </cell>
          <cell r="AC948">
            <v>1101</v>
          </cell>
          <cell r="AD948">
            <v>2</v>
          </cell>
          <cell r="AE948">
            <v>432320</v>
          </cell>
        </row>
        <row r="949">
          <cell r="A949" t="str">
            <v>SMA</v>
          </cell>
          <cell r="B949">
            <v>5</v>
          </cell>
          <cell r="C949" t="str">
            <v>DRMN</v>
          </cell>
          <cell r="D949">
            <v>54</v>
          </cell>
          <cell r="E949">
            <v>7</v>
          </cell>
          <cell r="F949" t="str">
            <v>A4</v>
          </cell>
          <cell r="G949">
            <v>20</v>
          </cell>
          <cell r="H949">
            <v>4</v>
          </cell>
          <cell r="I949">
            <v>202134</v>
          </cell>
          <cell r="J949">
            <v>0</v>
          </cell>
          <cell r="K949">
            <v>0</v>
          </cell>
          <cell r="L949">
            <v>361</v>
          </cell>
          <cell r="M949">
            <v>0</v>
          </cell>
          <cell r="N949">
            <v>0</v>
          </cell>
          <cell r="O949">
            <v>1971480</v>
          </cell>
          <cell r="P949">
            <v>239704</v>
          </cell>
          <cell r="Q949">
            <v>228561</v>
          </cell>
          <cell r="R949">
            <v>0</v>
          </cell>
          <cell r="S949">
            <v>0</v>
          </cell>
          <cell r="T949">
            <v>0</v>
          </cell>
          <cell r="U949">
            <v>616079</v>
          </cell>
          <cell r="V949">
            <v>0</v>
          </cell>
          <cell r="W949">
            <v>24568</v>
          </cell>
          <cell r="X949">
            <v>0</v>
          </cell>
          <cell r="Y949">
            <v>0</v>
          </cell>
          <cell r="Z949">
            <v>2464313</v>
          </cell>
          <cell r="AA949">
            <v>2464313</v>
          </cell>
          <cell r="AB949" t="str">
            <v>ERLI</v>
          </cell>
          <cell r="AC949">
            <v>1101</v>
          </cell>
          <cell r="AD949">
            <v>2</v>
          </cell>
          <cell r="AE949">
            <v>202134</v>
          </cell>
        </row>
        <row r="950">
          <cell r="A950" t="str">
            <v>SMA</v>
          </cell>
          <cell r="B950">
            <v>5</v>
          </cell>
          <cell r="C950" t="str">
            <v>DRMN</v>
          </cell>
          <cell r="D950">
            <v>54</v>
          </cell>
          <cell r="E950">
            <v>7</v>
          </cell>
          <cell r="F950" t="str">
            <v xml:space="preserve">B </v>
          </cell>
          <cell r="G950">
            <v>0</v>
          </cell>
          <cell r="H950">
            <v>8</v>
          </cell>
          <cell r="I950">
            <v>6001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106184</v>
          </cell>
          <cell r="P950">
            <v>0</v>
          </cell>
          <cell r="Q950">
            <v>0</v>
          </cell>
          <cell r="R950">
            <v>170</v>
          </cell>
          <cell r="S950">
            <v>0</v>
          </cell>
          <cell r="T950">
            <v>0</v>
          </cell>
          <cell r="U950">
            <v>26545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106184</v>
          </cell>
          <cell r="AA950">
            <v>106354</v>
          </cell>
          <cell r="AB950" t="str">
            <v>ERLI</v>
          </cell>
          <cell r="AC950">
            <v>1101</v>
          </cell>
          <cell r="AD950">
            <v>2</v>
          </cell>
          <cell r="AE950">
            <v>5992</v>
          </cell>
        </row>
        <row r="951">
          <cell r="A951" t="str">
            <v>SMA</v>
          </cell>
          <cell r="B951">
            <v>5</v>
          </cell>
          <cell r="C951" t="str">
            <v>DRMN</v>
          </cell>
          <cell r="D951">
            <v>54</v>
          </cell>
          <cell r="E951">
            <v>8</v>
          </cell>
          <cell r="F951" t="str">
            <v xml:space="preserve">B </v>
          </cell>
          <cell r="G951">
            <v>0</v>
          </cell>
          <cell r="H951">
            <v>7</v>
          </cell>
          <cell r="I951">
            <v>5862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122037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30509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122037</v>
          </cell>
          <cell r="AA951">
            <v>122037</v>
          </cell>
          <cell r="AB951" t="str">
            <v>ERLI</v>
          </cell>
          <cell r="AC951">
            <v>1101</v>
          </cell>
          <cell r="AD951">
            <v>2</v>
          </cell>
          <cell r="AE951">
            <v>5832</v>
          </cell>
        </row>
        <row r="952">
          <cell r="A952" t="str">
            <v>SMA</v>
          </cell>
          <cell r="B952">
            <v>5</v>
          </cell>
          <cell r="C952" t="str">
            <v>DRMN</v>
          </cell>
          <cell r="D952">
            <v>55</v>
          </cell>
          <cell r="E952">
            <v>1</v>
          </cell>
          <cell r="F952" t="str">
            <v xml:space="preserve">B </v>
          </cell>
          <cell r="G952">
            <v>1</v>
          </cell>
          <cell r="H952">
            <v>4802</v>
          </cell>
          <cell r="I952">
            <v>98884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1592678</v>
          </cell>
          <cell r="P952">
            <v>0</v>
          </cell>
          <cell r="Q952">
            <v>0</v>
          </cell>
          <cell r="R952">
            <v>15049</v>
          </cell>
          <cell r="S952">
            <v>0</v>
          </cell>
          <cell r="T952">
            <v>88057</v>
          </cell>
          <cell r="U952">
            <v>0</v>
          </cell>
          <cell r="V952">
            <v>12505</v>
          </cell>
          <cell r="W952">
            <v>0</v>
          </cell>
          <cell r="X952">
            <v>0</v>
          </cell>
          <cell r="Y952">
            <v>64526</v>
          </cell>
          <cell r="Z952">
            <v>1592678</v>
          </cell>
          <cell r="AA952">
            <v>1772815</v>
          </cell>
          <cell r="AB952" t="str">
            <v>RSIL</v>
          </cell>
          <cell r="AC952">
            <v>1101</v>
          </cell>
          <cell r="AD952">
            <v>2</v>
          </cell>
          <cell r="AE952">
            <v>82929</v>
          </cell>
        </row>
        <row r="953">
          <cell r="A953" t="str">
            <v>SMA</v>
          </cell>
          <cell r="B953">
            <v>5</v>
          </cell>
          <cell r="C953" t="str">
            <v>DRMN</v>
          </cell>
          <cell r="D953">
            <v>55</v>
          </cell>
          <cell r="E953">
            <v>1</v>
          </cell>
          <cell r="F953" t="str">
            <v xml:space="preserve">B </v>
          </cell>
          <cell r="G953">
            <v>2</v>
          </cell>
          <cell r="H953">
            <v>2752</v>
          </cell>
          <cell r="I953">
            <v>112005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2172363</v>
          </cell>
          <cell r="P953">
            <v>0</v>
          </cell>
          <cell r="Q953">
            <v>0</v>
          </cell>
          <cell r="R953">
            <v>22387</v>
          </cell>
          <cell r="S953">
            <v>0</v>
          </cell>
          <cell r="T953">
            <v>29470</v>
          </cell>
          <cell r="U953">
            <v>369223</v>
          </cell>
          <cell r="V953">
            <v>6299</v>
          </cell>
          <cell r="W953">
            <v>0</v>
          </cell>
          <cell r="X953">
            <v>0</v>
          </cell>
          <cell r="Y953">
            <v>50656</v>
          </cell>
          <cell r="Z953">
            <v>2172363</v>
          </cell>
          <cell r="AA953">
            <v>2281175</v>
          </cell>
          <cell r="AB953" t="str">
            <v>RSIL</v>
          </cell>
          <cell r="AC953">
            <v>1101</v>
          </cell>
          <cell r="AD953">
            <v>2</v>
          </cell>
          <cell r="AE953">
            <v>112005</v>
          </cell>
        </row>
        <row r="954">
          <cell r="A954" t="str">
            <v>SMA</v>
          </cell>
          <cell r="B954">
            <v>5</v>
          </cell>
          <cell r="C954" t="str">
            <v>DRMN</v>
          </cell>
          <cell r="D954">
            <v>55</v>
          </cell>
          <cell r="E954">
            <v>1</v>
          </cell>
          <cell r="F954" t="str">
            <v xml:space="preserve">B </v>
          </cell>
          <cell r="G954">
            <v>3</v>
          </cell>
          <cell r="H954">
            <v>3593</v>
          </cell>
          <cell r="I954">
            <v>244324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4738395</v>
          </cell>
          <cell r="P954">
            <v>0</v>
          </cell>
          <cell r="Q954">
            <v>0</v>
          </cell>
          <cell r="R954">
            <v>36289</v>
          </cell>
          <cell r="S954">
            <v>0</v>
          </cell>
          <cell r="T954">
            <v>52368</v>
          </cell>
          <cell r="U954">
            <v>805514</v>
          </cell>
          <cell r="V954">
            <v>8931</v>
          </cell>
          <cell r="W954">
            <v>0</v>
          </cell>
          <cell r="X954">
            <v>0</v>
          </cell>
          <cell r="Y954">
            <v>62430</v>
          </cell>
          <cell r="Z954">
            <v>4738395</v>
          </cell>
          <cell r="AA954">
            <v>4898413</v>
          </cell>
          <cell r="AB954" t="str">
            <v>RSIL</v>
          </cell>
          <cell r="AC954">
            <v>1101</v>
          </cell>
          <cell r="AD954">
            <v>2</v>
          </cell>
          <cell r="AE954">
            <v>244067</v>
          </cell>
        </row>
        <row r="955">
          <cell r="A955" t="str">
            <v>SMA</v>
          </cell>
          <cell r="B955">
            <v>5</v>
          </cell>
          <cell r="C955" t="str">
            <v>DRMN</v>
          </cell>
          <cell r="D955">
            <v>55</v>
          </cell>
          <cell r="E955">
            <v>1</v>
          </cell>
          <cell r="F955" t="str">
            <v xml:space="preserve">B </v>
          </cell>
          <cell r="G955">
            <v>4</v>
          </cell>
          <cell r="H955">
            <v>425</v>
          </cell>
          <cell r="I955">
            <v>49402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958231</v>
          </cell>
          <cell r="P955">
            <v>0</v>
          </cell>
          <cell r="Q955">
            <v>0</v>
          </cell>
          <cell r="R955">
            <v>9324</v>
          </cell>
          <cell r="S955">
            <v>0</v>
          </cell>
          <cell r="T955">
            <v>42230</v>
          </cell>
          <cell r="U955">
            <v>162904</v>
          </cell>
          <cell r="V955">
            <v>2070</v>
          </cell>
          <cell r="W955">
            <v>0</v>
          </cell>
          <cell r="X955">
            <v>0</v>
          </cell>
          <cell r="Y955">
            <v>14007</v>
          </cell>
          <cell r="Z955">
            <v>958231</v>
          </cell>
          <cell r="AA955">
            <v>1025862</v>
          </cell>
          <cell r="AB955" t="str">
            <v>RSIL</v>
          </cell>
          <cell r="AC955">
            <v>1101</v>
          </cell>
          <cell r="AD955">
            <v>2</v>
          </cell>
          <cell r="AE955">
            <v>49402</v>
          </cell>
        </row>
        <row r="956">
          <cell r="A956" t="str">
            <v>SMA</v>
          </cell>
          <cell r="B956">
            <v>5</v>
          </cell>
          <cell r="C956" t="str">
            <v>DRMN</v>
          </cell>
          <cell r="D956">
            <v>55</v>
          </cell>
          <cell r="E956">
            <v>1</v>
          </cell>
          <cell r="F956" t="str">
            <v xml:space="preserve">B </v>
          </cell>
          <cell r="G956">
            <v>5</v>
          </cell>
          <cell r="H956">
            <v>71</v>
          </cell>
          <cell r="I956">
            <v>12471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241882</v>
          </cell>
          <cell r="P956">
            <v>0</v>
          </cell>
          <cell r="Q956">
            <v>0</v>
          </cell>
          <cell r="R956">
            <v>2896</v>
          </cell>
          <cell r="S956">
            <v>0</v>
          </cell>
          <cell r="T956">
            <v>160</v>
          </cell>
          <cell r="U956">
            <v>41125</v>
          </cell>
          <cell r="V956">
            <v>376</v>
          </cell>
          <cell r="W956">
            <v>0</v>
          </cell>
          <cell r="X956">
            <v>0</v>
          </cell>
          <cell r="Y956">
            <v>5312</v>
          </cell>
          <cell r="Z956">
            <v>241882</v>
          </cell>
          <cell r="AA956">
            <v>250626</v>
          </cell>
          <cell r="AB956" t="str">
            <v>RSIL</v>
          </cell>
          <cell r="AC956">
            <v>1101</v>
          </cell>
          <cell r="AD956">
            <v>2</v>
          </cell>
          <cell r="AE956">
            <v>12471</v>
          </cell>
        </row>
        <row r="957">
          <cell r="A957" t="str">
            <v>SMA</v>
          </cell>
          <cell r="B957">
            <v>5</v>
          </cell>
          <cell r="C957" t="str">
            <v>DRMN</v>
          </cell>
          <cell r="D957">
            <v>55</v>
          </cell>
          <cell r="E957">
            <v>1</v>
          </cell>
          <cell r="F957" t="str">
            <v xml:space="preserve">B </v>
          </cell>
          <cell r="G957">
            <v>6</v>
          </cell>
          <cell r="H957">
            <v>41</v>
          </cell>
          <cell r="I957">
            <v>8776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169709</v>
          </cell>
          <cell r="P957">
            <v>0</v>
          </cell>
          <cell r="Q957">
            <v>0</v>
          </cell>
          <cell r="R957">
            <v>2002</v>
          </cell>
          <cell r="S957">
            <v>0</v>
          </cell>
          <cell r="T957">
            <v>8162</v>
          </cell>
          <cell r="U957">
            <v>28853</v>
          </cell>
          <cell r="V957">
            <v>282</v>
          </cell>
          <cell r="W957">
            <v>0</v>
          </cell>
          <cell r="X957">
            <v>0</v>
          </cell>
          <cell r="Y957">
            <v>2328</v>
          </cell>
          <cell r="Z957">
            <v>169709</v>
          </cell>
          <cell r="AA957">
            <v>182483</v>
          </cell>
          <cell r="AB957" t="str">
            <v>RSIL</v>
          </cell>
          <cell r="AC957">
            <v>1101</v>
          </cell>
          <cell r="AD957">
            <v>2</v>
          </cell>
          <cell r="AE957">
            <v>8776</v>
          </cell>
        </row>
        <row r="958">
          <cell r="A958" t="str">
            <v>SMA</v>
          </cell>
          <cell r="B958">
            <v>5</v>
          </cell>
          <cell r="C958" t="str">
            <v>DRMN</v>
          </cell>
          <cell r="D958">
            <v>55</v>
          </cell>
          <cell r="E958">
            <v>1</v>
          </cell>
          <cell r="F958" t="str">
            <v xml:space="preserve">B </v>
          </cell>
          <cell r="G958">
            <v>7</v>
          </cell>
          <cell r="H958">
            <v>15</v>
          </cell>
          <cell r="I958">
            <v>3483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70086</v>
          </cell>
          <cell r="P958">
            <v>0</v>
          </cell>
          <cell r="Q958">
            <v>0</v>
          </cell>
          <cell r="R958">
            <v>-2708</v>
          </cell>
          <cell r="S958">
            <v>0</v>
          </cell>
          <cell r="T958">
            <v>6422</v>
          </cell>
          <cell r="U958">
            <v>14014</v>
          </cell>
          <cell r="V958">
            <v>566</v>
          </cell>
          <cell r="W958">
            <v>0</v>
          </cell>
          <cell r="X958">
            <v>0</v>
          </cell>
          <cell r="Y958">
            <v>-701</v>
          </cell>
          <cell r="Z958">
            <v>70086</v>
          </cell>
          <cell r="AA958">
            <v>73665</v>
          </cell>
          <cell r="AB958" t="str">
            <v>RSIL</v>
          </cell>
          <cell r="AC958">
            <v>1101</v>
          </cell>
          <cell r="AD958">
            <v>2</v>
          </cell>
          <cell r="AE958">
            <v>3483</v>
          </cell>
        </row>
        <row r="959">
          <cell r="A959" t="str">
            <v>SMA</v>
          </cell>
          <cell r="B959">
            <v>5</v>
          </cell>
          <cell r="C959" t="str">
            <v>DRMN</v>
          </cell>
          <cell r="D959">
            <v>55</v>
          </cell>
          <cell r="E959">
            <v>1</v>
          </cell>
          <cell r="F959" t="str">
            <v xml:space="preserve">B </v>
          </cell>
          <cell r="G959">
            <v>8</v>
          </cell>
          <cell r="H959">
            <v>16</v>
          </cell>
          <cell r="I959">
            <v>6902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138870</v>
          </cell>
          <cell r="P959">
            <v>0</v>
          </cell>
          <cell r="Q959">
            <v>0</v>
          </cell>
          <cell r="R959">
            <v>213</v>
          </cell>
          <cell r="S959">
            <v>0</v>
          </cell>
          <cell r="T959">
            <v>-78</v>
          </cell>
          <cell r="U959">
            <v>27777</v>
          </cell>
          <cell r="V959">
            <v>94</v>
          </cell>
          <cell r="W959">
            <v>0</v>
          </cell>
          <cell r="X959">
            <v>0</v>
          </cell>
          <cell r="Y959">
            <v>-273</v>
          </cell>
          <cell r="Z959">
            <v>138870</v>
          </cell>
          <cell r="AA959">
            <v>138826</v>
          </cell>
          <cell r="AB959" t="str">
            <v>RSIL</v>
          </cell>
          <cell r="AC959">
            <v>1101</v>
          </cell>
          <cell r="AD959">
            <v>2</v>
          </cell>
          <cell r="AE959">
            <v>6902</v>
          </cell>
        </row>
        <row r="960">
          <cell r="A960" t="str">
            <v>SMA</v>
          </cell>
          <cell r="B960">
            <v>5</v>
          </cell>
          <cell r="C960" t="str">
            <v>DRMN</v>
          </cell>
          <cell r="D960">
            <v>55</v>
          </cell>
          <cell r="E960">
            <v>1</v>
          </cell>
          <cell r="F960" t="str">
            <v xml:space="preserve">B </v>
          </cell>
          <cell r="G960">
            <v>9</v>
          </cell>
          <cell r="H960">
            <v>19</v>
          </cell>
          <cell r="I960">
            <v>8728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188882</v>
          </cell>
          <cell r="P960">
            <v>0</v>
          </cell>
          <cell r="Q960">
            <v>0</v>
          </cell>
          <cell r="R960">
            <v>13827</v>
          </cell>
          <cell r="S960">
            <v>0</v>
          </cell>
          <cell r="T960">
            <v>-199</v>
          </cell>
          <cell r="U960">
            <v>47225</v>
          </cell>
          <cell r="V960">
            <v>0</v>
          </cell>
          <cell r="W960">
            <v>0</v>
          </cell>
          <cell r="X960">
            <v>0</v>
          </cell>
          <cell r="Y960">
            <v>1240</v>
          </cell>
          <cell r="Z960">
            <v>188882</v>
          </cell>
          <cell r="AA960">
            <v>203750</v>
          </cell>
          <cell r="AB960" t="str">
            <v>RSIL</v>
          </cell>
          <cell r="AC960">
            <v>1101</v>
          </cell>
          <cell r="AD960">
            <v>2</v>
          </cell>
          <cell r="AE960">
            <v>8728</v>
          </cell>
        </row>
        <row r="961">
          <cell r="A961" t="str">
            <v>SMA</v>
          </cell>
          <cell r="B961">
            <v>5</v>
          </cell>
          <cell r="C961" t="str">
            <v>DRMN</v>
          </cell>
          <cell r="D961">
            <v>55</v>
          </cell>
          <cell r="E961">
            <v>1</v>
          </cell>
          <cell r="F961" t="str">
            <v xml:space="preserve">B </v>
          </cell>
          <cell r="G961">
            <v>10</v>
          </cell>
          <cell r="H961">
            <v>7</v>
          </cell>
          <cell r="I961">
            <v>-13681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-295198</v>
          </cell>
          <cell r="P961">
            <v>0</v>
          </cell>
          <cell r="Q961">
            <v>0</v>
          </cell>
          <cell r="R961">
            <v>13594</v>
          </cell>
          <cell r="S961">
            <v>0</v>
          </cell>
          <cell r="T961">
            <v>0</v>
          </cell>
          <cell r="U961">
            <v>-73799</v>
          </cell>
          <cell r="V961">
            <v>0</v>
          </cell>
          <cell r="W961">
            <v>0</v>
          </cell>
          <cell r="X961">
            <v>0</v>
          </cell>
          <cell r="Y961">
            <v>546</v>
          </cell>
          <cell r="Z961">
            <v>-295198</v>
          </cell>
          <cell r="AA961">
            <v>-281058</v>
          </cell>
          <cell r="AB961" t="str">
            <v>RSIL</v>
          </cell>
          <cell r="AC961">
            <v>1101</v>
          </cell>
          <cell r="AD961">
            <v>2</v>
          </cell>
          <cell r="AE961">
            <v>-13681</v>
          </cell>
        </row>
        <row r="962">
          <cell r="A962" t="str">
            <v>SMA</v>
          </cell>
          <cell r="B962">
            <v>5</v>
          </cell>
          <cell r="C962" t="str">
            <v>DRMN</v>
          </cell>
          <cell r="D962">
            <v>55</v>
          </cell>
          <cell r="E962">
            <v>1</v>
          </cell>
          <cell r="F962" t="str">
            <v xml:space="preserve">B </v>
          </cell>
          <cell r="G962">
            <v>11</v>
          </cell>
          <cell r="H962">
            <v>4055</v>
          </cell>
          <cell r="I962">
            <v>85571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482423</v>
          </cell>
          <cell r="P962">
            <v>0</v>
          </cell>
          <cell r="Q962">
            <v>0</v>
          </cell>
          <cell r="R962">
            <v>9405</v>
          </cell>
          <cell r="S962">
            <v>580</v>
          </cell>
          <cell r="T962">
            <v>54698</v>
          </cell>
          <cell r="U962">
            <v>0</v>
          </cell>
          <cell r="V962">
            <v>15041</v>
          </cell>
          <cell r="W962">
            <v>0</v>
          </cell>
          <cell r="X962">
            <v>0</v>
          </cell>
          <cell r="Y962">
            <v>27657</v>
          </cell>
          <cell r="Z962">
            <v>482423</v>
          </cell>
          <cell r="AA962">
            <v>589804</v>
          </cell>
          <cell r="AB962" t="str">
            <v>RSIL</v>
          </cell>
          <cell r="AC962">
            <v>1101</v>
          </cell>
          <cell r="AD962">
            <v>2</v>
          </cell>
          <cell r="AE962">
            <v>60726</v>
          </cell>
        </row>
        <row r="963">
          <cell r="A963" t="str">
            <v>SMA</v>
          </cell>
          <cell r="B963">
            <v>5</v>
          </cell>
          <cell r="C963" t="str">
            <v>DRMN</v>
          </cell>
          <cell r="D963">
            <v>55</v>
          </cell>
          <cell r="E963">
            <v>1</v>
          </cell>
          <cell r="F963" t="str">
            <v xml:space="preserve">B </v>
          </cell>
          <cell r="G963">
            <v>12</v>
          </cell>
          <cell r="H963">
            <v>1420</v>
          </cell>
          <cell r="I963">
            <v>74922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665300</v>
          </cell>
          <cell r="P963">
            <v>0</v>
          </cell>
          <cell r="Q963">
            <v>0</v>
          </cell>
          <cell r="R963">
            <v>7754</v>
          </cell>
          <cell r="S963">
            <v>0</v>
          </cell>
          <cell r="T963">
            <v>26687</v>
          </cell>
          <cell r="U963">
            <v>113176</v>
          </cell>
          <cell r="V963">
            <v>4606</v>
          </cell>
          <cell r="W963">
            <v>0</v>
          </cell>
          <cell r="X963">
            <v>0</v>
          </cell>
          <cell r="Y963">
            <v>12440</v>
          </cell>
          <cell r="Z963">
            <v>665300</v>
          </cell>
          <cell r="AA963">
            <v>716787</v>
          </cell>
          <cell r="AB963" t="str">
            <v>RSIL</v>
          </cell>
          <cell r="AC963">
            <v>1101</v>
          </cell>
          <cell r="AD963">
            <v>2</v>
          </cell>
          <cell r="AE963">
            <v>74922</v>
          </cell>
        </row>
        <row r="964">
          <cell r="A964" t="str">
            <v>SMA</v>
          </cell>
          <cell r="B964">
            <v>5</v>
          </cell>
          <cell r="C964" t="str">
            <v>DRMN</v>
          </cell>
          <cell r="D964">
            <v>55</v>
          </cell>
          <cell r="E964">
            <v>1</v>
          </cell>
          <cell r="F964" t="str">
            <v xml:space="preserve">B </v>
          </cell>
          <cell r="G964">
            <v>13</v>
          </cell>
          <cell r="H964">
            <v>48</v>
          </cell>
          <cell r="I964">
            <v>5836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75199</v>
          </cell>
          <cell r="P964">
            <v>0</v>
          </cell>
          <cell r="Q964">
            <v>0</v>
          </cell>
          <cell r="R964">
            <v>767</v>
          </cell>
          <cell r="S964">
            <v>0</v>
          </cell>
          <cell r="T964">
            <v>2224</v>
          </cell>
          <cell r="U964">
            <v>12786</v>
          </cell>
          <cell r="V964">
            <v>282</v>
          </cell>
          <cell r="W964">
            <v>0</v>
          </cell>
          <cell r="X964">
            <v>0</v>
          </cell>
          <cell r="Y964">
            <v>622</v>
          </cell>
          <cell r="Z964">
            <v>75199</v>
          </cell>
          <cell r="AA964">
            <v>79094</v>
          </cell>
          <cell r="AB964" t="str">
            <v>RSIL</v>
          </cell>
          <cell r="AC964">
            <v>1101</v>
          </cell>
          <cell r="AD964">
            <v>2</v>
          </cell>
          <cell r="AE964">
            <v>5836</v>
          </cell>
        </row>
        <row r="965">
          <cell r="A965" t="str">
            <v>SMA</v>
          </cell>
          <cell r="B965">
            <v>5</v>
          </cell>
          <cell r="C965" t="str">
            <v>DRMN</v>
          </cell>
          <cell r="D965">
            <v>55</v>
          </cell>
          <cell r="E965">
            <v>1</v>
          </cell>
          <cell r="F965" t="str">
            <v xml:space="preserve">B </v>
          </cell>
          <cell r="G965">
            <v>14</v>
          </cell>
          <cell r="H965">
            <v>5</v>
          </cell>
          <cell r="I965">
            <v>599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7622</v>
          </cell>
          <cell r="P965">
            <v>0</v>
          </cell>
          <cell r="Q965">
            <v>0</v>
          </cell>
          <cell r="R965">
            <v>125</v>
          </cell>
          <cell r="S965">
            <v>0</v>
          </cell>
          <cell r="T965">
            <v>0</v>
          </cell>
          <cell r="U965">
            <v>1295</v>
          </cell>
          <cell r="V965">
            <v>0</v>
          </cell>
          <cell r="W965">
            <v>0</v>
          </cell>
          <cell r="X965">
            <v>0</v>
          </cell>
          <cell r="Y965">
            <v>182</v>
          </cell>
          <cell r="Z965">
            <v>7622</v>
          </cell>
          <cell r="AA965">
            <v>7929</v>
          </cell>
          <cell r="AB965" t="str">
            <v>RSIL</v>
          </cell>
          <cell r="AC965">
            <v>1101</v>
          </cell>
          <cell r="AD965">
            <v>2</v>
          </cell>
          <cell r="AE965">
            <v>599</v>
          </cell>
        </row>
        <row r="966">
          <cell r="A966" t="str">
            <v>SMA</v>
          </cell>
          <cell r="B966">
            <v>5</v>
          </cell>
          <cell r="C966" t="str">
            <v>DRMN</v>
          </cell>
          <cell r="D966">
            <v>55</v>
          </cell>
          <cell r="E966">
            <v>1</v>
          </cell>
          <cell r="F966" t="str">
            <v xml:space="preserve">B </v>
          </cell>
          <cell r="G966">
            <v>15</v>
          </cell>
          <cell r="H966">
            <v>11</v>
          </cell>
          <cell r="I966">
            <v>-8616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-193006</v>
          </cell>
          <cell r="P966">
            <v>0</v>
          </cell>
          <cell r="Q966">
            <v>0</v>
          </cell>
          <cell r="R966">
            <v>625</v>
          </cell>
          <cell r="S966">
            <v>0</v>
          </cell>
          <cell r="T966">
            <v>295</v>
          </cell>
          <cell r="U966">
            <v>-49593</v>
          </cell>
          <cell r="V966">
            <v>-94</v>
          </cell>
          <cell r="W966">
            <v>0</v>
          </cell>
          <cell r="X966">
            <v>0</v>
          </cell>
          <cell r="Y966">
            <v>525</v>
          </cell>
          <cell r="Z966">
            <v>-193006</v>
          </cell>
          <cell r="AA966">
            <v>-191655</v>
          </cell>
          <cell r="AB966" t="str">
            <v>RSIL</v>
          </cell>
          <cell r="AC966">
            <v>1101</v>
          </cell>
          <cell r="AD966">
            <v>2</v>
          </cell>
          <cell r="AE966">
            <v>-8616</v>
          </cell>
        </row>
        <row r="967">
          <cell r="A967" t="str">
            <v>SMA</v>
          </cell>
          <cell r="B967">
            <v>5</v>
          </cell>
          <cell r="C967" t="str">
            <v>DRMN</v>
          </cell>
          <cell r="D967">
            <v>55</v>
          </cell>
          <cell r="E967">
            <v>2</v>
          </cell>
          <cell r="F967" t="str">
            <v xml:space="preserve">B </v>
          </cell>
          <cell r="G967">
            <v>0</v>
          </cell>
          <cell r="H967">
            <v>76</v>
          </cell>
          <cell r="I967">
            <v>146902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3058289</v>
          </cell>
          <cell r="P967">
            <v>0</v>
          </cell>
          <cell r="Q967">
            <v>0</v>
          </cell>
          <cell r="R967">
            <v>42238</v>
          </cell>
          <cell r="S967">
            <v>0</v>
          </cell>
          <cell r="T967">
            <v>864437</v>
          </cell>
          <cell r="U967">
            <v>763165</v>
          </cell>
          <cell r="V967">
            <v>3868</v>
          </cell>
          <cell r="W967">
            <v>0</v>
          </cell>
          <cell r="X967">
            <v>0</v>
          </cell>
          <cell r="Y967">
            <v>5150</v>
          </cell>
          <cell r="Z967">
            <v>3058289</v>
          </cell>
          <cell r="AA967">
            <v>3973982</v>
          </cell>
          <cell r="AB967" t="str">
            <v>RSIL</v>
          </cell>
          <cell r="AC967">
            <v>1101</v>
          </cell>
          <cell r="AD967">
            <v>2</v>
          </cell>
          <cell r="AE967">
            <v>145894</v>
          </cell>
        </row>
        <row r="968">
          <cell r="A968" t="str">
            <v>SMA</v>
          </cell>
          <cell r="B968">
            <v>5</v>
          </cell>
          <cell r="C968" t="str">
            <v>DRMN</v>
          </cell>
          <cell r="D968">
            <v>55</v>
          </cell>
          <cell r="E968">
            <v>3</v>
          </cell>
          <cell r="F968" t="str">
            <v xml:space="preserve">B </v>
          </cell>
          <cell r="G968">
            <v>0</v>
          </cell>
          <cell r="H968">
            <v>566</v>
          </cell>
          <cell r="I968">
            <v>79122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1647959</v>
          </cell>
          <cell r="P968">
            <v>0</v>
          </cell>
          <cell r="Q968">
            <v>0</v>
          </cell>
          <cell r="R968">
            <v>20804</v>
          </cell>
          <cell r="S968">
            <v>0</v>
          </cell>
          <cell r="T968">
            <v>81354</v>
          </cell>
          <cell r="U968">
            <v>405897</v>
          </cell>
          <cell r="V968">
            <v>4706</v>
          </cell>
          <cell r="W968">
            <v>0</v>
          </cell>
          <cell r="X968">
            <v>0</v>
          </cell>
          <cell r="Y968">
            <v>23170</v>
          </cell>
          <cell r="Z968">
            <v>1647959</v>
          </cell>
          <cell r="AA968">
            <v>1777993</v>
          </cell>
          <cell r="AB968" t="str">
            <v>RSIL</v>
          </cell>
          <cell r="AC968">
            <v>1101</v>
          </cell>
          <cell r="AD968">
            <v>2</v>
          </cell>
          <cell r="AE968">
            <v>75156</v>
          </cell>
        </row>
        <row r="969">
          <cell r="A969" t="str">
            <v>SMA</v>
          </cell>
          <cell r="B969">
            <v>5</v>
          </cell>
          <cell r="C969" t="str">
            <v>DRMN</v>
          </cell>
          <cell r="D969">
            <v>55</v>
          </cell>
          <cell r="E969">
            <v>4</v>
          </cell>
          <cell r="F969" t="str">
            <v xml:space="preserve">B </v>
          </cell>
          <cell r="G969">
            <v>0</v>
          </cell>
          <cell r="H969">
            <v>5995</v>
          </cell>
          <cell r="I969">
            <v>1668671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16077872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3326073</v>
          </cell>
          <cell r="U969">
            <v>0</v>
          </cell>
          <cell r="V969">
            <v>682532</v>
          </cell>
          <cell r="W969">
            <v>0</v>
          </cell>
          <cell r="X969">
            <v>0</v>
          </cell>
          <cell r="Y969">
            <v>0</v>
          </cell>
          <cell r="Z969">
            <v>16077872</v>
          </cell>
          <cell r="AA969">
            <v>20086477</v>
          </cell>
          <cell r="AB969" t="str">
            <v>RSIL</v>
          </cell>
          <cell r="AC969">
            <v>1101</v>
          </cell>
          <cell r="AD969">
            <v>2</v>
          </cell>
          <cell r="AE969">
            <v>1626370</v>
          </cell>
        </row>
        <row r="970">
          <cell r="A970" t="str">
            <v>SMA</v>
          </cell>
          <cell r="B970">
            <v>6</v>
          </cell>
          <cell r="C970" t="str">
            <v>DRAG</v>
          </cell>
          <cell r="D970">
            <v>61</v>
          </cell>
          <cell r="E970">
            <v>1</v>
          </cell>
          <cell r="F970" t="str">
            <v xml:space="preserve">B </v>
          </cell>
          <cell r="G970">
            <v>1</v>
          </cell>
          <cell r="H970">
            <v>9121</v>
          </cell>
          <cell r="I970">
            <v>209169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3396242</v>
          </cell>
          <cell r="P970">
            <v>0</v>
          </cell>
          <cell r="Q970">
            <v>0</v>
          </cell>
          <cell r="R970">
            <v>54577</v>
          </cell>
          <cell r="S970">
            <v>0</v>
          </cell>
          <cell r="T970">
            <v>821685</v>
          </cell>
          <cell r="U970">
            <v>660</v>
          </cell>
          <cell r="V970">
            <v>564</v>
          </cell>
          <cell r="W970">
            <v>0</v>
          </cell>
          <cell r="X970">
            <v>0</v>
          </cell>
          <cell r="Y970">
            <v>242169</v>
          </cell>
          <cell r="Z970">
            <v>3396242</v>
          </cell>
          <cell r="AA970">
            <v>4515237</v>
          </cell>
          <cell r="AB970" t="str">
            <v>ERCR</v>
          </cell>
          <cell r="AC970">
            <v>1101</v>
          </cell>
          <cell r="AD970">
            <v>2</v>
          </cell>
          <cell r="AE970">
            <v>148171</v>
          </cell>
        </row>
        <row r="971">
          <cell r="A971" t="str">
            <v>SMA</v>
          </cell>
          <cell r="B971">
            <v>6</v>
          </cell>
          <cell r="C971" t="str">
            <v>DRAG</v>
          </cell>
          <cell r="D971">
            <v>61</v>
          </cell>
          <cell r="E971">
            <v>1</v>
          </cell>
          <cell r="F971" t="str">
            <v xml:space="preserve">B </v>
          </cell>
          <cell r="G971">
            <v>2</v>
          </cell>
          <cell r="H971">
            <v>5701</v>
          </cell>
          <cell r="I971">
            <v>233181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4524100</v>
          </cell>
          <cell r="P971">
            <v>0</v>
          </cell>
          <cell r="Q971">
            <v>0</v>
          </cell>
          <cell r="R971">
            <v>40579</v>
          </cell>
          <cell r="S971">
            <v>0</v>
          </cell>
          <cell r="T971">
            <v>198074</v>
          </cell>
          <cell r="U971">
            <v>768885</v>
          </cell>
          <cell r="V971">
            <v>282</v>
          </cell>
          <cell r="W971">
            <v>0</v>
          </cell>
          <cell r="X971">
            <v>0</v>
          </cell>
          <cell r="Y971">
            <v>314131</v>
          </cell>
          <cell r="Z971">
            <v>4524100</v>
          </cell>
          <cell r="AA971">
            <v>5077166</v>
          </cell>
          <cell r="AB971" t="str">
            <v>ERCR</v>
          </cell>
          <cell r="AC971">
            <v>1101</v>
          </cell>
          <cell r="AD971">
            <v>2</v>
          </cell>
          <cell r="AE971">
            <v>233181</v>
          </cell>
        </row>
        <row r="972">
          <cell r="A972" t="str">
            <v>SMA</v>
          </cell>
          <cell r="B972">
            <v>6</v>
          </cell>
          <cell r="C972" t="str">
            <v>DRAG</v>
          </cell>
          <cell r="D972">
            <v>61</v>
          </cell>
          <cell r="E972">
            <v>1</v>
          </cell>
          <cell r="F972" t="str">
            <v xml:space="preserve">B </v>
          </cell>
          <cell r="G972">
            <v>3</v>
          </cell>
          <cell r="H972">
            <v>21420</v>
          </cell>
          <cell r="I972">
            <v>1611221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31249949</v>
          </cell>
          <cell r="P972">
            <v>0</v>
          </cell>
          <cell r="Q972">
            <v>0</v>
          </cell>
          <cell r="R972">
            <v>242578</v>
          </cell>
          <cell r="S972">
            <v>0</v>
          </cell>
          <cell r="T972">
            <v>728471</v>
          </cell>
          <cell r="U972">
            <v>5312541</v>
          </cell>
          <cell r="V972">
            <v>94</v>
          </cell>
          <cell r="W972">
            <v>0</v>
          </cell>
          <cell r="X972">
            <v>0</v>
          </cell>
          <cell r="Y972">
            <v>2274811</v>
          </cell>
          <cell r="Z972">
            <v>31249949</v>
          </cell>
          <cell r="AA972">
            <v>34495903</v>
          </cell>
          <cell r="AB972" t="str">
            <v>ERCR</v>
          </cell>
          <cell r="AC972">
            <v>1101</v>
          </cell>
          <cell r="AD972">
            <v>2</v>
          </cell>
          <cell r="AE972">
            <v>1599616</v>
          </cell>
        </row>
        <row r="973">
          <cell r="A973" t="str">
            <v>SMA</v>
          </cell>
          <cell r="B973">
            <v>6</v>
          </cell>
          <cell r="C973" t="str">
            <v>DRAG</v>
          </cell>
          <cell r="D973">
            <v>61</v>
          </cell>
          <cell r="E973">
            <v>1</v>
          </cell>
          <cell r="F973" t="str">
            <v xml:space="preserve">B </v>
          </cell>
          <cell r="G973">
            <v>4</v>
          </cell>
          <cell r="H973">
            <v>10484</v>
          </cell>
          <cell r="I973">
            <v>1270367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24640195</v>
          </cell>
          <cell r="P973">
            <v>0</v>
          </cell>
          <cell r="Q973">
            <v>0</v>
          </cell>
          <cell r="R973">
            <v>243406</v>
          </cell>
          <cell r="S973">
            <v>0</v>
          </cell>
          <cell r="T973">
            <v>629957</v>
          </cell>
          <cell r="U973">
            <v>4188886</v>
          </cell>
          <cell r="V973">
            <v>94</v>
          </cell>
          <cell r="W973">
            <v>0</v>
          </cell>
          <cell r="X973">
            <v>0</v>
          </cell>
          <cell r="Y973">
            <v>1976871</v>
          </cell>
          <cell r="Z973">
            <v>24640195</v>
          </cell>
          <cell r="AA973">
            <v>27490523</v>
          </cell>
          <cell r="AB973" t="str">
            <v>ERCR</v>
          </cell>
          <cell r="AC973">
            <v>1101</v>
          </cell>
          <cell r="AD973">
            <v>2</v>
          </cell>
          <cell r="AE973">
            <v>1270367</v>
          </cell>
        </row>
        <row r="974">
          <cell r="A974" t="str">
            <v>SMA</v>
          </cell>
          <cell r="B974">
            <v>6</v>
          </cell>
          <cell r="C974" t="str">
            <v>DRAG</v>
          </cell>
          <cell r="D974">
            <v>61</v>
          </cell>
          <cell r="E974">
            <v>1</v>
          </cell>
          <cell r="F974" t="str">
            <v xml:space="preserve">B </v>
          </cell>
          <cell r="G974">
            <v>5</v>
          </cell>
          <cell r="H974">
            <v>4184</v>
          </cell>
          <cell r="I974">
            <v>720970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13983185</v>
          </cell>
          <cell r="P974">
            <v>0</v>
          </cell>
          <cell r="Q974">
            <v>0</v>
          </cell>
          <cell r="R974">
            <v>145972</v>
          </cell>
          <cell r="S974">
            <v>0</v>
          </cell>
          <cell r="T974">
            <v>351755</v>
          </cell>
          <cell r="U974">
            <v>2377209</v>
          </cell>
          <cell r="V974">
            <v>0</v>
          </cell>
          <cell r="W974">
            <v>0</v>
          </cell>
          <cell r="X974">
            <v>0</v>
          </cell>
          <cell r="Y974">
            <v>1398020</v>
          </cell>
          <cell r="Z974">
            <v>13983185</v>
          </cell>
          <cell r="AA974">
            <v>15878932</v>
          </cell>
          <cell r="AB974" t="str">
            <v>ERCR</v>
          </cell>
          <cell r="AC974">
            <v>1101</v>
          </cell>
          <cell r="AD974">
            <v>2</v>
          </cell>
          <cell r="AE974">
            <v>720970</v>
          </cell>
        </row>
        <row r="975">
          <cell r="A975" t="str">
            <v>SMA</v>
          </cell>
          <cell r="B975">
            <v>6</v>
          </cell>
          <cell r="C975" t="str">
            <v>DRAG</v>
          </cell>
          <cell r="D975">
            <v>61</v>
          </cell>
          <cell r="E975">
            <v>1</v>
          </cell>
          <cell r="F975" t="str">
            <v xml:space="preserve">B </v>
          </cell>
          <cell r="G975">
            <v>6</v>
          </cell>
          <cell r="H975">
            <v>3125</v>
          </cell>
          <cell r="I975">
            <v>746189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14472603</v>
          </cell>
          <cell r="P975">
            <v>0</v>
          </cell>
          <cell r="Q975">
            <v>0</v>
          </cell>
          <cell r="R975">
            <v>165199</v>
          </cell>
          <cell r="S975">
            <v>0</v>
          </cell>
          <cell r="T975">
            <v>427366</v>
          </cell>
          <cell r="U975">
            <v>2460988</v>
          </cell>
          <cell r="V975">
            <v>0</v>
          </cell>
          <cell r="W975">
            <v>0</v>
          </cell>
          <cell r="X975">
            <v>0</v>
          </cell>
          <cell r="Y975">
            <v>1025720</v>
          </cell>
          <cell r="Z975">
            <v>14472603</v>
          </cell>
          <cell r="AA975">
            <v>16090888</v>
          </cell>
          <cell r="AB975" t="str">
            <v>ERCR</v>
          </cell>
          <cell r="AC975">
            <v>1101</v>
          </cell>
          <cell r="AD975">
            <v>2</v>
          </cell>
          <cell r="AE975">
            <v>746189</v>
          </cell>
        </row>
        <row r="976">
          <cell r="A976" t="str">
            <v>SMA</v>
          </cell>
          <cell r="B976">
            <v>6</v>
          </cell>
          <cell r="C976" t="str">
            <v>DRAG</v>
          </cell>
          <cell r="D976">
            <v>61</v>
          </cell>
          <cell r="E976">
            <v>1</v>
          </cell>
          <cell r="F976" t="str">
            <v xml:space="preserve">B </v>
          </cell>
          <cell r="G976">
            <v>7</v>
          </cell>
          <cell r="H976">
            <v>998</v>
          </cell>
          <cell r="I976">
            <v>339120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6825211</v>
          </cell>
          <cell r="P976">
            <v>0</v>
          </cell>
          <cell r="Q976">
            <v>0</v>
          </cell>
          <cell r="R976">
            <v>73548</v>
          </cell>
          <cell r="S976">
            <v>0</v>
          </cell>
          <cell r="T976">
            <v>246109</v>
          </cell>
          <cell r="U976">
            <v>1365440</v>
          </cell>
          <cell r="V976">
            <v>0</v>
          </cell>
          <cell r="W976">
            <v>0</v>
          </cell>
          <cell r="X976">
            <v>0</v>
          </cell>
          <cell r="Y976">
            <v>615462</v>
          </cell>
          <cell r="Z976">
            <v>6825211</v>
          </cell>
          <cell r="AA976">
            <v>7760330</v>
          </cell>
          <cell r="AB976" t="str">
            <v>ERCR</v>
          </cell>
          <cell r="AC976">
            <v>1101</v>
          </cell>
          <cell r="AD976">
            <v>2</v>
          </cell>
          <cell r="AE976">
            <v>339120</v>
          </cell>
        </row>
        <row r="977">
          <cell r="A977" t="str">
            <v>SMA</v>
          </cell>
          <cell r="B977">
            <v>6</v>
          </cell>
          <cell r="C977" t="str">
            <v>DRAG</v>
          </cell>
          <cell r="D977">
            <v>61</v>
          </cell>
          <cell r="E977">
            <v>1</v>
          </cell>
          <cell r="F977" t="str">
            <v xml:space="preserve">B </v>
          </cell>
          <cell r="G977">
            <v>8</v>
          </cell>
          <cell r="H977">
            <v>392</v>
          </cell>
          <cell r="I977">
            <v>171024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3440974</v>
          </cell>
          <cell r="P977">
            <v>0</v>
          </cell>
          <cell r="Q977">
            <v>0</v>
          </cell>
          <cell r="R977">
            <v>35776</v>
          </cell>
          <cell r="S977">
            <v>0</v>
          </cell>
          <cell r="T977">
            <v>83701</v>
          </cell>
          <cell r="U977">
            <v>688308</v>
          </cell>
          <cell r="V977">
            <v>0</v>
          </cell>
          <cell r="W977">
            <v>0</v>
          </cell>
          <cell r="X977">
            <v>0</v>
          </cell>
          <cell r="Y977">
            <v>252385</v>
          </cell>
          <cell r="Z977">
            <v>3440974</v>
          </cell>
          <cell r="AA977">
            <v>3812836</v>
          </cell>
          <cell r="AB977" t="str">
            <v>ERCR</v>
          </cell>
          <cell r="AC977">
            <v>1101</v>
          </cell>
          <cell r="AD977">
            <v>2</v>
          </cell>
          <cell r="AE977">
            <v>171024</v>
          </cell>
        </row>
        <row r="978">
          <cell r="A978" t="str">
            <v>SMA</v>
          </cell>
          <cell r="B978">
            <v>6</v>
          </cell>
          <cell r="C978" t="str">
            <v>DRAG</v>
          </cell>
          <cell r="D978">
            <v>61</v>
          </cell>
          <cell r="E978">
            <v>1</v>
          </cell>
          <cell r="F978" t="str">
            <v xml:space="preserve">B </v>
          </cell>
          <cell r="G978">
            <v>9</v>
          </cell>
          <cell r="H978">
            <v>428</v>
          </cell>
          <cell r="I978">
            <v>258793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5552779</v>
          </cell>
          <cell r="P978">
            <v>0</v>
          </cell>
          <cell r="Q978">
            <v>0</v>
          </cell>
          <cell r="R978">
            <v>158663</v>
          </cell>
          <cell r="S978">
            <v>0</v>
          </cell>
          <cell r="T978">
            <v>127351</v>
          </cell>
          <cell r="U978">
            <v>1388355</v>
          </cell>
          <cell r="V978">
            <v>0</v>
          </cell>
          <cell r="W978">
            <v>0</v>
          </cell>
          <cell r="X978">
            <v>0</v>
          </cell>
          <cell r="Y978">
            <v>380766</v>
          </cell>
          <cell r="Z978">
            <v>5552779</v>
          </cell>
          <cell r="AA978">
            <v>6219559</v>
          </cell>
          <cell r="AB978" t="str">
            <v>ERCR</v>
          </cell>
          <cell r="AC978">
            <v>1101</v>
          </cell>
          <cell r="AD978">
            <v>2</v>
          </cell>
          <cell r="AE978">
            <v>258793</v>
          </cell>
        </row>
        <row r="979">
          <cell r="A979" t="str">
            <v>SMA</v>
          </cell>
          <cell r="B979">
            <v>6</v>
          </cell>
          <cell r="C979" t="str">
            <v>DRAG</v>
          </cell>
          <cell r="D979">
            <v>61</v>
          </cell>
          <cell r="E979">
            <v>1</v>
          </cell>
          <cell r="F979" t="str">
            <v xml:space="preserve">B </v>
          </cell>
          <cell r="G979">
            <v>10</v>
          </cell>
          <cell r="H979">
            <v>131</v>
          </cell>
          <cell r="I979">
            <v>257924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5547091</v>
          </cell>
          <cell r="P979">
            <v>0</v>
          </cell>
          <cell r="Q979">
            <v>0</v>
          </cell>
          <cell r="R979">
            <v>593827</v>
          </cell>
          <cell r="S979">
            <v>0</v>
          </cell>
          <cell r="T979">
            <v>97559</v>
          </cell>
          <cell r="U979">
            <v>1386821</v>
          </cell>
          <cell r="V979">
            <v>-94</v>
          </cell>
          <cell r="W979">
            <v>0</v>
          </cell>
          <cell r="X979">
            <v>0</v>
          </cell>
          <cell r="Y979">
            <v>94882</v>
          </cell>
          <cell r="Z979">
            <v>5547091</v>
          </cell>
          <cell r="AA979">
            <v>6333265</v>
          </cell>
          <cell r="AB979" t="str">
            <v>ERCR</v>
          </cell>
          <cell r="AC979">
            <v>1101</v>
          </cell>
          <cell r="AD979">
            <v>2</v>
          </cell>
          <cell r="AE979">
            <v>257924</v>
          </cell>
        </row>
        <row r="980">
          <cell r="A980" t="str">
            <v>SMA</v>
          </cell>
          <cell r="B980">
            <v>6</v>
          </cell>
          <cell r="C980" t="str">
            <v>DRAG</v>
          </cell>
          <cell r="D980">
            <v>61</v>
          </cell>
          <cell r="E980">
            <v>1</v>
          </cell>
          <cell r="F980" t="str">
            <v xml:space="preserve">B </v>
          </cell>
          <cell r="G980">
            <v>11</v>
          </cell>
          <cell r="H980">
            <v>15951</v>
          </cell>
          <cell r="I980">
            <v>359899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2031658</v>
          </cell>
          <cell r="P980">
            <v>0</v>
          </cell>
          <cell r="Q980">
            <v>0</v>
          </cell>
          <cell r="R980">
            <v>25612</v>
          </cell>
          <cell r="S980">
            <v>0</v>
          </cell>
          <cell r="T980">
            <v>211209</v>
          </cell>
          <cell r="U980">
            <v>0</v>
          </cell>
          <cell r="V980">
            <v>1974</v>
          </cell>
          <cell r="W980">
            <v>0</v>
          </cell>
          <cell r="X980">
            <v>0</v>
          </cell>
          <cell r="Y980">
            <v>360476</v>
          </cell>
          <cell r="Z980">
            <v>2031658</v>
          </cell>
          <cell r="AA980">
            <v>2630929</v>
          </cell>
          <cell r="AB980" t="str">
            <v>ERCR</v>
          </cell>
          <cell r="AC980">
            <v>1101</v>
          </cell>
          <cell r="AD980">
            <v>2</v>
          </cell>
          <cell r="AE980">
            <v>251783</v>
          </cell>
        </row>
        <row r="981">
          <cell r="A981" t="str">
            <v>SMA</v>
          </cell>
          <cell r="B981">
            <v>6</v>
          </cell>
          <cell r="C981" t="str">
            <v>DRAG</v>
          </cell>
          <cell r="D981">
            <v>61</v>
          </cell>
          <cell r="E981">
            <v>1</v>
          </cell>
          <cell r="F981" t="str">
            <v xml:space="preserve">B </v>
          </cell>
          <cell r="G981">
            <v>12</v>
          </cell>
          <cell r="H981">
            <v>25532</v>
          </cell>
          <cell r="I981">
            <v>1553763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14377513</v>
          </cell>
          <cell r="P981">
            <v>0</v>
          </cell>
          <cell r="Q981">
            <v>0</v>
          </cell>
          <cell r="R981">
            <v>117377</v>
          </cell>
          <cell r="S981">
            <v>0</v>
          </cell>
          <cell r="T981">
            <v>310349</v>
          </cell>
          <cell r="U981">
            <v>2445278</v>
          </cell>
          <cell r="V981">
            <v>1598</v>
          </cell>
          <cell r="W981">
            <v>0</v>
          </cell>
          <cell r="X981">
            <v>0</v>
          </cell>
          <cell r="Y981">
            <v>2246467</v>
          </cell>
          <cell r="Z981">
            <v>14377513</v>
          </cell>
          <cell r="AA981">
            <v>17053304</v>
          </cell>
          <cell r="AB981" t="str">
            <v>ERCR</v>
          </cell>
          <cell r="AC981">
            <v>1101</v>
          </cell>
          <cell r="AD981">
            <v>2</v>
          </cell>
          <cell r="AE981">
            <v>1553763</v>
          </cell>
        </row>
        <row r="982">
          <cell r="A982" t="str">
            <v>SMA</v>
          </cell>
          <cell r="B982">
            <v>6</v>
          </cell>
          <cell r="C982" t="str">
            <v>DRAG</v>
          </cell>
          <cell r="D982">
            <v>61</v>
          </cell>
          <cell r="E982">
            <v>1</v>
          </cell>
          <cell r="F982" t="str">
            <v xml:space="preserve">B </v>
          </cell>
          <cell r="G982">
            <v>13</v>
          </cell>
          <cell r="H982">
            <v>2311</v>
          </cell>
          <cell r="I982">
            <v>263500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2990486</v>
          </cell>
          <cell r="P982">
            <v>0</v>
          </cell>
          <cell r="Q982">
            <v>0</v>
          </cell>
          <cell r="R982">
            <v>30565</v>
          </cell>
          <cell r="S982">
            <v>0</v>
          </cell>
          <cell r="T982">
            <v>69639</v>
          </cell>
          <cell r="U982">
            <v>508450</v>
          </cell>
          <cell r="V982">
            <v>94</v>
          </cell>
          <cell r="W982">
            <v>0</v>
          </cell>
          <cell r="X982">
            <v>0</v>
          </cell>
          <cell r="Y982">
            <v>461039</v>
          </cell>
          <cell r="Z982">
            <v>2990486</v>
          </cell>
          <cell r="AA982">
            <v>3551823</v>
          </cell>
          <cell r="AB982" t="str">
            <v>ERCR</v>
          </cell>
          <cell r="AC982">
            <v>1101</v>
          </cell>
          <cell r="AD982">
            <v>2</v>
          </cell>
          <cell r="AE982">
            <v>263500</v>
          </cell>
        </row>
        <row r="983">
          <cell r="A983" t="str">
            <v>SMA</v>
          </cell>
          <cell r="B983">
            <v>6</v>
          </cell>
          <cell r="C983" t="str">
            <v>DRAG</v>
          </cell>
          <cell r="D983">
            <v>61</v>
          </cell>
          <cell r="E983">
            <v>1</v>
          </cell>
          <cell r="F983" t="str">
            <v xml:space="preserve">B </v>
          </cell>
          <cell r="G983">
            <v>14</v>
          </cell>
          <cell r="H983">
            <v>253</v>
          </cell>
          <cell r="I983">
            <v>38302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486024</v>
          </cell>
          <cell r="P983">
            <v>0</v>
          </cell>
          <cell r="Q983">
            <v>0</v>
          </cell>
          <cell r="R983">
            <v>4883</v>
          </cell>
          <cell r="S983">
            <v>0</v>
          </cell>
          <cell r="T983">
            <v>13077</v>
          </cell>
          <cell r="U983">
            <v>82649</v>
          </cell>
          <cell r="V983">
            <v>0</v>
          </cell>
          <cell r="W983">
            <v>0</v>
          </cell>
          <cell r="X983">
            <v>0</v>
          </cell>
          <cell r="Y983">
            <v>73709</v>
          </cell>
          <cell r="Z983">
            <v>486024</v>
          </cell>
          <cell r="AA983">
            <v>577693</v>
          </cell>
          <cell r="AB983" t="str">
            <v>ERCR</v>
          </cell>
          <cell r="AC983">
            <v>1101</v>
          </cell>
          <cell r="AD983">
            <v>2</v>
          </cell>
          <cell r="AE983">
            <v>38302</v>
          </cell>
        </row>
        <row r="984">
          <cell r="A984" t="str">
            <v>SMA</v>
          </cell>
          <cell r="B984">
            <v>6</v>
          </cell>
          <cell r="C984" t="str">
            <v>DRAG</v>
          </cell>
          <cell r="D984">
            <v>61</v>
          </cell>
          <cell r="E984">
            <v>1</v>
          </cell>
          <cell r="F984" t="str">
            <v xml:space="preserve">B </v>
          </cell>
          <cell r="G984">
            <v>15</v>
          </cell>
          <cell r="H984">
            <v>346</v>
          </cell>
          <cell r="I984">
            <v>74018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1188243</v>
          </cell>
          <cell r="P984">
            <v>0</v>
          </cell>
          <cell r="Q984">
            <v>0</v>
          </cell>
          <cell r="R984">
            <v>157238</v>
          </cell>
          <cell r="S984">
            <v>0</v>
          </cell>
          <cell r="T984">
            <v>15663</v>
          </cell>
          <cell r="U984">
            <v>229927</v>
          </cell>
          <cell r="V984">
            <v>-188</v>
          </cell>
          <cell r="W984">
            <v>0</v>
          </cell>
          <cell r="X984">
            <v>0</v>
          </cell>
          <cell r="Y984">
            <v>113740</v>
          </cell>
          <cell r="Z984">
            <v>1188243</v>
          </cell>
          <cell r="AA984">
            <v>1474696</v>
          </cell>
          <cell r="AB984" t="str">
            <v>ERCR</v>
          </cell>
          <cell r="AC984">
            <v>1101</v>
          </cell>
          <cell r="AD984">
            <v>2</v>
          </cell>
          <cell r="AE984">
            <v>74018</v>
          </cell>
        </row>
        <row r="985">
          <cell r="A985" t="str">
            <v>SMA</v>
          </cell>
          <cell r="B985">
            <v>6</v>
          </cell>
          <cell r="C985" t="str">
            <v>DRAG</v>
          </cell>
          <cell r="D985">
            <v>61</v>
          </cell>
          <cell r="E985">
            <v>2</v>
          </cell>
          <cell r="F985" t="str">
            <v>A4</v>
          </cell>
          <cell r="G985">
            <v>22</v>
          </cell>
          <cell r="H985">
            <v>2</v>
          </cell>
          <cell r="I985">
            <v>1304087</v>
          </cell>
          <cell r="J985">
            <v>125847</v>
          </cell>
          <cell r="K985">
            <v>1178240</v>
          </cell>
          <cell r="L985">
            <v>1825</v>
          </cell>
          <cell r="M985">
            <v>2573</v>
          </cell>
          <cell r="N985">
            <v>2028</v>
          </cell>
          <cell r="O985">
            <v>9317627</v>
          </cell>
          <cell r="P985">
            <v>5118774</v>
          </cell>
          <cell r="Q985">
            <v>1124</v>
          </cell>
          <cell r="R985">
            <v>0</v>
          </cell>
          <cell r="S985">
            <v>0</v>
          </cell>
          <cell r="T985">
            <v>3703</v>
          </cell>
          <cell r="U985">
            <v>3609382</v>
          </cell>
          <cell r="V985">
            <v>0</v>
          </cell>
          <cell r="W985">
            <v>0</v>
          </cell>
          <cell r="X985">
            <v>0</v>
          </cell>
          <cell r="Y985">
            <v>3506</v>
          </cell>
          <cell r="Z985">
            <v>14437525</v>
          </cell>
          <cell r="AA985">
            <v>14444734</v>
          </cell>
          <cell r="AB985" t="str">
            <v>ERCR</v>
          </cell>
          <cell r="AC985">
            <v>1101</v>
          </cell>
          <cell r="AD985">
            <v>2</v>
          </cell>
          <cell r="AE985">
            <v>1304087</v>
          </cell>
        </row>
        <row r="986">
          <cell r="A986" t="str">
            <v>SMA</v>
          </cell>
          <cell r="B986">
            <v>6</v>
          </cell>
          <cell r="C986" t="str">
            <v>DRAG</v>
          </cell>
          <cell r="D986">
            <v>61</v>
          </cell>
          <cell r="E986">
            <v>2</v>
          </cell>
          <cell r="F986" t="str">
            <v>A4</v>
          </cell>
          <cell r="G986">
            <v>21</v>
          </cell>
          <cell r="H986">
            <v>5</v>
          </cell>
          <cell r="I986">
            <v>374848</v>
          </cell>
          <cell r="J986">
            <v>22600</v>
          </cell>
          <cell r="K986">
            <v>352248</v>
          </cell>
          <cell r="L986">
            <v>1666</v>
          </cell>
          <cell r="M986">
            <v>1666</v>
          </cell>
          <cell r="N986">
            <v>0</v>
          </cell>
          <cell r="O986">
            <v>3663852</v>
          </cell>
          <cell r="P986">
            <v>1150651</v>
          </cell>
          <cell r="Q986">
            <v>56342</v>
          </cell>
          <cell r="R986">
            <v>52603</v>
          </cell>
          <cell r="S986">
            <v>0</v>
          </cell>
          <cell r="T986">
            <v>0</v>
          </cell>
          <cell r="U986">
            <v>1217711</v>
          </cell>
          <cell r="V986">
            <v>0</v>
          </cell>
          <cell r="W986">
            <v>0</v>
          </cell>
          <cell r="X986">
            <v>0</v>
          </cell>
          <cell r="Y986">
            <v>14024</v>
          </cell>
          <cell r="Z986">
            <v>4870845</v>
          </cell>
          <cell r="AA986">
            <v>4937472</v>
          </cell>
          <cell r="AB986" t="str">
            <v>ERCR</v>
          </cell>
          <cell r="AC986">
            <v>1101</v>
          </cell>
          <cell r="AD986">
            <v>2</v>
          </cell>
          <cell r="AE986">
            <v>374848</v>
          </cell>
        </row>
        <row r="987">
          <cell r="A987" t="str">
            <v>SMA</v>
          </cell>
          <cell r="B987">
            <v>6</v>
          </cell>
          <cell r="C987" t="str">
            <v>DRAG</v>
          </cell>
          <cell r="D987">
            <v>61</v>
          </cell>
          <cell r="E987">
            <v>2</v>
          </cell>
          <cell r="F987" t="str">
            <v>A4</v>
          </cell>
          <cell r="G987">
            <v>20</v>
          </cell>
          <cell r="H987">
            <v>62</v>
          </cell>
          <cell r="I987">
            <v>1000439</v>
          </cell>
          <cell r="J987">
            <v>0</v>
          </cell>
          <cell r="K987">
            <v>0</v>
          </cell>
          <cell r="L987">
            <v>4969</v>
          </cell>
          <cell r="M987">
            <v>0</v>
          </cell>
          <cell r="N987">
            <v>0</v>
          </cell>
          <cell r="O987">
            <v>11479700</v>
          </cell>
          <cell r="P987">
            <v>3951682</v>
          </cell>
          <cell r="Q987">
            <v>-2936230</v>
          </cell>
          <cell r="R987">
            <v>114643</v>
          </cell>
          <cell r="S987">
            <v>0</v>
          </cell>
          <cell r="T987">
            <v>0</v>
          </cell>
          <cell r="U987">
            <v>2592561</v>
          </cell>
          <cell r="V987">
            <v>0</v>
          </cell>
          <cell r="W987">
            <v>-2124940</v>
          </cell>
          <cell r="X987">
            <v>0</v>
          </cell>
          <cell r="Y987">
            <v>109912</v>
          </cell>
          <cell r="Z987">
            <v>10370212</v>
          </cell>
          <cell r="AA987">
            <v>10594767</v>
          </cell>
          <cell r="AB987" t="str">
            <v>ERCR</v>
          </cell>
          <cell r="AC987">
            <v>1101</v>
          </cell>
          <cell r="AD987">
            <v>2</v>
          </cell>
          <cell r="AE987">
            <v>1000439</v>
          </cell>
        </row>
        <row r="988">
          <cell r="A988" t="str">
            <v>SMA</v>
          </cell>
          <cell r="B988">
            <v>6</v>
          </cell>
          <cell r="C988" t="str">
            <v>DRAG</v>
          </cell>
          <cell r="D988">
            <v>61</v>
          </cell>
          <cell r="E988">
            <v>2</v>
          </cell>
          <cell r="F988" t="str">
            <v xml:space="preserve">B </v>
          </cell>
          <cell r="G988">
            <v>0</v>
          </cell>
          <cell r="H988">
            <v>739</v>
          </cell>
          <cell r="I988">
            <v>499372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10402802</v>
          </cell>
          <cell r="P988">
            <v>0</v>
          </cell>
          <cell r="Q988">
            <v>0</v>
          </cell>
          <cell r="R988">
            <v>138450</v>
          </cell>
          <cell r="S988">
            <v>0</v>
          </cell>
          <cell r="T988">
            <v>1366062</v>
          </cell>
          <cell r="U988">
            <v>2570277</v>
          </cell>
          <cell r="V988">
            <v>566</v>
          </cell>
          <cell r="W988">
            <v>0</v>
          </cell>
          <cell r="X988">
            <v>0</v>
          </cell>
          <cell r="Y988">
            <v>511265</v>
          </cell>
          <cell r="Z988">
            <v>10402802</v>
          </cell>
          <cell r="AA988">
            <v>12419145</v>
          </cell>
          <cell r="AB988" t="str">
            <v>ERCR</v>
          </cell>
          <cell r="AC988">
            <v>1101</v>
          </cell>
          <cell r="AD988">
            <v>2</v>
          </cell>
          <cell r="AE988">
            <v>492768</v>
          </cell>
        </row>
        <row r="989">
          <cell r="A989" t="str">
            <v>SMA</v>
          </cell>
          <cell r="B989">
            <v>6</v>
          </cell>
          <cell r="C989" t="str">
            <v>DRAG</v>
          </cell>
          <cell r="D989">
            <v>61</v>
          </cell>
          <cell r="E989">
            <v>3</v>
          </cell>
          <cell r="F989" t="str">
            <v>A4</v>
          </cell>
          <cell r="G989">
            <v>22</v>
          </cell>
          <cell r="H989">
            <v>3</v>
          </cell>
          <cell r="I989">
            <v>534827</v>
          </cell>
          <cell r="J989">
            <v>49692</v>
          </cell>
          <cell r="K989">
            <v>485135</v>
          </cell>
          <cell r="L989">
            <v>2741</v>
          </cell>
          <cell r="M989">
            <v>1640</v>
          </cell>
          <cell r="N989">
            <v>1101</v>
          </cell>
          <cell r="O989">
            <v>3807629</v>
          </cell>
          <cell r="P989">
            <v>3412498</v>
          </cell>
          <cell r="Q989">
            <v>85075</v>
          </cell>
          <cell r="R989">
            <v>0</v>
          </cell>
          <cell r="S989">
            <v>0</v>
          </cell>
          <cell r="T989">
            <v>0</v>
          </cell>
          <cell r="U989">
            <v>1831826</v>
          </cell>
          <cell r="V989">
            <v>0</v>
          </cell>
          <cell r="W989">
            <v>22100</v>
          </cell>
          <cell r="X989">
            <v>0</v>
          </cell>
          <cell r="Y989">
            <v>7012</v>
          </cell>
          <cell r="Z989">
            <v>7327302</v>
          </cell>
          <cell r="AA989">
            <v>7334314</v>
          </cell>
          <cell r="AB989" t="str">
            <v>ERCR</v>
          </cell>
          <cell r="AC989">
            <v>1101</v>
          </cell>
          <cell r="AD989">
            <v>2</v>
          </cell>
          <cell r="AE989">
            <v>534827</v>
          </cell>
        </row>
        <row r="990">
          <cell r="A990" t="str">
            <v>SMA</v>
          </cell>
          <cell r="B990">
            <v>6</v>
          </cell>
          <cell r="C990" t="str">
            <v>DRAG</v>
          </cell>
          <cell r="D990">
            <v>61</v>
          </cell>
          <cell r="E990">
            <v>3</v>
          </cell>
          <cell r="F990" t="str">
            <v>A4</v>
          </cell>
          <cell r="G990">
            <v>21</v>
          </cell>
          <cell r="H990">
            <v>2</v>
          </cell>
          <cell r="I990">
            <v>66218</v>
          </cell>
          <cell r="J990">
            <v>4747</v>
          </cell>
          <cell r="K990">
            <v>61471</v>
          </cell>
          <cell r="L990">
            <v>318</v>
          </cell>
          <cell r="M990">
            <v>270</v>
          </cell>
          <cell r="N990">
            <v>0</v>
          </cell>
          <cell r="O990">
            <v>688746</v>
          </cell>
          <cell r="P990">
            <v>285872</v>
          </cell>
          <cell r="Q990">
            <v>25842</v>
          </cell>
          <cell r="R990">
            <v>0</v>
          </cell>
          <cell r="S990">
            <v>0</v>
          </cell>
          <cell r="T990">
            <v>0</v>
          </cell>
          <cell r="U990">
            <v>252015</v>
          </cell>
          <cell r="V990">
            <v>0</v>
          </cell>
          <cell r="W990">
            <v>7597</v>
          </cell>
          <cell r="X990">
            <v>0</v>
          </cell>
          <cell r="Y990">
            <v>7012</v>
          </cell>
          <cell r="Z990">
            <v>1008057</v>
          </cell>
          <cell r="AA990">
            <v>1015069</v>
          </cell>
          <cell r="AB990" t="str">
            <v>ERCR</v>
          </cell>
          <cell r="AC990">
            <v>1101</v>
          </cell>
          <cell r="AD990">
            <v>2</v>
          </cell>
          <cell r="AE990">
            <v>66218</v>
          </cell>
        </row>
        <row r="991">
          <cell r="A991" t="str">
            <v>SMA</v>
          </cell>
          <cell r="B991">
            <v>6</v>
          </cell>
          <cell r="C991" t="str">
            <v>DRAG</v>
          </cell>
          <cell r="D991">
            <v>61</v>
          </cell>
          <cell r="E991">
            <v>3</v>
          </cell>
          <cell r="F991" t="str">
            <v>A4</v>
          </cell>
          <cell r="G991">
            <v>20</v>
          </cell>
          <cell r="H991">
            <v>74</v>
          </cell>
          <cell r="I991">
            <v>657012</v>
          </cell>
          <cell r="J991">
            <v>0</v>
          </cell>
          <cell r="K991">
            <v>0</v>
          </cell>
          <cell r="L991">
            <v>3121</v>
          </cell>
          <cell r="M991">
            <v>0</v>
          </cell>
          <cell r="N991">
            <v>0</v>
          </cell>
          <cell r="O991">
            <v>7538991</v>
          </cell>
          <cell r="P991">
            <v>2442704</v>
          </cell>
          <cell r="Q991">
            <v>193569</v>
          </cell>
          <cell r="R991">
            <v>53179</v>
          </cell>
          <cell r="S991">
            <v>0</v>
          </cell>
          <cell r="T991">
            <v>0</v>
          </cell>
          <cell r="U991">
            <v>2562401</v>
          </cell>
          <cell r="V991">
            <v>0</v>
          </cell>
          <cell r="W991">
            <v>84531</v>
          </cell>
          <cell r="X991">
            <v>0</v>
          </cell>
          <cell r="Y991">
            <v>181120</v>
          </cell>
          <cell r="Z991">
            <v>10259795</v>
          </cell>
          <cell r="AA991">
            <v>10494094</v>
          </cell>
          <cell r="AB991" t="str">
            <v>ERCR</v>
          </cell>
          <cell r="AC991">
            <v>1101</v>
          </cell>
          <cell r="AD991">
            <v>2</v>
          </cell>
          <cell r="AE991">
            <v>657012</v>
          </cell>
        </row>
        <row r="992">
          <cell r="A992" t="str">
            <v>SMA</v>
          </cell>
          <cell r="B992">
            <v>6</v>
          </cell>
          <cell r="C992" t="str">
            <v>DRAG</v>
          </cell>
          <cell r="D992">
            <v>61</v>
          </cell>
          <cell r="E992">
            <v>3</v>
          </cell>
          <cell r="F992" t="str">
            <v xml:space="preserve">B </v>
          </cell>
          <cell r="G992">
            <v>0</v>
          </cell>
          <cell r="H992">
            <v>8404</v>
          </cell>
          <cell r="I992">
            <v>2079080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43333763</v>
          </cell>
          <cell r="P992">
            <v>0</v>
          </cell>
          <cell r="Q992">
            <v>0</v>
          </cell>
          <cell r="R992">
            <v>692616</v>
          </cell>
          <cell r="S992">
            <v>0</v>
          </cell>
          <cell r="T992">
            <v>1728410</v>
          </cell>
          <cell r="U992">
            <v>10687478</v>
          </cell>
          <cell r="V992">
            <v>0</v>
          </cell>
          <cell r="W992">
            <v>0</v>
          </cell>
          <cell r="X992">
            <v>0</v>
          </cell>
          <cell r="Y992">
            <v>3533599</v>
          </cell>
          <cell r="Z992">
            <v>43333763</v>
          </cell>
          <cell r="AA992">
            <v>49288388</v>
          </cell>
          <cell r="AB992" t="str">
            <v>ERCR</v>
          </cell>
          <cell r="AC992">
            <v>1101</v>
          </cell>
          <cell r="AD992">
            <v>2</v>
          </cell>
          <cell r="AE992">
            <v>2012191</v>
          </cell>
        </row>
        <row r="993">
          <cell r="A993" t="str">
            <v>SMA</v>
          </cell>
          <cell r="B993">
            <v>6</v>
          </cell>
          <cell r="C993" t="str">
            <v>DRAG</v>
          </cell>
          <cell r="D993">
            <v>61</v>
          </cell>
          <cell r="E993">
            <v>4</v>
          </cell>
          <cell r="F993" t="str">
            <v>A4</v>
          </cell>
          <cell r="G993">
            <v>21</v>
          </cell>
          <cell r="H993">
            <v>1</v>
          </cell>
          <cell r="I993">
            <v>74198</v>
          </cell>
          <cell r="J993">
            <v>2106</v>
          </cell>
          <cell r="K993">
            <v>72092</v>
          </cell>
          <cell r="L993">
            <v>300</v>
          </cell>
          <cell r="M993">
            <v>300</v>
          </cell>
          <cell r="N993">
            <v>0</v>
          </cell>
          <cell r="O993">
            <v>401561</v>
          </cell>
          <cell r="P993">
            <v>139800</v>
          </cell>
          <cell r="Q993">
            <v>200903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28892</v>
          </cell>
          <cell r="X993">
            <v>0</v>
          </cell>
          <cell r="Y993">
            <v>0</v>
          </cell>
          <cell r="Z993">
            <v>771156</v>
          </cell>
          <cell r="AA993">
            <v>771156</v>
          </cell>
          <cell r="AB993" t="str">
            <v>ERCR</v>
          </cell>
          <cell r="AC993">
            <v>1101</v>
          </cell>
          <cell r="AD993">
            <v>2</v>
          </cell>
          <cell r="AE993">
            <v>74198</v>
          </cell>
        </row>
        <row r="994">
          <cell r="A994" t="str">
            <v>SMA</v>
          </cell>
          <cell r="B994">
            <v>6</v>
          </cell>
          <cell r="C994" t="str">
            <v>DRAG</v>
          </cell>
          <cell r="D994">
            <v>61</v>
          </cell>
          <cell r="E994">
            <v>4</v>
          </cell>
          <cell r="F994" t="str">
            <v>A4</v>
          </cell>
          <cell r="G994">
            <v>20</v>
          </cell>
          <cell r="H994">
            <v>13</v>
          </cell>
          <cell r="I994">
            <v>233940</v>
          </cell>
          <cell r="J994">
            <v>0</v>
          </cell>
          <cell r="K994">
            <v>0</v>
          </cell>
          <cell r="L994">
            <v>694</v>
          </cell>
          <cell r="M994">
            <v>0</v>
          </cell>
          <cell r="N994">
            <v>0</v>
          </cell>
          <cell r="O994">
            <v>1811866</v>
          </cell>
          <cell r="P994">
            <v>366432</v>
          </cell>
          <cell r="Q994">
            <v>191442</v>
          </cell>
          <cell r="R994">
            <v>4383</v>
          </cell>
          <cell r="S994">
            <v>0</v>
          </cell>
          <cell r="T994">
            <v>3703</v>
          </cell>
          <cell r="U994">
            <v>0</v>
          </cell>
          <cell r="V994">
            <v>0</v>
          </cell>
          <cell r="W994">
            <v>33792</v>
          </cell>
          <cell r="X994">
            <v>0</v>
          </cell>
          <cell r="Y994">
            <v>0</v>
          </cell>
          <cell r="Z994">
            <v>2403532</v>
          </cell>
          <cell r="AA994">
            <v>2411618</v>
          </cell>
          <cell r="AB994" t="str">
            <v>ERCR</v>
          </cell>
          <cell r="AC994">
            <v>1101</v>
          </cell>
          <cell r="AD994">
            <v>2</v>
          </cell>
          <cell r="AE994">
            <v>233940</v>
          </cell>
        </row>
        <row r="995">
          <cell r="A995" t="str">
            <v>SMA</v>
          </cell>
          <cell r="B995">
            <v>6</v>
          </cell>
          <cell r="C995" t="str">
            <v>DRAG</v>
          </cell>
          <cell r="D995">
            <v>61</v>
          </cell>
          <cell r="E995">
            <v>4</v>
          </cell>
          <cell r="F995" t="str">
            <v xml:space="preserve">B </v>
          </cell>
          <cell r="G995">
            <v>0</v>
          </cell>
          <cell r="H995">
            <v>485</v>
          </cell>
          <cell r="I995">
            <v>88064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866536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37597</v>
          </cell>
          <cell r="U995">
            <v>0</v>
          </cell>
          <cell r="V995">
            <v>14523</v>
          </cell>
          <cell r="W995">
            <v>0</v>
          </cell>
          <cell r="X995">
            <v>0</v>
          </cell>
          <cell r="Y995">
            <v>0</v>
          </cell>
          <cell r="Z995">
            <v>866536</v>
          </cell>
          <cell r="AA995">
            <v>918656</v>
          </cell>
          <cell r="AB995" t="str">
            <v>ERCR</v>
          </cell>
          <cell r="AC995">
            <v>1101</v>
          </cell>
          <cell r="AD995">
            <v>2</v>
          </cell>
          <cell r="AE995">
            <v>82159</v>
          </cell>
        </row>
        <row r="996">
          <cell r="A996" t="str">
            <v>SMA</v>
          </cell>
          <cell r="B996">
            <v>6</v>
          </cell>
          <cell r="C996" t="str">
            <v>DRAG</v>
          </cell>
          <cell r="D996">
            <v>61</v>
          </cell>
          <cell r="E996">
            <v>5</v>
          </cell>
          <cell r="F996" t="str">
            <v>A4</v>
          </cell>
          <cell r="G996">
            <v>20</v>
          </cell>
          <cell r="H996">
            <v>34</v>
          </cell>
          <cell r="I996">
            <v>276340</v>
          </cell>
          <cell r="J996">
            <v>0</v>
          </cell>
          <cell r="K996">
            <v>0</v>
          </cell>
          <cell r="L996">
            <v>1397</v>
          </cell>
          <cell r="M996">
            <v>0</v>
          </cell>
          <cell r="N996">
            <v>0</v>
          </cell>
          <cell r="O996">
            <v>2699545</v>
          </cell>
          <cell r="P996">
            <v>978922</v>
          </cell>
          <cell r="Q996">
            <v>344684</v>
          </cell>
          <cell r="R996">
            <v>58543</v>
          </cell>
          <cell r="S996">
            <v>0</v>
          </cell>
          <cell r="T996">
            <v>0</v>
          </cell>
          <cell r="U996">
            <v>522003</v>
          </cell>
          <cell r="V996">
            <v>0</v>
          </cell>
          <cell r="W996">
            <v>99398</v>
          </cell>
          <cell r="X996">
            <v>0</v>
          </cell>
          <cell r="Y996">
            <v>0</v>
          </cell>
          <cell r="Z996">
            <v>4122549</v>
          </cell>
          <cell r="AA996">
            <v>4181092</v>
          </cell>
          <cell r="AB996" t="str">
            <v>ERCR</v>
          </cell>
          <cell r="AC996">
            <v>1101</v>
          </cell>
          <cell r="AD996">
            <v>2</v>
          </cell>
          <cell r="AE996">
            <v>276340</v>
          </cell>
        </row>
        <row r="997">
          <cell r="A997" t="str">
            <v>SMA</v>
          </cell>
          <cell r="B997">
            <v>6</v>
          </cell>
          <cell r="C997" t="str">
            <v>DRAG</v>
          </cell>
          <cell r="D997">
            <v>61</v>
          </cell>
          <cell r="E997">
            <v>5</v>
          </cell>
          <cell r="F997" t="str">
            <v xml:space="preserve">B </v>
          </cell>
          <cell r="G997">
            <v>0</v>
          </cell>
          <cell r="H997">
            <v>688</v>
          </cell>
          <cell r="I997">
            <v>287127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5246218</v>
          </cell>
          <cell r="P997">
            <v>0</v>
          </cell>
          <cell r="Q997">
            <v>0</v>
          </cell>
          <cell r="R997">
            <v>27689</v>
          </cell>
          <cell r="S997">
            <v>0</v>
          </cell>
          <cell r="T997">
            <v>102129</v>
          </cell>
          <cell r="U997">
            <v>763170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5246218</v>
          </cell>
          <cell r="AA997">
            <v>5376036</v>
          </cell>
          <cell r="AB997" t="str">
            <v>ERCR</v>
          </cell>
          <cell r="AC997">
            <v>1101</v>
          </cell>
          <cell r="AD997">
            <v>2</v>
          </cell>
          <cell r="AE997">
            <v>282184</v>
          </cell>
        </row>
        <row r="998">
          <cell r="A998" t="str">
            <v>SMA</v>
          </cell>
          <cell r="B998">
            <v>6</v>
          </cell>
          <cell r="C998" t="str">
            <v>DRAG</v>
          </cell>
          <cell r="D998">
            <v>61</v>
          </cell>
          <cell r="E998">
            <v>6</v>
          </cell>
          <cell r="F998" t="str">
            <v xml:space="preserve">B </v>
          </cell>
          <cell r="G998">
            <v>0</v>
          </cell>
          <cell r="H998">
            <v>72</v>
          </cell>
          <cell r="I998">
            <v>817375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9623233</v>
          </cell>
          <cell r="P998">
            <v>0</v>
          </cell>
          <cell r="Q998">
            <v>0</v>
          </cell>
          <cell r="R998">
            <v>25399</v>
          </cell>
          <cell r="S998">
            <v>0</v>
          </cell>
          <cell r="T998">
            <v>0</v>
          </cell>
          <cell r="U998">
            <v>2405808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9623233</v>
          </cell>
          <cell r="AA998">
            <v>9648632</v>
          </cell>
          <cell r="AB998" t="str">
            <v>ERCR</v>
          </cell>
          <cell r="AC998">
            <v>1101</v>
          </cell>
          <cell r="AD998">
            <v>2</v>
          </cell>
          <cell r="AE998">
            <v>817375</v>
          </cell>
        </row>
        <row r="999">
          <cell r="A999" t="str">
            <v>SMA</v>
          </cell>
          <cell r="B999">
            <v>6</v>
          </cell>
          <cell r="C999" t="str">
            <v>DRAG</v>
          </cell>
          <cell r="D999">
            <v>61</v>
          </cell>
          <cell r="E999">
            <v>7</v>
          </cell>
          <cell r="F999" t="str">
            <v>A4</v>
          </cell>
          <cell r="G999">
            <v>22</v>
          </cell>
          <cell r="H999">
            <v>5</v>
          </cell>
          <cell r="I999">
            <v>2249071</v>
          </cell>
          <cell r="J999">
            <v>150825</v>
          </cell>
          <cell r="K999">
            <v>2098246</v>
          </cell>
          <cell r="L999">
            <v>7755</v>
          </cell>
          <cell r="M999">
            <v>4603</v>
          </cell>
          <cell r="N999">
            <v>3832</v>
          </cell>
          <cell r="O999">
            <v>13256297</v>
          </cell>
          <cell r="P999">
            <v>9651814</v>
          </cell>
          <cell r="Q999">
            <v>481212</v>
          </cell>
          <cell r="R999">
            <v>0</v>
          </cell>
          <cell r="S999">
            <v>0</v>
          </cell>
          <cell r="T999">
            <v>0</v>
          </cell>
          <cell r="U999">
            <v>5866692</v>
          </cell>
          <cell r="V999">
            <v>0</v>
          </cell>
          <cell r="W999">
            <v>77440</v>
          </cell>
          <cell r="X999">
            <v>0</v>
          </cell>
          <cell r="Y999">
            <v>0</v>
          </cell>
          <cell r="Z999">
            <v>23466763</v>
          </cell>
          <cell r="AA999">
            <v>23466763</v>
          </cell>
          <cell r="AB999" t="str">
            <v>ERCR</v>
          </cell>
          <cell r="AC999">
            <v>1101</v>
          </cell>
          <cell r="AD999">
            <v>2</v>
          </cell>
          <cell r="AE999">
            <v>2249071</v>
          </cell>
        </row>
        <row r="1000">
          <cell r="A1000" t="str">
            <v>SMA</v>
          </cell>
          <cell r="B1000">
            <v>6</v>
          </cell>
          <cell r="C1000" t="str">
            <v>DRAG</v>
          </cell>
          <cell r="D1000">
            <v>61</v>
          </cell>
          <cell r="E1000">
            <v>7</v>
          </cell>
          <cell r="F1000" t="str">
            <v>A4</v>
          </cell>
          <cell r="G1000">
            <v>20</v>
          </cell>
          <cell r="H1000">
            <v>14</v>
          </cell>
          <cell r="I1000">
            <v>279866</v>
          </cell>
          <cell r="J1000">
            <v>0</v>
          </cell>
          <cell r="K1000">
            <v>0</v>
          </cell>
          <cell r="L1000">
            <v>729</v>
          </cell>
          <cell r="M1000">
            <v>0</v>
          </cell>
          <cell r="N1000">
            <v>0</v>
          </cell>
          <cell r="O1000">
            <v>2729629</v>
          </cell>
          <cell r="P1000">
            <v>551784</v>
          </cell>
          <cell r="Q1000">
            <v>369017</v>
          </cell>
          <cell r="R1000">
            <v>0</v>
          </cell>
          <cell r="S1000">
            <v>0</v>
          </cell>
          <cell r="T1000">
            <v>0</v>
          </cell>
          <cell r="U1000">
            <v>933359</v>
          </cell>
          <cell r="V1000">
            <v>0</v>
          </cell>
          <cell r="W1000">
            <v>83000</v>
          </cell>
          <cell r="X1000">
            <v>0</v>
          </cell>
          <cell r="Y1000">
            <v>0</v>
          </cell>
          <cell r="Z1000">
            <v>3733430</v>
          </cell>
          <cell r="AA1000">
            <v>3733430</v>
          </cell>
          <cell r="AB1000" t="str">
            <v>ERCR</v>
          </cell>
          <cell r="AC1000">
            <v>1101</v>
          </cell>
          <cell r="AD1000">
            <v>2</v>
          </cell>
          <cell r="AE1000">
            <v>279866</v>
          </cell>
        </row>
        <row r="1001">
          <cell r="A1001" t="str">
            <v>SMA</v>
          </cell>
          <cell r="B1001">
            <v>6</v>
          </cell>
          <cell r="C1001" t="str">
            <v>DRAG</v>
          </cell>
          <cell r="D1001">
            <v>61</v>
          </cell>
          <cell r="E1001">
            <v>7</v>
          </cell>
          <cell r="F1001" t="str">
            <v xml:space="preserve">B </v>
          </cell>
          <cell r="G1001">
            <v>0</v>
          </cell>
          <cell r="H1001">
            <v>18</v>
          </cell>
          <cell r="I1001">
            <v>32166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569162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142289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569162</v>
          </cell>
          <cell r="AA1001">
            <v>569162</v>
          </cell>
          <cell r="AB1001" t="str">
            <v>ERCR</v>
          </cell>
          <cell r="AC1001">
            <v>1101</v>
          </cell>
          <cell r="AD1001">
            <v>2</v>
          </cell>
          <cell r="AE1001">
            <v>31845</v>
          </cell>
        </row>
        <row r="1002">
          <cell r="A1002" t="str">
            <v>SMA</v>
          </cell>
          <cell r="B1002">
            <v>6</v>
          </cell>
          <cell r="C1002" t="str">
            <v>DRAG</v>
          </cell>
          <cell r="D1002">
            <v>61</v>
          </cell>
          <cell r="E1002">
            <v>8</v>
          </cell>
          <cell r="F1002" t="str">
            <v xml:space="preserve">B </v>
          </cell>
          <cell r="G1002">
            <v>0</v>
          </cell>
          <cell r="H1002">
            <v>14</v>
          </cell>
          <cell r="I1002">
            <v>22322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464713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116177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464713</v>
          </cell>
          <cell r="AA1002">
            <v>464713</v>
          </cell>
          <cell r="AB1002" t="str">
            <v>ERCR</v>
          </cell>
          <cell r="AC1002">
            <v>1101</v>
          </cell>
          <cell r="AD1002">
            <v>2</v>
          </cell>
          <cell r="AE1002">
            <v>22162</v>
          </cell>
        </row>
        <row r="1003">
          <cell r="A1003" t="str">
            <v>SMA</v>
          </cell>
          <cell r="B1003">
            <v>6</v>
          </cell>
          <cell r="C1003" t="str">
            <v>DRAG</v>
          </cell>
          <cell r="D1003">
            <v>62</v>
          </cell>
          <cell r="E1003">
            <v>1</v>
          </cell>
          <cell r="F1003" t="str">
            <v xml:space="preserve">B </v>
          </cell>
          <cell r="G1003">
            <v>1</v>
          </cell>
          <cell r="H1003">
            <v>8766</v>
          </cell>
          <cell r="I1003">
            <v>183282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2967612</v>
          </cell>
          <cell r="P1003">
            <v>0</v>
          </cell>
          <cell r="Q1003">
            <v>0</v>
          </cell>
          <cell r="R1003">
            <v>30580</v>
          </cell>
          <cell r="S1003">
            <v>0</v>
          </cell>
          <cell r="T1003">
            <v>118658</v>
          </cell>
          <cell r="U1003">
            <v>0</v>
          </cell>
          <cell r="V1003">
            <v>44844</v>
          </cell>
          <cell r="W1003">
            <v>0</v>
          </cell>
          <cell r="X1003">
            <v>0</v>
          </cell>
          <cell r="Y1003">
            <v>61</v>
          </cell>
          <cell r="Z1003">
            <v>2967612</v>
          </cell>
          <cell r="AA1003">
            <v>3161755</v>
          </cell>
          <cell r="AB1003" t="str">
            <v>ERBJ</v>
          </cell>
          <cell r="AC1003">
            <v>1101</v>
          </cell>
          <cell r="AD1003">
            <v>2</v>
          </cell>
          <cell r="AE1003">
            <v>143280</v>
          </cell>
        </row>
        <row r="1004">
          <cell r="A1004" t="str">
            <v>SMA</v>
          </cell>
          <cell r="B1004">
            <v>6</v>
          </cell>
          <cell r="C1004" t="str">
            <v>DRAG</v>
          </cell>
          <cell r="D1004">
            <v>62</v>
          </cell>
          <cell r="E1004">
            <v>1</v>
          </cell>
          <cell r="F1004" t="str">
            <v xml:space="preserve">B </v>
          </cell>
          <cell r="G1004">
            <v>2</v>
          </cell>
          <cell r="H1004">
            <v>4245</v>
          </cell>
          <cell r="I1004">
            <v>171777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3331617</v>
          </cell>
          <cell r="P1004">
            <v>0</v>
          </cell>
          <cell r="Q1004">
            <v>0</v>
          </cell>
          <cell r="R1004">
            <v>27747</v>
          </cell>
          <cell r="S1004">
            <v>0</v>
          </cell>
          <cell r="T1004">
            <v>31163</v>
          </cell>
          <cell r="U1004">
            <v>566236</v>
          </cell>
          <cell r="V1004">
            <v>15134</v>
          </cell>
          <cell r="W1004">
            <v>0</v>
          </cell>
          <cell r="X1004">
            <v>0</v>
          </cell>
          <cell r="Y1004">
            <v>32760</v>
          </cell>
          <cell r="Z1004">
            <v>3331617</v>
          </cell>
          <cell r="AA1004">
            <v>3438421</v>
          </cell>
          <cell r="AB1004" t="str">
            <v>ERBJ</v>
          </cell>
          <cell r="AC1004">
            <v>1101</v>
          </cell>
          <cell r="AD1004">
            <v>2</v>
          </cell>
          <cell r="AE1004">
            <v>171777</v>
          </cell>
        </row>
        <row r="1005">
          <cell r="A1005" t="str">
            <v>SMA</v>
          </cell>
          <cell r="B1005">
            <v>6</v>
          </cell>
          <cell r="C1005" t="str">
            <v>DRAG</v>
          </cell>
          <cell r="D1005">
            <v>62</v>
          </cell>
          <cell r="E1005">
            <v>1</v>
          </cell>
          <cell r="F1005" t="str">
            <v xml:space="preserve">B </v>
          </cell>
          <cell r="G1005">
            <v>3</v>
          </cell>
          <cell r="H1005">
            <v>7328</v>
          </cell>
          <cell r="I1005">
            <v>515091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9989925</v>
          </cell>
          <cell r="P1005">
            <v>0</v>
          </cell>
          <cell r="Q1005">
            <v>0</v>
          </cell>
          <cell r="R1005">
            <v>78115</v>
          </cell>
          <cell r="S1005">
            <v>0</v>
          </cell>
          <cell r="T1005">
            <v>62980</v>
          </cell>
          <cell r="U1005">
            <v>1698306</v>
          </cell>
          <cell r="V1005">
            <v>17767</v>
          </cell>
          <cell r="W1005">
            <v>0</v>
          </cell>
          <cell r="X1005">
            <v>0</v>
          </cell>
          <cell r="Y1005">
            <v>514675</v>
          </cell>
          <cell r="Z1005">
            <v>9989925</v>
          </cell>
          <cell r="AA1005">
            <v>10663462</v>
          </cell>
          <cell r="AB1005" t="str">
            <v>ERBJ</v>
          </cell>
          <cell r="AC1005">
            <v>1101</v>
          </cell>
          <cell r="AD1005">
            <v>2</v>
          </cell>
          <cell r="AE1005">
            <v>514312</v>
          </cell>
        </row>
        <row r="1006">
          <cell r="A1006" t="str">
            <v>SMA</v>
          </cell>
          <cell r="B1006">
            <v>6</v>
          </cell>
          <cell r="C1006" t="str">
            <v>DRAG</v>
          </cell>
          <cell r="D1006">
            <v>62</v>
          </cell>
          <cell r="E1006">
            <v>1</v>
          </cell>
          <cell r="F1006" t="str">
            <v xml:space="preserve">B </v>
          </cell>
          <cell r="G1006">
            <v>4</v>
          </cell>
          <cell r="H1006">
            <v>1470</v>
          </cell>
          <cell r="I1006">
            <v>174647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3387663</v>
          </cell>
          <cell r="P1006">
            <v>0</v>
          </cell>
          <cell r="Q1006">
            <v>0</v>
          </cell>
          <cell r="R1006">
            <v>28646</v>
          </cell>
          <cell r="S1006">
            <v>0</v>
          </cell>
          <cell r="T1006">
            <v>65464</v>
          </cell>
          <cell r="U1006">
            <v>575920</v>
          </cell>
          <cell r="V1006">
            <v>1787</v>
          </cell>
          <cell r="W1006">
            <v>0</v>
          </cell>
          <cell r="X1006">
            <v>0</v>
          </cell>
          <cell r="Y1006">
            <v>167020</v>
          </cell>
          <cell r="Z1006">
            <v>3387663</v>
          </cell>
          <cell r="AA1006">
            <v>3650580</v>
          </cell>
          <cell r="AB1006" t="str">
            <v>ERBJ</v>
          </cell>
          <cell r="AC1006">
            <v>1101</v>
          </cell>
          <cell r="AD1006">
            <v>2</v>
          </cell>
          <cell r="AE1006">
            <v>174647</v>
          </cell>
        </row>
        <row r="1007">
          <cell r="A1007" t="str">
            <v>SMA</v>
          </cell>
          <cell r="B1007">
            <v>6</v>
          </cell>
          <cell r="C1007" t="str">
            <v>DRAG</v>
          </cell>
          <cell r="D1007">
            <v>62</v>
          </cell>
          <cell r="E1007">
            <v>1</v>
          </cell>
          <cell r="F1007" t="str">
            <v xml:space="preserve">B </v>
          </cell>
          <cell r="G1007">
            <v>5</v>
          </cell>
          <cell r="H1007">
            <v>435</v>
          </cell>
          <cell r="I1007">
            <v>73697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1429371</v>
          </cell>
          <cell r="P1007">
            <v>0</v>
          </cell>
          <cell r="Q1007">
            <v>0</v>
          </cell>
          <cell r="R1007">
            <v>14613</v>
          </cell>
          <cell r="S1007">
            <v>0</v>
          </cell>
          <cell r="T1007">
            <v>11710</v>
          </cell>
          <cell r="U1007">
            <v>243000</v>
          </cell>
          <cell r="V1007">
            <v>188</v>
          </cell>
          <cell r="W1007">
            <v>0</v>
          </cell>
          <cell r="X1007">
            <v>0</v>
          </cell>
          <cell r="Y1007">
            <v>117530</v>
          </cell>
          <cell r="Z1007">
            <v>1429371</v>
          </cell>
          <cell r="AA1007">
            <v>1573412</v>
          </cell>
          <cell r="AB1007" t="str">
            <v>ERBJ</v>
          </cell>
          <cell r="AC1007">
            <v>1101</v>
          </cell>
          <cell r="AD1007">
            <v>2</v>
          </cell>
          <cell r="AE1007">
            <v>73697</v>
          </cell>
        </row>
        <row r="1008">
          <cell r="A1008" t="str">
            <v>SMA</v>
          </cell>
          <cell r="B1008">
            <v>6</v>
          </cell>
          <cell r="C1008" t="str">
            <v>DRAG</v>
          </cell>
          <cell r="D1008">
            <v>62</v>
          </cell>
          <cell r="E1008">
            <v>1</v>
          </cell>
          <cell r="F1008" t="str">
            <v xml:space="preserve">B </v>
          </cell>
          <cell r="G1008">
            <v>6</v>
          </cell>
          <cell r="H1008">
            <v>259</v>
          </cell>
          <cell r="I1008">
            <v>60284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1169309</v>
          </cell>
          <cell r="P1008">
            <v>0</v>
          </cell>
          <cell r="Q1008">
            <v>0</v>
          </cell>
          <cell r="R1008">
            <v>12830</v>
          </cell>
          <cell r="S1008">
            <v>0</v>
          </cell>
          <cell r="T1008">
            <v>20739</v>
          </cell>
          <cell r="U1008">
            <v>198844</v>
          </cell>
          <cell r="V1008">
            <v>188</v>
          </cell>
          <cell r="W1008">
            <v>0</v>
          </cell>
          <cell r="X1008">
            <v>0</v>
          </cell>
          <cell r="Y1008">
            <v>67620</v>
          </cell>
          <cell r="Z1008">
            <v>1169309</v>
          </cell>
          <cell r="AA1008">
            <v>1270686</v>
          </cell>
          <cell r="AB1008" t="str">
            <v>ERBJ</v>
          </cell>
          <cell r="AC1008">
            <v>1101</v>
          </cell>
          <cell r="AD1008">
            <v>2</v>
          </cell>
          <cell r="AE1008">
            <v>60284</v>
          </cell>
        </row>
        <row r="1009">
          <cell r="A1009" t="str">
            <v>SMA</v>
          </cell>
          <cell r="B1009">
            <v>6</v>
          </cell>
          <cell r="C1009" t="str">
            <v>DRAG</v>
          </cell>
          <cell r="D1009">
            <v>62</v>
          </cell>
          <cell r="E1009">
            <v>1</v>
          </cell>
          <cell r="F1009" t="str">
            <v xml:space="preserve">B </v>
          </cell>
          <cell r="G1009">
            <v>7</v>
          </cell>
          <cell r="H1009">
            <v>81</v>
          </cell>
          <cell r="I1009">
            <v>26862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540586</v>
          </cell>
          <cell r="P1009">
            <v>0</v>
          </cell>
          <cell r="Q1009">
            <v>0</v>
          </cell>
          <cell r="R1009">
            <v>4076</v>
          </cell>
          <cell r="S1009">
            <v>0</v>
          </cell>
          <cell r="T1009">
            <v>10310</v>
          </cell>
          <cell r="U1009">
            <v>108157</v>
          </cell>
          <cell r="V1009">
            <v>94</v>
          </cell>
          <cell r="W1009">
            <v>0</v>
          </cell>
          <cell r="X1009">
            <v>0</v>
          </cell>
          <cell r="Y1009">
            <v>38129</v>
          </cell>
          <cell r="Z1009">
            <v>540586</v>
          </cell>
          <cell r="AA1009">
            <v>593195</v>
          </cell>
          <cell r="AB1009" t="str">
            <v>ERBJ</v>
          </cell>
          <cell r="AC1009">
            <v>1101</v>
          </cell>
          <cell r="AD1009">
            <v>2</v>
          </cell>
          <cell r="AE1009">
            <v>26862</v>
          </cell>
        </row>
        <row r="1010">
          <cell r="A1010" t="str">
            <v>SMA</v>
          </cell>
          <cell r="B1010">
            <v>6</v>
          </cell>
          <cell r="C1010" t="str">
            <v>DRAG</v>
          </cell>
          <cell r="D1010">
            <v>62</v>
          </cell>
          <cell r="E1010">
            <v>1</v>
          </cell>
          <cell r="F1010" t="str">
            <v xml:space="preserve">B </v>
          </cell>
          <cell r="G1010">
            <v>8</v>
          </cell>
          <cell r="H1010">
            <v>23</v>
          </cell>
          <cell r="I1010">
            <v>8625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173556</v>
          </cell>
          <cell r="P1010">
            <v>0</v>
          </cell>
          <cell r="Q1010">
            <v>0</v>
          </cell>
          <cell r="R1010">
            <v>1192</v>
          </cell>
          <cell r="S1010">
            <v>0</v>
          </cell>
          <cell r="T1010">
            <v>827</v>
          </cell>
          <cell r="U1010">
            <v>34710</v>
          </cell>
          <cell r="V1010">
            <v>189</v>
          </cell>
          <cell r="W1010">
            <v>0</v>
          </cell>
          <cell r="X1010">
            <v>0</v>
          </cell>
          <cell r="Y1010">
            <v>11355</v>
          </cell>
          <cell r="Z1010">
            <v>173556</v>
          </cell>
          <cell r="AA1010">
            <v>187119</v>
          </cell>
          <cell r="AB1010" t="str">
            <v>ERBJ</v>
          </cell>
          <cell r="AC1010">
            <v>1101</v>
          </cell>
          <cell r="AD1010">
            <v>2</v>
          </cell>
          <cell r="AE1010">
            <v>8625</v>
          </cell>
        </row>
        <row r="1011">
          <cell r="A1011" t="str">
            <v>SMA</v>
          </cell>
          <cell r="B1011">
            <v>6</v>
          </cell>
          <cell r="C1011" t="str">
            <v>DRAG</v>
          </cell>
          <cell r="D1011">
            <v>62</v>
          </cell>
          <cell r="E1011">
            <v>1</v>
          </cell>
          <cell r="F1011" t="str">
            <v xml:space="preserve">B </v>
          </cell>
          <cell r="G1011">
            <v>9</v>
          </cell>
          <cell r="H1011">
            <v>28</v>
          </cell>
          <cell r="I1011">
            <v>16894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362590</v>
          </cell>
          <cell r="P1011">
            <v>0</v>
          </cell>
          <cell r="Q1011">
            <v>0</v>
          </cell>
          <cell r="R1011">
            <v>7848</v>
          </cell>
          <cell r="S1011">
            <v>0</v>
          </cell>
          <cell r="T1011">
            <v>5771</v>
          </cell>
          <cell r="U1011">
            <v>90661</v>
          </cell>
          <cell r="V1011">
            <v>0</v>
          </cell>
          <cell r="W1011">
            <v>0</v>
          </cell>
          <cell r="X1011">
            <v>0</v>
          </cell>
          <cell r="Y1011">
            <v>21371</v>
          </cell>
          <cell r="Z1011">
            <v>362590</v>
          </cell>
          <cell r="AA1011">
            <v>397580</v>
          </cell>
          <cell r="AB1011" t="str">
            <v>ERBJ</v>
          </cell>
          <cell r="AC1011">
            <v>1101</v>
          </cell>
          <cell r="AD1011">
            <v>2</v>
          </cell>
          <cell r="AE1011">
            <v>16894</v>
          </cell>
        </row>
        <row r="1012">
          <cell r="A1012" t="str">
            <v>SMA</v>
          </cell>
          <cell r="B1012">
            <v>6</v>
          </cell>
          <cell r="C1012" t="str">
            <v>DRAG</v>
          </cell>
          <cell r="D1012">
            <v>62</v>
          </cell>
          <cell r="E1012">
            <v>1</v>
          </cell>
          <cell r="F1012" t="str">
            <v xml:space="preserve">B </v>
          </cell>
          <cell r="G1012">
            <v>10</v>
          </cell>
          <cell r="H1012">
            <v>7</v>
          </cell>
          <cell r="I1012">
            <v>2771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59467</v>
          </cell>
          <cell r="P1012">
            <v>0</v>
          </cell>
          <cell r="Q1012">
            <v>0</v>
          </cell>
          <cell r="R1012">
            <v>115253</v>
          </cell>
          <cell r="S1012">
            <v>0</v>
          </cell>
          <cell r="T1012">
            <v>0</v>
          </cell>
          <cell r="U1012">
            <v>14868</v>
          </cell>
          <cell r="V1012">
            <v>0</v>
          </cell>
          <cell r="W1012">
            <v>0</v>
          </cell>
          <cell r="X1012">
            <v>0</v>
          </cell>
          <cell r="Y1012">
            <v>-2104</v>
          </cell>
          <cell r="Z1012">
            <v>59467</v>
          </cell>
          <cell r="AA1012">
            <v>172616</v>
          </cell>
          <cell r="AB1012" t="str">
            <v>ERBJ</v>
          </cell>
          <cell r="AC1012">
            <v>1101</v>
          </cell>
          <cell r="AD1012">
            <v>2</v>
          </cell>
          <cell r="AE1012">
            <v>2771</v>
          </cell>
        </row>
        <row r="1013">
          <cell r="A1013" t="str">
            <v>SMA</v>
          </cell>
          <cell r="B1013">
            <v>6</v>
          </cell>
          <cell r="C1013" t="str">
            <v>DRAG</v>
          </cell>
          <cell r="D1013">
            <v>62</v>
          </cell>
          <cell r="E1013">
            <v>1</v>
          </cell>
          <cell r="F1013" t="str">
            <v xml:space="preserve">B </v>
          </cell>
          <cell r="G1013">
            <v>11</v>
          </cell>
          <cell r="H1013">
            <v>761</v>
          </cell>
          <cell r="I1013">
            <v>16263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91623</v>
          </cell>
          <cell r="P1013">
            <v>0</v>
          </cell>
          <cell r="Q1013">
            <v>0</v>
          </cell>
          <cell r="R1013">
            <v>835</v>
          </cell>
          <cell r="S1013">
            <v>0</v>
          </cell>
          <cell r="T1013">
            <v>7459</v>
          </cell>
          <cell r="U1013">
            <v>0</v>
          </cell>
          <cell r="V1013">
            <v>5452</v>
          </cell>
          <cell r="W1013">
            <v>0</v>
          </cell>
          <cell r="X1013">
            <v>0</v>
          </cell>
          <cell r="Y1013">
            <v>0</v>
          </cell>
          <cell r="Z1013">
            <v>91623</v>
          </cell>
          <cell r="AA1013">
            <v>105369</v>
          </cell>
          <cell r="AB1013" t="str">
            <v>ERBJ</v>
          </cell>
          <cell r="AC1013">
            <v>1101</v>
          </cell>
          <cell r="AD1013">
            <v>2</v>
          </cell>
          <cell r="AE1013">
            <v>11915</v>
          </cell>
        </row>
        <row r="1014">
          <cell r="A1014" t="str">
            <v>SMA</v>
          </cell>
          <cell r="B1014">
            <v>6</v>
          </cell>
          <cell r="C1014" t="str">
            <v>DRAG</v>
          </cell>
          <cell r="D1014">
            <v>62</v>
          </cell>
          <cell r="E1014">
            <v>1</v>
          </cell>
          <cell r="F1014" t="str">
            <v xml:space="preserve">B </v>
          </cell>
          <cell r="G1014">
            <v>12</v>
          </cell>
          <cell r="H1014">
            <v>456</v>
          </cell>
          <cell r="I1014">
            <v>24823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222830</v>
          </cell>
          <cell r="P1014">
            <v>0</v>
          </cell>
          <cell r="Q1014">
            <v>0</v>
          </cell>
          <cell r="R1014">
            <v>2323</v>
          </cell>
          <cell r="S1014">
            <v>0</v>
          </cell>
          <cell r="T1014">
            <v>4735</v>
          </cell>
          <cell r="U1014">
            <v>37888</v>
          </cell>
          <cell r="V1014">
            <v>2538</v>
          </cell>
          <cell r="W1014">
            <v>0</v>
          </cell>
          <cell r="X1014">
            <v>0</v>
          </cell>
          <cell r="Y1014">
            <v>12978</v>
          </cell>
          <cell r="Z1014">
            <v>222830</v>
          </cell>
          <cell r="AA1014">
            <v>245404</v>
          </cell>
          <cell r="AB1014" t="str">
            <v>ERBJ</v>
          </cell>
          <cell r="AC1014">
            <v>1101</v>
          </cell>
          <cell r="AD1014">
            <v>2</v>
          </cell>
          <cell r="AE1014">
            <v>24823</v>
          </cell>
        </row>
        <row r="1015">
          <cell r="A1015" t="str">
            <v>SMA</v>
          </cell>
          <cell r="B1015">
            <v>6</v>
          </cell>
          <cell r="C1015" t="str">
            <v>DRAG</v>
          </cell>
          <cell r="D1015">
            <v>62</v>
          </cell>
          <cell r="E1015">
            <v>1</v>
          </cell>
          <cell r="F1015" t="str">
            <v xml:space="preserve">B </v>
          </cell>
          <cell r="G1015">
            <v>13</v>
          </cell>
          <cell r="H1015">
            <v>27</v>
          </cell>
          <cell r="I1015">
            <v>3114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36622</v>
          </cell>
          <cell r="P1015">
            <v>0</v>
          </cell>
          <cell r="Q1015">
            <v>0</v>
          </cell>
          <cell r="R1015">
            <v>335</v>
          </cell>
          <cell r="S1015">
            <v>0</v>
          </cell>
          <cell r="T1015">
            <v>1699</v>
          </cell>
          <cell r="U1015">
            <v>6225</v>
          </cell>
          <cell r="V1015">
            <v>94</v>
          </cell>
          <cell r="W1015">
            <v>0</v>
          </cell>
          <cell r="X1015">
            <v>0</v>
          </cell>
          <cell r="Y1015">
            <v>2660</v>
          </cell>
          <cell r="Z1015">
            <v>36622</v>
          </cell>
          <cell r="AA1015">
            <v>41410</v>
          </cell>
          <cell r="AB1015" t="str">
            <v>ERBJ</v>
          </cell>
          <cell r="AC1015">
            <v>1101</v>
          </cell>
          <cell r="AD1015">
            <v>2</v>
          </cell>
          <cell r="AE1015">
            <v>3114</v>
          </cell>
        </row>
        <row r="1016">
          <cell r="A1016" t="str">
            <v>SMA</v>
          </cell>
          <cell r="B1016">
            <v>6</v>
          </cell>
          <cell r="C1016" t="str">
            <v>DRAG</v>
          </cell>
          <cell r="D1016">
            <v>62</v>
          </cell>
          <cell r="E1016">
            <v>1</v>
          </cell>
          <cell r="F1016" t="str">
            <v xml:space="preserve">B </v>
          </cell>
          <cell r="G1016">
            <v>14</v>
          </cell>
          <cell r="H1016">
            <v>2</v>
          </cell>
          <cell r="I1016">
            <v>301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3839</v>
          </cell>
          <cell r="P1016">
            <v>0</v>
          </cell>
          <cell r="Q1016">
            <v>0</v>
          </cell>
          <cell r="R1016">
            <v>19</v>
          </cell>
          <cell r="S1016">
            <v>0</v>
          </cell>
          <cell r="T1016">
            <v>0</v>
          </cell>
          <cell r="U1016">
            <v>653</v>
          </cell>
          <cell r="V1016">
            <v>0</v>
          </cell>
          <cell r="W1016">
            <v>0</v>
          </cell>
          <cell r="X1016">
            <v>0</v>
          </cell>
          <cell r="Y1016">
            <v>140</v>
          </cell>
          <cell r="Z1016">
            <v>3839</v>
          </cell>
          <cell r="AA1016">
            <v>3998</v>
          </cell>
          <cell r="AB1016" t="str">
            <v>ERBJ</v>
          </cell>
          <cell r="AC1016">
            <v>1101</v>
          </cell>
          <cell r="AD1016">
            <v>2</v>
          </cell>
          <cell r="AE1016">
            <v>301</v>
          </cell>
        </row>
        <row r="1017">
          <cell r="A1017" t="str">
            <v>SMA</v>
          </cell>
          <cell r="B1017">
            <v>6</v>
          </cell>
          <cell r="C1017" t="str">
            <v>DRAG</v>
          </cell>
          <cell r="D1017">
            <v>62</v>
          </cell>
          <cell r="E1017">
            <v>1</v>
          </cell>
          <cell r="F1017" t="str">
            <v xml:space="preserve">B </v>
          </cell>
          <cell r="G1017">
            <v>15</v>
          </cell>
          <cell r="H1017">
            <v>5</v>
          </cell>
          <cell r="I1017">
            <v>1874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33265</v>
          </cell>
          <cell r="P1017">
            <v>0</v>
          </cell>
          <cell r="Q1017">
            <v>0</v>
          </cell>
          <cell r="R1017">
            <v>4</v>
          </cell>
          <cell r="S1017">
            <v>0</v>
          </cell>
          <cell r="T1017">
            <v>0</v>
          </cell>
          <cell r="U1017">
            <v>7252</v>
          </cell>
          <cell r="V1017">
            <v>0</v>
          </cell>
          <cell r="W1017">
            <v>0</v>
          </cell>
          <cell r="X1017">
            <v>0</v>
          </cell>
          <cell r="Y1017">
            <v>770</v>
          </cell>
          <cell r="Z1017">
            <v>33265</v>
          </cell>
          <cell r="AA1017">
            <v>34039</v>
          </cell>
          <cell r="AB1017" t="str">
            <v>ERBJ</v>
          </cell>
          <cell r="AC1017">
            <v>1101</v>
          </cell>
          <cell r="AD1017">
            <v>2</v>
          </cell>
          <cell r="AE1017">
            <v>1874</v>
          </cell>
        </row>
        <row r="1018">
          <cell r="A1018" t="str">
            <v>SMA</v>
          </cell>
          <cell r="B1018">
            <v>6</v>
          </cell>
          <cell r="C1018" t="str">
            <v>DRAG</v>
          </cell>
          <cell r="D1018">
            <v>62</v>
          </cell>
          <cell r="E1018">
            <v>2</v>
          </cell>
          <cell r="F1018" t="str">
            <v>A4</v>
          </cell>
          <cell r="G1018">
            <v>22</v>
          </cell>
          <cell r="H1018">
            <v>3</v>
          </cell>
          <cell r="I1018">
            <v>1474231</v>
          </cell>
          <cell r="J1018">
            <v>83693</v>
          </cell>
          <cell r="K1018">
            <v>1390538</v>
          </cell>
          <cell r="L1018">
            <v>3853</v>
          </cell>
          <cell r="M1018">
            <v>3592</v>
          </cell>
          <cell r="N1018">
            <v>1822</v>
          </cell>
          <cell r="O1018">
            <v>10115943</v>
          </cell>
          <cell r="P1018">
            <v>6253630</v>
          </cell>
          <cell r="Q1018">
            <v>155051</v>
          </cell>
          <cell r="R1018">
            <v>112272</v>
          </cell>
          <cell r="S1018">
            <v>0</v>
          </cell>
          <cell r="T1018">
            <v>0</v>
          </cell>
          <cell r="U1018">
            <v>4149792</v>
          </cell>
          <cell r="V1018">
            <v>0</v>
          </cell>
          <cell r="W1018">
            <v>74544</v>
          </cell>
          <cell r="X1018">
            <v>0</v>
          </cell>
          <cell r="Y1018">
            <v>7012</v>
          </cell>
          <cell r="Z1018">
            <v>16599168</v>
          </cell>
          <cell r="AA1018">
            <v>16718452</v>
          </cell>
          <cell r="AB1018" t="str">
            <v>ERBJ</v>
          </cell>
          <cell r="AC1018">
            <v>1101</v>
          </cell>
          <cell r="AD1018">
            <v>2</v>
          </cell>
          <cell r="AE1018">
            <v>1474231</v>
          </cell>
        </row>
        <row r="1019">
          <cell r="A1019" t="str">
            <v>SMA</v>
          </cell>
          <cell r="B1019">
            <v>6</v>
          </cell>
          <cell r="C1019" t="str">
            <v>DRAG</v>
          </cell>
          <cell r="D1019">
            <v>62</v>
          </cell>
          <cell r="E1019">
            <v>2</v>
          </cell>
          <cell r="F1019" t="str">
            <v>A4</v>
          </cell>
          <cell r="G1019">
            <v>21</v>
          </cell>
          <cell r="H1019">
            <v>4</v>
          </cell>
          <cell r="I1019">
            <v>1810061</v>
          </cell>
          <cell r="J1019">
            <v>20462</v>
          </cell>
          <cell r="K1019">
            <v>1789599</v>
          </cell>
          <cell r="L1019">
            <v>4040</v>
          </cell>
          <cell r="M1019">
            <v>4040</v>
          </cell>
          <cell r="N1019">
            <v>0</v>
          </cell>
          <cell r="O1019">
            <v>12813876</v>
          </cell>
          <cell r="P1019">
            <v>2790294</v>
          </cell>
          <cell r="Q1019">
            <v>107088</v>
          </cell>
          <cell r="R1019">
            <v>284152</v>
          </cell>
          <cell r="S1019">
            <v>0</v>
          </cell>
          <cell r="T1019">
            <v>0</v>
          </cell>
          <cell r="U1019">
            <v>3927815</v>
          </cell>
          <cell r="V1019">
            <v>0</v>
          </cell>
          <cell r="W1019">
            <v>0</v>
          </cell>
          <cell r="X1019">
            <v>0</v>
          </cell>
          <cell r="Y1019">
            <v>10518</v>
          </cell>
          <cell r="Z1019">
            <v>15711258</v>
          </cell>
          <cell r="AA1019">
            <v>16005928</v>
          </cell>
          <cell r="AB1019" t="str">
            <v>ERBJ</v>
          </cell>
          <cell r="AC1019">
            <v>1101</v>
          </cell>
          <cell r="AD1019">
            <v>2</v>
          </cell>
          <cell r="AE1019">
            <v>1810061</v>
          </cell>
        </row>
        <row r="1020">
          <cell r="A1020" t="str">
            <v>SMA</v>
          </cell>
          <cell r="B1020">
            <v>6</v>
          </cell>
          <cell r="C1020" t="str">
            <v>DRAG</v>
          </cell>
          <cell r="D1020">
            <v>62</v>
          </cell>
          <cell r="E1020">
            <v>2</v>
          </cell>
          <cell r="F1020" t="str">
            <v>A4</v>
          </cell>
          <cell r="G1020">
            <v>20</v>
          </cell>
          <cell r="H1020">
            <v>11</v>
          </cell>
          <cell r="I1020">
            <v>137385</v>
          </cell>
          <cell r="J1020">
            <v>0</v>
          </cell>
          <cell r="K1020">
            <v>0</v>
          </cell>
          <cell r="L1020">
            <v>619</v>
          </cell>
          <cell r="M1020">
            <v>0</v>
          </cell>
          <cell r="N1020">
            <v>0</v>
          </cell>
          <cell r="O1020">
            <v>1576444</v>
          </cell>
          <cell r="P1020">
            <v>484470</v>
          </cell>
          <cell r="Q1020">
            <v>174357</v>
          </cell>
          <cell r="R1020">
            <v>66001</v>
          </cell>
          <cell r="S1020">
            <v>0</v>
          </cell>
          <cell r="T1020">
            <v>0</v>
          </cell>
          <cell r="U1020">
            <v>565834</v>
          </cell>
          <cell r="V1020">
            <v>0</v>
          </cell>
          <cell r="W1020">
            <v>46176</v>
          </cell>
          <cell r="X1020">
            <v>0</v>
          </cell>
          <cell r="Y1020">
            <v>14724</v>
          </cell>
          <cell r="Z1020">
            <v>2281447</v>
          </cell>
          <cell r="AA1020">
            <v>2362172</v>
          </cell>
          <cell r="AB1020" t="str">
            <v>ERBJ</v>
          </cell>
          <cell r="AC1020">
            <v>1101</v>
          </cell>
          <cell r="AD1020">
            <v>2</v>
          </cell>
          <cell r="AE1020">
            <v>137385</v>
          </cell>
        </row>
        <row r="1021">
          <cell r="A1021" t="str">
            <v>SMA</v>
          </cell>
          <cell r="B1021">
            <v>6</v>
          </cell>
          <cell r="C1021" t="str">
            <v>DRAG</v>
          </cell>
          <cell r="D1021">
            <v>62</v>
          </cell>
          <cell r="E1021">
            <v>2</v>
          </cell>
          <cell r="F1021" t="str">
            <v xml:space="preserve">B </v>
          </cell>
          <cell r="G1021">
            <v>0</v>
          </cell>
          <cell r="H1021">
            <v>146</v>
          </cell>
          <cell r="I1021">
            <v>79475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1654673</v>
          </cell>
          <cell r="P1021">
            <v>0</v>
          </cell>
          <cell r="Q1021">
            <v>0</v>
          </cell>
          <cell r="R1021">
            <v>23878</v>
          </cell>
          <cell r="S1021">
            <v>0</v>
          </cell>
          <cell r="T1021">
            <v>11435</v>
          </cell>
          <cell r="U1021">
            <v>411481</v>
          </cell>
          <cell r="V1021">
            <v>0</v>
          </cell>
          <cell r="W1021">
            <v>0</v>
          </cell>
          <cell r="X1021">
            <v>0</v>
          </cell>
          <cell r="Y1021">
            <v>78936</v>
          </cell>
          <cell r="Z1021">
            <v>1654673</v>
          </cell>
          <cell r="AA1021">
            <v>1768922</v>
          </cell>
          <cell r="AB1021" t="str">
            <v>ERBJ</v>
          </cell>
          <cell r="AC1021">
            <v>1101</v>
          </cell>
          <cell r="AD1021">
            <v>2</v>
          </cell>
          <cell r="AE1021">
            <v>77917</v>
          </cell>
        </row>
        <row r="1022">
          <cell r="A1022" t="str">
            <v>SMA</v>
          </cell>
          <cell r="B1022">
            <v>6</v>
          </cell>
          <cell r="C1022" t="str">
            <v>DRAG</v>
          </cell>
          <cell r="D1022">
            <v>62</v>
          </cell>
          <cell r="E1022">
            <v>3</v>
          </cell>
          <cell r="F1022" t="str">
            <v>A4</v>
          </cell>
          <cell r="G1022">
            <v>21</v>
          </cell>
          <cell r="H1022">
            <v>1</v>
          </cell>
          <cell r="I1022">
            <v>6510</v>
          </cell>
          <cell r="J1022">
            <v>296</v>
          </cell>
          <cell r="K1022">
            <v>6214</v>
          </cell>
          <cell r="L1022">
            <v>50</v>
          </cell>
          <cell r="M1022">
            <v>50</v>
          </cell>
          <cell r="N1022">
            <v>0</v>
          </cell>
          <cell r="O1022">
            <v>58321</v>
          </cell>
          <cell r="P1022">
            <v>34533</v>
          </cell>
          <cell r="Q1022">
            <v>2975</v>
          </cell>
          <cell r="R1022">
            <v>0</v>
          </cell>
          <cell r="S1022">
            <v>0</v>
          </cell>
          <cell r="T1022">
            <v>0</v>
          </cell>
          <cell r="U1022">
            <v>23957</v>
          </cell>
          <cell r="V1022">
            <v>0</v>
          </cell>
          <cell r="W1022">
            <v>0</v>
          </cell>
          <cell r="X1022">
            <v>0</v>
          </cell>
          <cell r="Y1022">
            <v>3506</v>
          </cell>
          <cell r="Z1022">
            <v>95829</v>
          </cell>
          <cell r="AA1022">
            <v>99335</v>
          </cell>
          <cell r="AB1022" t="str">
            <v>ERBJ</v>
          </cell>
          <cell r="AC1022">
            <v>1101</v>
          </cell>
          <cell r="AD1022">
            <v>2</v>
          </cell>
          <cell r="AE1022">
            <v>6510</v>
          </cell>
        </row>
        <row r="1023">
          <cell r="A1023" t="str">
            <v>SMA</v>
          </cell>
          <cell r="B1023">
            <v>6</v>
          </cell>
          <cell r="C1023" t="str">
            <v>DRAG</v>
          </cell>
          <cell r="D1023">
            <v>62</v>
          </cell>
          <cell r="E1023">
            <v>3</v>
          </cell>
          <cell r="F1023" t="str">
            <v>A4</v>
          </cell>
          <cell r="G1023">
            <v>20</v>
          </cell>
          <cell r="H1023">
            <v>5</v>
          </cell>
          <cell r="I1023">
            <v>28250</v>
          </cell>
          <cell r="J1023">
            <v>0</v>
          </cell>
          <cell r="K1023">
            <v>0</v>
          </cell>
          <cell r="L1023">
            <v>171</v>
          </cell>
          <cell r="M1023">
            <v>0</v>
          </cell>
          <cell r="N1023">
            <v>0</v>
          </cell>
          <cell r="O1023">
            <v>324161</v>
          </cell>
          <cell r="P1023">
            <v>133836</v>
          </cell>
          <cell r="Q1023">
            <v>52657</v>
          </cell>
          <cell r="R1023">
            <v>677</v>
          </cell>
          <cell r="S1023">
            <v>0</v>
          </cell>
          <cell r="T1023">
            <v>0</v>
          </cell>
          <cell r="U1023">
            <v>132361</v>
          </cell>
          <cell r="V1023">
            <v>0</v>
          </cell>
          <cell r="W1023">
            <v>18784</v>
          </cell>
          <cell r="X1023">
            <v>0</v>
          </cell>
          <cell r="Y1023">
            <v>14024</v>
          </cell>
          <cell r="Z1023">
            <v>529438</v>
          </cell>
          <cell r="AA1023">
            <v>544139</v>
          </cell>
          <cell r="AB1023" t="str">
            <v>ERBJ</v>
          </cell>
          <cell r="AC1023">
            <v>1101</v>
          </cell>
          <cell r="AD1023">
            <v>2</v>
          </cell>
          <cell r="AE1023">
            <v>28250</v>
          </cell>
        </row>
        <row r="1024">
          <cell r="A1024" t="str">
            <v>SMA</v>
          </cell>
          <cell r="B1024">
            <v>6</v>
          </cell>
          <cell r="C1024" t="str">
            <v>DRAG</v>
          </cell>
          <cell r="D1024">
            <v>62</v>
          </cell>
          <cell r="E1024">
            <v>3</v>
          </cell>
          <cell r="F1024" t="str">
            <v xml:space="preserve">B </v>
          </cell>
          <cell r="G1024">
            <v>0</v>
          </cell>
          <cell r="H1024">
            <v>1631</v>
          </cell>
          <cell r="I1024">
            <v>265771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5533457</v>
          </cell>
          <cell r="P1024">
            <v>0</v>
          </cell>
          <cell r="Q1024">
            <v>0</v>
          </cell>
          <cell r="R1024">
            <v>60042</v>
          </cell>
          <cell r="S1024">
            <v>0</v>
          </cell>
          <cell r="T1024">
            <v>167265</v>
          </cell>
          <cell r="U1024">
            <v>1350467</v>
          </cell>
          <cell r="V1024">
            <v>1977</v>
          </cell>
          <cell r="W1024">
            <v>0</v>
          </cell>
          <cell r="X1024">
            <v>0</v>
          </cell>
          <cell r="Y1024">
            <v>368238</v>
          </cell>
          <cell r="Z1024">
            <v>5533457</v>
          </cell>
          <cell r="AA1024">
            <v>6130979</v>
          </cell>
          <cell r="AB1024" t="str">
            <v>ERBJ</v>
          </cell>
          <cell r="AC1024">
            <v>1101</v>
          </cell>
          <cell r="AD1024">
            <v>2</v>
          </cell>
          <cell r="AE1024">
            <v>251657</v>
          </cell>
        </row>
        <row r="1025">
          <cell r="A1025" t="str">
            <v>SMA</v>
          </cell>
          <cell r="B1025">
            <v>6</v>
          </cell>
          <cell r="C1025" t="str">
            <v>DRAG</v>
          </cell>
          <cell r="D1025">
            <v>62</v>
          </cell>
          <cell r="E1025">
            <v>4</v>
          </cell>
          <cell r="F1025" t="str">
            <v>A4</v>
          </cell>
          <cell r="G1025">
            <v>22</v>
          </cell>
          <cell r="H1025">
            <v>1</v>
          </cell>
          <cell r="I1025">
            <v>44254</v>
          </cell>
          <cell r="J1025">
            <v>247</v>
          </cell>
          <cell r="K1025">
            <v>44007</v>
          </cell>
          <cell r="L1025">
            <v>371</v>
          </cell>
          <cell r="M1025">
            <v>363</v>
          </cell>
          <cell r="N1025">
            <v>-8</v>
          </cell>
          <cell r="O1025">
            <v>194047</v>
          </cell>
          <cell r="P1025">
            <v>157982</v>
          </cell>
          <cell r="Q1025">
            <v>32389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384418</v>
          </cell>
          <cell r="AA1025">
            <v>384418</v>
          </cell>
          <cell r="AB1025" t="str">
            <v>ERBJ</v>
          </cell>
          <cell r="AC1025">
            <v>1101</v>
          </cell>
          <cell r="AD1025">
            <v>2</v>
          </cell>
          <cell r="AE1025">
            <v>44254</v>
          </cell>
        </row>
        <row r="1026">
          <cell r="A1026" t="str">
            <v>SMA</v>
          </cell>
          <cell r="B1026">
            <v>6</v>
          </cell>
          <cell r="C1026" t="str">
            <v>DRAG</v>
          </cell>
          <cell r="D1026">
            <v>62</v>
          </cell>
          <cell r="E1026">
            <v>4</v>
          </cell>
          <cell r="F1026" t="str">
            <v>A4</v>
          </cell>
          <cell r="G1026">
            <v>20</v>
          </cell>
          <cell r="H1026">
            <v>6</v>
          </cell>
          <cell r="I1026">
            <v>214177</v>
          </cell>
          <cell r="J1026">
            <v>0</v>
          </cell>
          <cell r="K1026">
            <v>0</v>
          </cell>
          <cell r="L1026">
            <v>573</v>
          </cell>
          <cell r="M1026">
            <v>0</v>
          </cell>
          <cell r="N1026">
            <v>0</v>
          </cell>
          <cell r="O1026">
            <v>1658801</v>
          </cell>
          <cell r="P1026">
            <v>302544</v>
          </cell>
          <cell r="Q1026">
            <v>0</v>
          </cell>
          <cell r="R1026">
            <v>4406</v>
          </cell>
          <cell r="S1026">
            <v>0</v>
          </cell>
          <cell r="T1026">
            <v>63380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1961345</v>
          </cell>
          <cell r="AA1026">
            <v>2029131</v>
          </cell>
          <cell r="AB1026" t="str">
            <v>ERBJ</v>
          </cell>
          <cell r="AC1026">
            <v>1101</v>
          </cell>
          <cell r="AD1026">
            <v>2</v>
          </cell>
          <cell r="AE1026">
            <v>214177</v>
          </cell>
        </row>
        <row r="1027">
          <cell r="A1027" t="str">
            <v>SMA</v>
          </cell>
          <cell r="B1027">
            <v>6</v>
          </cell>
          <cell r="C1027" t="str">
            <v>DRAG</v>
          </cell>
          <cell r="D1027">
            <v>62</v>
          </cell>
          <cell r="E1027">
            <v>4</v>
          </cell>
          <cell r="F1027" t="str">
            <v xml:space="preserve">B </v>
          </cell>
          <cell r="G1027">
            <v>0</v>
          </cell>
          <cell r="H1027">
            <v>1800</v>
          </cell>
          <cell r="I1027">
            <v>178626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1759429</v>
          </cell>
          <cell r="P1027">
            <v>0</v>
          </cell>
          <cell r="Q1027">
            <v>0</v>
          </cell>
          <cell r="R1027">
            <v>12</v>
          </cell>
          <cell r="S1027">
            <v>0</v>
          </cell>
          <cell r="T1027">
            <v>106530</v>
          </cell>
          <cell r="U1027">
            <v>0</v>
          </cell>
          <cell r="V1027">
            <v>174348</v>
          </cell>
          <cell r="W1027">
            <v>0</v>
          </cell>
          <cell r="X1027">
            <v>0</v>
          </cell>
          <cell r="Y1027">
            <v>0</v>
          </cell>
          <cell r="Z1027">
            <v>1759429</v>
          </cell>
          <cell r="AA1027">
            <v>2040319</v>
          </cell>
          <cell r="AB1027" t="str">
            <v>ERBJ</v>
          </cell>
          <cell r="AC1027">
            <v>1101</v>
          </cell>
          <cell r="AD1027">
            <v>2</v>
          </cell>
          <cell r="AE1027">
            <v>159452</v>
          </cell>
        </row>
        <row r="1028">
          <cell r="A1028" t="str">
            <v>SMA</v>
          </cell>
          <cell r="B1028">
            <v>6</v>
          </cell>
          <cell r="C1028" t="str">
            <v>DRAG</v>
          </cell>
          <cell r="D1028">
            <v>62</v>
          </cell>
          <cell r="E1028">
            <v>5</v>
          </cell>
          <cell r="F1028" t="str">
            <v>A4</v>
          </cell>
          <cell r="G1028">
            <v>21</v>
          </cell>
          <cell r="H1028">
            <v>1</v>
          </cell>
          <cell r="I1028">
            <v>6921</v>
          </cell>
          <cell r="J1028">
            <v>953</v>
          </cell>
          <cell r="K1028">
            <v>5968</v>
          </cell>
          <cell r="L1028">
            <v>36</v>
          </cell>
          <cell r="M1028">
            <v>36</v>
          </cell>
          <cell r="N1028">
            <v>0</v>
          </cell>
          <cell r="O1028">
            <v>97120</v>
          </cell>
          <cell r="P1028">
            <v>24864</v>
          </cell>
          <cell r="Q1028">
            <v>37865</v>
          </cell>
          <cell r="R1028">
            <v>0</v>
          </cell>
          <cell r="S1028">
            <v>0</v>
          </cell>
          <cell r="T1028">
            <v>0</v>
          </cell>
          <cell r="U1028">
            <v>42380</v>
          </cell>
          <cell r="V1028">
            <v>0</v>
          </cell>
          <cell r="W1028">
            <v>9669</v>
          </cell>
          <cell r="X1028">
            <v>0</v>
          </cell>
          <cell r="Y1028">
            <v>0</v>
          </cell>
          <cell r="Z1028">
            <v>169518</v>
          </cell>
          <cell r="AA1028">
            <v>169518</v>
          </cell>
          <cell r="AB1028" t="str">
            <v>ERBJ</v>
          </cell>
          <cell r="AC1028">
            <v>1101</v>
          </cell>
          <cell r="AD1028">
            <v>2</v>
          </cell>
          <cell r="AE1028">
            <v>6921</v>
          </cell>
        </row>
        <row r="1029">
          <cell r="A1029" t="str">
            <v>SMA</v>
          </cell>
          <cell r="B1029">
            <v>6</v>
          </cell>
          <cell r="C1029" t="str">
            <v>DRAG</v>
          </cell>
          <cell r="D1029">
            <v>62</v>
          </cell>
          <cell r="E1029">
            <v>5</v>
          </cell>
          <cell r="F1029" t="str">
            <v>A4</v>
          </cell>
          <cell r="G1029">
            <v>20</v>
          </cell>
          <cell r="H1029">
            <v>4</v>
          </cell>
          <cell r="I1029">
            <v>33421</v>
          </cell>
          <cell r="J1029">
            <v>0</v>
          </cell>
          <cell r="K1029">
            <v>0</v>
          </cell>
          <cell r="L1029">
            <v>162</v>
          </cell>
          <cell r="M1029">
            <v>0</v>
          </cell>
          <cell r="N1029">
            <v>0</v>
          </cell>
          <cell r="O1029">
            <v>383495</v>
          </cell>
          <cell r="P1029">
            <v>126792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127573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510287</v>
          </cell>
          <cell r="AA1029">
            <v>510287</v>
          </cell>
          <cell r="AB1029" t="str">
            <v>ERBJ</v>
          </cell>
          <cell r="AC1029">
            <v>1101</v>
          </cell>
          <cell r="AD1029">
            <v>2</v>
          </cell>
          <cell r="AE1029">
            <v>33421</v>
          </cell>
        </row>
        <row r="1030">
          <cell r="A1030" t="str">
            <v>SMA</v>
          </cell>
          <cell r="B1030">
            <v>6</v>
          </cell>
          <cell r="C1030" t="str">
            <v>DRAG</v>
          </cell>
          <cell r="D1030">
            <v>62</v>
          </cell>
          <cell r="E1030">
            <v>5</v>
          </cell>
          <cell r="F1030" t="str">
            <v xml:space="preserve">B </v>
          </cell>
          <cell r="G1030">
            <v>0</v>
          </cell>
          <cell r="H1030">
            <v>211</v>
          </cell>
          <cell r="I1030">
            <v>56209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1065682</v>
          </cell>
          <cell r="P1030">
            <v>0</v>
          </cell>
          <cell r="Q1030">
            <v>0</v>
          </cell>
          <cell r="R1030">
            <v>17582</v>
          </cell>
          <cell r="S1030">
            <v>0</v>
          </cell>
          <cell r="T1030">
            <v>0</v>
          </cell>
          <cell r="U1030">
            <v>188080</v>
          </cell>
          <cell r="V1030">
            <v>188</v>
          </cell>
          <cell r="W1030">
            <v>0</v>
          </cell>
          <cell r="X1030">
            <v>0</v>
          </cell>
          <cell r="Y1030">
            <v>0</v>
          </cell>
          <cell r="Z1030">
            <v>1065682</v>
          </cell>
          <cell r="AA1030">
            <v>1083452</v>
          </cell>
          <cell r="AB1030" t="str">
            <v>ERBJ</v>
          </cell>
          <cell r="AC1030">
            <v>1101</v>
          </cell>
          <cell r="AD1030">
            <v>2</v>
          </cell>
          <cell r="AE1030">
            <v>55035</v>
          </cell>
        </row>
        <row r="1031">
          <cell r="A1031" t="str">
            <v>SMA</v>
          </cell>
          <cell r="B1031">
            <v>6</v>
          </cell>
          <cell r="C1031" t="str">
            <v>DRAG</v>
          </cell>
          <cell r="D1031">
            <v>62</v>
          </cell>
          <cell r="E1031">
            <v>6</v>
          </cell>
          <cell r="F1031" t="str">
            <v xml:space="preserve">B </v>
          </cell>
          <cell r="G1031">
            <v>0</v>
          </cell>
          <cell r="H1031">
            <v>21</v>
          </cell>
          <cell r="I1031">
            <v>234217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2757514</v>
          </cell>
          <cell r="P1031">
            <v>0</v>
          </cell>
          <cell r="Q1031">
            <v>0</v>
          </cell>
          <cell r="R1031">
            <v>54932</v>
          </cell>
          <cell r="S1031">
            <v>0</v>
          </cell>
          <cell r="T1031">
            <v>0</v>
          </cell>
          <cell r="U1031">
            <v>689378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2757514</v>
          </cell>
          <cell r="AA1031">
            <v>2812446</v>
          </cell>
          <cell r="AB1031" t="str">
            <v>ERBJ</v>
          </cell>
          <cell r="AC1031">
            <v>1101</v>
          </cell>
          <cell r="AD1031">
            <v>2</v>
          </cell>
          <cell r="AE1031">
            <v>234217</v>
          </cell>
        </row>
        <row r="1032">
          <cell r="A1032" t="str">
            <v>SMA</v>
          </cell>
          <cell r="B1032">
            <v>6</v>
          </cell>
          <cell r="C1032" t="str">
            <v>DRAG</v>
          </cell>
          <cell r="D1032">
            <v>62</v>
          </cell>
          <cell r="E1032">
            <v>7</v>
          </cell>
          <cell r="F1032" t="str">
            <v>A4</v>
          </cell>
          <cell r="G1032">
            <v>22</v>
          </cell>
          <cell r="H1032">
            <v>1</v>
          </cell>
          <cell r="I1032">
            <v>384468</v>
          </cell>
          <cell r="J1032">
            <v>28496</v>
          </cell>
          <cell r="K1032">
            <v>355972</v>
          </cell>
          <cell r="L1032">
            <v>1445</v>
          </cell>
          <cell r="M1032">
            <v>660</v>
          </cell>
          <cell r="N1032">
            <v>708</v>
          </cell>
          <cell r="O1032">
            <v>2282532</v>
          </cell>
          <cell r="P1032">
            <v>1792721</v>
          </cell>
          <cell r="Q1032">
            <v>70704</v>
          </cell>
          <cell r="R1032">
            <v>0</v>
          </cell>
          <cell r="S1032">
            <v>0</v>
          </cell>
          <cell r="T1032">
            <v>0</v>
          </cell>
          <cell r="U1032">
            <v>1045289</v>
          </cell>
          <cell r="V1032">
            <v>0</v>
          </cell>
          <cell r="W1032">
            <v>35200</v>
          </cell>
          <cell r="X1032">
            <v>0</v>
          </cell>
          <cell r="Y1032">
            <v>0</v>
          </cell>
          <cell r="Z1032">
            <v>4181157</v>
          </cell>
          <cell r="AA1032">
            <v>4181157</v>
          </cell>
          <cell r="AB1032" t="str">
            <v>ERBJ</v>
          </cell>
          <cell r="AC1032">
            <v>1101</v>
          </cell>
          <cell r="AD1032">
            <v>2</v>
          </cell>
          <cell r="AE1032">
            <v>384468</v>
          </cell>
        </row>
        <row r="1033">
          <cell r="A1033" t="str">
            <v>SMA</v>
          </cell>
          <cell r="B1033">
            <v>6</v>
          </cell>
          <cell r="C1033" t="str">
            <v>DRAG</v>
          </cell>
          <cell r="D1033">
            <v>62</v>
          </cell>
          <cell r="E1033">
            <v>7</v>
          </cell>
          <cell r="F1033" t="str">
            <v>A4</v>
          </cell>
          <cell r="G1033">
            <v>20</v>
          </cell>
          <cell r="H1033">
            <v>5</v>
          </cell>
          <cell r="I1033">
            <v>435304</v>
          </cell>
          <cell r="J1033">
            <v>0</v>
          </cell>
          <cell r="K1033">
            <v>0</v>
          </cell>
          <cell r="L1033">
            <v>610</v>
          </cell>
          <cell r="M1033">
            <v>0</v>
          </cell>
          <cell r="N1033">
            <v>0</v>
          </cell>
          <cell r="O1033">
            <v>4245667</v>
          </cell>
          <cell r="P1033">
            <v>405040</v>
          </cell>
          <cell r="Q1033">
            <v>86016</v>
          </cell>
          <cell r="R1033">
            <v>0</v>
          </cell>
          <cell r="S1033">
            <v>0</v>
          </cell>
          <cell r="T1033">
            <v>0</v>
          </cell>
          <cell r="U1033">
            <v>1186506</v>
          </cell>
          <cell r="V1033">
            <v>0</v>
          </cell>
          <cell r="W1033">
            <v>9296</v>
          </cell>
          <cell r="X1033">
            <v>0</v>
          </cell>
          <cell r="Y1033">
            <v>0</v>
          </cell>
          <cell r="Z1033">
            <v>4746019</v>
          </cell>
          <cell r="AA1033">
            <v>4746019</v>
          </cell>
          <cell r="AB1033" t="str">
            <v>ERBJ</v>
          </cell>
          <cell r="AC1033">
            <v>1101</v>
          </cell>
          <cell r="AD1033">
            <v>2</v>
          </cell>
          <cell r="AE1033">
            <v>435304</v>
          </cell>
        </row>
        <row r="1034">
          <cell r="A1034" t="str">
            <v>SMA</v>
          </cell>
          <cell r="B1034">
            <v>6</v>
          </cell>
          <cell r="C1034" t="str">
            <v>DRAG</v>
          </cell>
          <cell r="D1034">
            <v>62</v>
          </cell>
          <cell r="E1034">
            <v>7</v>
          </cell>
          <cell r="F1034" t="str">
            <v xml:space="preserve">B </v>
          </cell>
          <cell r="G1034">
            <v>0</v>
          </cell>
          <cell r="H1034">
            <v>2</v>
          </cell>
          <cell r="I1034">
            <v>772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13660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3415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13660</v>
          </cell>
          <cell r="AA1034">
            <v>13660</v>
          </cell>
          <cell r="AB1034" t="str">
            <v>ERBJ</v>
          </cell>
          <cell r="AC1034">
            <v>1101</v>
          </cell>
          <cell r="AD1034">
            <v>2</v>
          </cell>
          <cell r="AE1034">
            <v>755</v>
          </cell>
        </row>
        <row r="1035">
          <cell r="A1035" t="str">
            <v>SMA</v>
          </cell>
          <cell r="B1035">
            <v>6</v>
          </cell>
          <cell r="C1035" t="str">
            <v>DRAG</v>
          </cell>
          <cell r="D1035">
            <v>62</v>
          </cell>
          <cell r="E1035">
            <v>8</v>
          </cell>
          <cell r="F1035" t="str">
            <v xml:space="preserve">B </v>
          </cell>
          <cell r="G1035">
            <v>0</v>
          </cell>
          <cell r="H1035">
            <v>4</v>
          </cell>
          <cell r="I1035">
            <v>2882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59998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14999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59998</v>
          </cell>
          <cell r="AA1035">
            <v>59998</v>
          </cell>
          <cell r="AB1035" t="str">
            <v>ERBJ</v>
          </cell>
          <cell r="AC1035">
            <v>1101</v>
          </cell>
          <cell r="AD1035">
            <v>2</v>
          </cell>
          <cell r="AE1035">
            <v>2804</v>
          </cell>
        </row>
        <row r="1036">
          <cell r="A1036" t="str">
            <v>SMA</v>
          </cell>
          <cell r="B1036">
            <v>6</v>
          </cell>
          <cell r="C1036" t="str">
            <v>DRAG</v>
          </cell>
          <cell r="D1036">
            <v>63</v>
          </cell>
          <cell r="E1036">
            <v>1</v>
          </cell>
          <cell r="F1036" t="str">
            <v xml:space="preserve">B </v>
          </cell>
          <cell r="G1036">
            <v>1</v>
          </cell>
          <cell r="H1036">
            <v>10531</v>
          </cell>
          <cell r="I1036">
            <v>216210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3486326</v>
          </cell>
          <cell r="P1036">
            <v>0</v>
          </cell>
          <cell r="Q1036">
            <v>0</v>
          </cell>
          <cell r="R1036">
            <v>30278</v>
          </cell>
          <cell r="S1036">
            <v>0</v>
          </cell>
          <cell r="T1036">
            <v>243253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521705</v>
          </cell>
          <cell r="Z1036">
            <v>3486326</v>
          </cell>
          <cell r="AA1036">
            <v>4281562</v>
          </cell>
          <cell r="AB1036" t="str">
            <v>ERBE</v>
          </cell>
          <cell r="AC1036">
            <v>1101</v>
          </cell>
          <cell r="AD1036">
            <v>2</v>
          </cell>
          <cell r="AE1036">
            <v>170367</v>
          </cell>
        </row>
        <row r="1037">
          <cell r="A1037" t="str">
            <v>SMA</v>
          </cell>
          <cell r="B1037">
            <v>6</v>
          </cell>
          <cell r="C1037" t="str">
            <v>DRAG</v>
          </cell>
          <cell r="D1037">
            <v>63</v>
          </cell>
          <cell r="E1037">
            <v>1</v>
          </cell>
          <cell r="F1037" t="str">
            <v xml:space="preserve">B </v>
          </cell>
          <cell r="G1037">
            <v>2</v>
          </cell>
          <cell r="H1037">
            <v>5206</v>
          </cell>
          <cell r="I1037">
            <v>211586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4103721</v>
          </cell>
          <cell r="P1037">
            <v>0</v>
          </cell>
          <cell r="Q1037">
            <v>0</v>
          </cell>
          <cell r="R1037">
            <v>26789</v>
          </cell>
          <cell r="S1037">
            <v>0</v>
          </cell>
          <cell r="T1037">
            <v>50137</v>
          </cell>
          <cell r="U1037">
            <v>697446</v>
          </cell>
          <cell r="V1037">
            <v>0</v>
          </cell>
          <cell r="W1037">
            <v>0</v>
          </cell>
          <cell r="X1037">
            <v>0</v>
          </cell>
          <cell r="Y1037">
            <v>432242</v>
          </cell>
          <cell r="Z1037">
            <v>4103721</v>
          </cell>
          <cell r="AA1037">
            <v>4612889</v>
          </cell>
          <cell r="AB1037" t="str">
            <v>ERBE</v>
          </cell>
          <cell r="AC1037">
            <v>1101</v>
          </cell>
          <cell r="AD1037">
            <v>2</v>
          </cell>
          <cell r="AE1037">
            <v>211519</v>
          </cell>
        </row>
        <row r="1038">
          <cell r="A1038" t="str">
            <v>SMA</v>
          </cell>
          <cell r="B1038">
            <v>6</v>
          </cell>
          <cell r="C1038" t="str">
            <v>DRAG</v>
          </cell>
          <cell r="D1038">
            <v>63</v>
          </cell>
          <cell r="E1038">
            <v>1</v>
          </cell>
          <cell r="F1038" t="str">
            <v xml:space="preserve">B </v>
          </cell>
          <cell r="G1038">
            <v>3</v>
          </cell>
          <cell r="H1038">
            <v>10036</v>
          </cell>
          <cell r="I1038">
            <v>707835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13728430</v>
          </cell>
          <cell r="P1038">
            <v>0</v>
          </cell>
          <cell r="Q1038">
            <v>0</v>
          </cell>
          <cell r="R1038">
            <v>84867</v>
          </cell>
          <cell r="S1038">
            <v>0</v>
          </cell>
          <cell r="T1038">
            <v>129560</v>
          </cell>
          <cell r="U1038">
            <v>2333837</v>
          </cell>
          <cell r="V1038">
            <v>0</v>
          </cell>
          <cell r="W1038">
            <v>0</v>
          </cell>
          <cell r="X1038">
            <v>0</v>
          </cell>
          <cell r="Y1038">
            <v>1336755</v>
          </cell>
          <cell r="Z1038">
            <v>13728430</v>
          </cell>
          <cell r="AA1038">
            <v>15279612</v>
          </cell>
          <cell r="AB1038" t="str">
            <v>ERBE</v>
          </cell>
          <cell r="AC1038">
            <v>1101</v>
          </cell>
          <cell r="AD1038">
            <v>2</v>
          </cell>
          <cell r="AE1038">
            <v>706401</v>
          </cell>
        </row>
        <row r="1039">
          <cell r="A1039" t="str">
            <v>SMA</v>
          </cell>
          <cell r="B1039">
            <v>6</v>
          </cell>
          <cell r="C1039" t="str">
            <v>DRAG</v>
          </cell>
          <cell r="D1039">
            <v>63</v>
          </cell>
          <cell r="E1039">
            <v>1</v>
          </cell>
          <cell r="F1039" t="str">
            <v xml:space="preserve">B </v>
          </cell>
          <cell r="G1039">
            <v>4</v>
          </cell>
          <cell r="H1039">
            <v>2015</v>
          </cell>
          <cell r="I1039">
            <v>239896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4653458</v>
          </cell>
          <cell r="P1039">
            <v>0</v>
          </cell>
          <cell r="Q1039">
            <v>0</v>
          </cell>
          <cell r="R1039">
            <v>37844</v>
          </cell>
          <cell r="S1039">
            <v>0</v>
          </cell>
          <cell r="T1039">
            <v>68396</v>
          </cell>
          <cell r="U1039">
            <v>791108</v>
          </cell>
          <cell r="V1039">
            <v>0</v>
          </cell>
          <cell r="W1039">
            <v>0</v>
          </cell>
          <cell r="X1039">
            <v>0</v>
          </cell>
          <cell r="Y1039">
            <v>343053</v>
          </cell>
          <cell r="Z1039">
            <v>4653458</v>
          </cell>
          <cell r="AA1039">
            <v>5102751</v>
          </cell>
          <cell r="AB1039" t="str">
            <v>ERBE</v>
          </cell>
          <cell r="AC1039">
            <v>1101</v>
          </cell>
          <cell r="AD1039">
            <v>2</v>
          </cell>
          <cell r="AE1039">
            <v>239896</v>
          </cell>
        </row>
        <row r="1040">
          <cell r="A1040" t="str">
            <v>SMA</v>
          </cell>
          <cell r="B1040">
            <v>6</v>
          </cell>
          <cell r="C1040" t="str">
            <v>DRAG</v>
          </cell>
          <cell r="D1040">
            <v>63</v>
          </cell>
          <cell r="E1040">
            <v>1</v>
          </cell>
          <cell r="F1040" t="str">
            <v xml:space="preserve">B </v>
          </cell>
          <cell r="G1040">
            <v>5</v>
          </cell>
          <cell r="H1040">
            <v>488</v>
          </cell>
          <cell r="I1040">
            <v>82948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1609013</v>
          </cell>
          <cell r="P1040">
            <v>0</v>
          </cell>
          <cell r="Q1040">
            <v>0</v>
          </cell>
          <cell r="R1040">
            <v>15504</v>
          </cell>
          <cell r="S1040">
            <v>0</v>
          </cell>
          <cell r="T1040">
            <v>52124</v>
          </cell>
          <cell r="U1040">
            <v>273539</v>
          </cell>
          <cell r="V1040">
            <v>0</v>
          </cell>
          <cell r="W1040">
            <v>0</v>
          </cell>
          <cell r="X1040">
            <v>0</v>
          </cell>
          <cell r="Y1040">
            <v>141561</v>
          </cell>
          <cell r="Z1040">
            <v>1609013</v>
          </cell>
          <cell r="AA1040">
            <v>1818202</v>
          </cell>
          <cell r="AB1040" t="str">
            <v>ERBE</v>
          </cell>
          <cell r="AC1040">
            <v>1101</v>
          </cell>
          <cell r="AD1040">
            <v>2</v>
          </cell>
          <cell r="AE1040">
            <v>82948</v>
          </cell>
        </row>
        <row r="1041">
          <cell r="A1041" t="str">
            <v>SMA</v>
          </cell>
          <cell r="B1041">
            <v>6</v>
          </cell>
          <cell r="C1041" t="str">
            <v>DRAG</v>
          </cell>
          <cell r="D1041">
            <v>63</v>
          </cell>
          <cell r="E1041">
            <v>1</v>
          </cell>
          <cell r="F1041" t="str">
            <v xml:space="preserve">B </v>
          </cell>
          <cell r="G1041">
            <v>6</v>
          </cell>
          <cell r="H1041">
            <v>340</v>
          </cell>
          <cell r="I1041">
            <v>79946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1551355</v>
          </cell>
          <cell r="P1041">
            <v>0</v>
          </cell>
          <cell r="Q1041">
            <v>0</v>
          </cell>
          <cell r="R1041">
            <v>15330</v>
          </cell>
          <cell r="S1041">
            <v>0</v>
          </cell>
          <cell r="T1041">
            <v>37342</v>
          </cell>
          <cell r="U1041">
            <v>263805</v>
          </cell>
          <cell r="V1041">
            <v>0</v>
          </cell>
          <cell r="W1041">
            <v>0</v>
          </cell>
          <cell r="X1041">
            <v>0</v>
          </cell>
          <cell r="Y1041">
            <v>102081</v>
          </cell>
          <cell r="Z1041">
            <v>1551355</v>
          </cell>
          <cell r="AA1041">
            <v>1706108</v>
          </cell>
          <cell r="AB1041" t="str">
            <v>ERBE</v>
          </cell>
          <cell r="AC1041">
            <v>1101</v>
          </cell>
          <cell r="AD1041">
            <v>2</v>
          </cell>
          <cell r="AE1041">
            <v>79946</v>
          </cell>
        </row>
        <row r="1042">
          <cell r="A1042" t="str">
            <v>SMA</v>
          </cell>
          <cell r="B1042">
            <v>6</v>
          </cell>
          <cell r="C1042" t="str">
            <v>DRAG</v>
          </cell>
          <cell r="D1042">
            <v>63</v>
          </cell>
          <cell r="E1042">
            <v>1</v>
          </cell>
          <cell r="F1042" t="str">
            <v xml:space="preserve">B </v>
          </cell>
          <cell r="G1042">
            <v>7</v>
          </cell>
          <cell r="H1042">
            <v>64</v>
          </cell>
          <cell r="I1042">
            <v>21536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433405</v>
          </cell>
          <cell r="P1042">
            <v>0</v>
          </cell>
          <cell r="Q1042">
            <v>0</v>
          </cell>
          <cell r="R1042">
            <v>5569</v>
          </cell>
          <cell r="S1042">
            <v>0</v>
          </cell>
          <cell r="T1042">
            <v>6589</v>
          </cell>
          <cell r="U1042">
            <v>86700</v>
          </cell>
          <cell r="V1042">
            <v>0</v>
          </cell>
          <cell r="W1042">
            <v>0</v>
          </cell>
          <cell r="X1042">
            <v>0</v>
          </cell>
          <cell r="Y1042">
            <v>26573</v>
          </cell>
          <cell r="Z1042">
            <v>433405</v>
          </cell>
          <cell r="AA1042">
            <v>472136</v>
          </cell>
          <cell r="AB1042" t="str">
            <v>ERBE</v>
          </cell>
          <cell r="AC1042">
            <v>1101</v>
          </cell>
          <cell r="AD1042">
            <v>2</v>
          </cell>
          <cell r="AE1042">
            <v>21536</v>
          </cell>
        </row>
        <row r="1043">
          <cell r="A1043" t="str">
            <v>SMA</v>
          </cell>
          <cell r="B1043">
            <v>6</v>
          </cell>
          <cell r="C1043" t="str">
            <v>DRAG</v>
          </cell>
          <cell r="D1043">
            <v>63</v>
          </cell>
          <cell r="E1043">
            <v>1</v>
          </cell>
          <cell r="F1043" t="str">
            <v xml:space="preserve">B </v>
          </cell>
          <cell r="G1043">
            <v>8</v>
          </cell>
          <cell r="H1043">
            <v>24</v>
          </cell>
          <cell r="I1043">
            <v>9535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192924</v>
          </cell>
          <cell r="P1043">
            <v>0</v>
          </cell>
          <cell r="Q1043">
            <v>0</v>
          </cell>
          <cell r="R1043">
            <v>1843</v>
          </cell>
          <cell r="S1043">
            <v>0</v>
          </cell>
          <cell r="T1043">
            <v>34906</v>
          </cell>
          <cell r="U1043">
            <v>38591</v>
          </cell>
          <cell r="V1043">
            <v>0</v>
          </cell>
          <cell r="W1043">
            <v>0</v>
          </cell>
          <cell r="X1043">
            <v>0</v>
          </cell>
          <cell r="Y1043">
            <v>7578</v>
          </cell>
          <cell r="Z1043">
            <v>192924</v>
          </cell>
          <cell r="AA1043">
            <v>237251</v>
          </cell>
          <cell r="AB1043" t="str">
            <v>ERBE</v>
          </cell>
          <cell r="AC1043">
            <v>1101</v>
          </cell>
          <cell r="AD1043">
            <v>2</v>
          </cell>
          <cell r="AE1043">
            <v>9535</v>
          </cell>
        </row>
        <row r="1044">
          <cell r="A1044" t="str">
            <v>SMA</v>
          </cell>
          <cell r="B1044">
            <v>6</v>
          </cell>
          <cell r="C1044" t="str">
            <v>DRAG</v>
          </cell>
          <cell r="D1044">
            <v>63</v>
          </cell>
          <cell r="E1044">
            <v>1</v>
          </cell>
          <cell r="F1044" t="str">
            <v xml:space="preserve">B </v>
          </cell>
          <cell r="G1044">
            <v>9</v>
          </cell>
          <cell r="H1044">
            <v>28</v>
          </cell>
          <cell r="I1044">
            <v>17305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371418</v>
          </cell>
          <cell r="P1044">
            <v>0</v>
          </cell>
          <cell r="Q1044">
            <v>0</v>
          </cell>
          <cell r="R1044">
            <v>3898</v>
          </cell>
          <cell r="S1044">
            <v>0</v>
          </cell>
          <cell r="T1044">
            <v>16598</v>
          </cell>
          <cell r="U1044">
            <v>92872</v>
          </cell>
          <cell r="V1044">
            <v>0</v>
          </cell>
          <cell r="W1044">
            <v>0</v>
          </cell>
          <cell r="X1044">
            <v>0</v>
          </cell>
          <cell r="Y1044">
            <v>17183</v>
          </cell>
          <cell r="Z1044">
            <v>371418</v>
          </cell>
          <cell r="AA1044">
            <v>409097</v>
          </cell>
          <cell r="AB1044" t="str">
            <v>ERBE</v>
          </cell>
          <cell r="AC1044">
            <v>1101</v>
          </cell>
          <cell r="AD1044">
            <v>2</v>
          </cell>
          <cell r="AE1044">
            <v>17305</v>
          </cell>
        </row>
        <row r="1045">
          <cell r="A1045" t="str">
            <v>SMA</v>
          </cell>
          <cell r="B1045">
            <v>6</v>
          </cell>
          <cell r="C1045" t="str">
            <v>DRAG</v>
          </cell>
          <cell r="D1045">
            <v>63</v>
          </cell>
          <cell r="E1045">
            <v>1</v>
          </cell>
          <cell r="F1045" t="str">
            <v xml:space="preserve">B </v>
          </cell>
          <cell r="G1045">
            <v>10</v>
          </cell>
          <cell r="H1045">
            <v>11</v>
          </cell>
          <cell r="I1045">
            <v>25570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548757</v>
          </cell>
          <cell r="P1045">
            <v>0</v>
          </cell>
          <cell r="Q1045">
            <v>0</v>
          </cell>
          <cell r="R1045">
            <v>1431</v>
          </cell>
          <cell r="S1045">
            <v>0</v>
          </cell>
          <cell r="T1045">
            <v>1880</v>
          </cell>
          <cell r="U1045">
            <v>137198</v>
          </cell>
          <cell r="V1045">
            <v>0</v>
          </cell>
          <cell r="W1045">
            <v>0</v>
          </cell>
          <cell r="X1045">
            <v>0</v>
          </cell>
          <cell r="Y1045">
            <v>7524</v>
          </cell>
          <cell r="Z1045">
            <v>548757</v>
          </cell>
          <cell r="AA1045">
            <v>559592</v>
          </cell>
          <cell r="AB1045" t="str">
            <v>ERBE</v>
          </cell>
          <cell r="AC1045">
            <v>1101</v>
          </cell>
          <cell r="AD1045">
            <v>2</v>
          </cell>
          <cell r="AE1045">
            <v>25570</v>
          </cell>
        </row>
        <row r="1046">
          <cell r="A1046" t="str">
            <v>SMA</v>
          </cell>
          <cell r="B1046">
            <v>6</v>
          </cell>
          <cell r="C1046" t="str">
            <v>DRAG</v>
          </cell>
          <cell r="D1046">
            <v>63</v>
          </cell>
          <cell r="E1046">
            <v>1</v>
          </cell>
          <cell r="F1046" t="str">
            <v xml:space="preserve">B </v>
          </cell>
          <cell r="G1046">
            <v>11</v>
          </cell>
          <cell r="H1046">
            <v>2403</v>
          </cell>
          <cell r="I1046">
            <v>51727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291625</v>
          </cell>
          <cell r="P1046">
            <v>0</v>
          </cell>
          <cell r="Q1046">
            <v>0</v>
          </cell>
          <cell r="R1046">
            <v>2811</v>
          </cell>
          <cell r="S1046">
            <v>0</v>
          </cell>
          <cell r="T1046">
            <v>17720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85919</v>
          </cell>
          <cell r="Z1046">
            <v>291625</v>
          </cell>
          <cell r="AA1046">
            <v>398075</v>
          </cell>
          <cell r="AB1046" t="str">
            <v>ERBE</v>
          </cell>
          <cell r="AC1046">
            <v>1101</v>
          </cell>
          <cell r="AD1046">
            <v>2</v>
          </cell>
          <cell r="AE1046">
            <v>38302</v>
          </cell>
        </row>
        <row r="1047">
          <cell r="A1047" t="str">
            <v>SMA</v>
          </cell>
          <cell r="B1047">
            <v>6</v>
          </cell>
          <cell r="C1047" t="str">
            <v>DRAG</v>
          </cell>
          <cell r="D1047">
            <v>63</v>
          </cell>
          <cell r="E1047">
            <v>1</v>
          </cell>
          <cell r="F1047" t="str">
            <v xml:space="preserve">B </v>
          </cell>
          <cell r="G1047">
            <v>12</v>
          </cell>
          <cell r="H1047">
            <v>2044</v>
          </cell>
          <cell r="I1047">
            <v>112957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1017628</v>
          </cell>
          <cell r="P1047">
            <v>0</v>
          </cell>
          <cell r="Q1047">
            <v>0</v>
          </cell>
          <cell r="R1047">
            <v>7979</v>
          </cell>
          <cell r="S1047">
            <v>0</v>
          </cell>
          <cell r="T1047">
            <v>27069</v>
          </cell>
          <cell r="U1047">
            <v>173095</v>
          </cell>
          <cell r="V1047">
            <v>0</v>
          </cell>
          <cell r="W1047">
            <v>0</v>
          </cell>
          <cell r="X1047">
            <v>0</v>
          </cell>
          <cell r="Y1047">
            <v>172848</v>
          </cell>
          <cell r="Z1047">
            <v>1017628</v>
          </cell>
          <cell r="AA1047">
            <v>1225524</v>
          </cell>
          <cell r="AB1047" t="str">
            <v>ERBE</v>
          </cell>
          <cell r="AC1047">
            <v>1101</v>
          </cell>
          <cell r="AD1047">
            <v>2</v>
          </cell>
          <cell r="AE1047">
            <v>112957</v>
          </cell>
        </row>
        <row r="1048">
          <cell r="A1048" t="str">
            <v>SMA</v>
          </cell>
          <cell r="B1048">
            <v>6</v>
          </cell>
          <cell r="C1048" t="str">
            <v>DRAG</v>
          </cell>
          <cell r="D1048">
            <v>63</v>
          </cell>
          <cell r="E1048">
            <v>1</v>
          </cell>
          <cell r="F1048" t="str">
            <v xml:space="preserve">B </v>
          </cell>
          <cell r="G1048">
            <v>13</v>
          </cell>
          <cell r="H1048">
            <v>114</v>
          </cell>
          <cell r="I1048">
            <v>12894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151563</v>
          </cell>
          <cell r="P1048">
            <v>0</v>
          </cell>
          <cell r="Q1048">
            <v>0</v>
          </cell>
          <cell r="R1048">
            <v>1625</v>
          </cell>
          <cell r="S1048">
            <v>0</v>
          </cell>
          <cell r="T1048">
            <v>5243</v>
          </cell>
          <cell r="U1048">
            <v>25768</v>
          </cell>
          <cell r="V1048">
            <v>0</v>
          </cell>
          <cell r="W1048">
            <v>0</v>
          </cell>
          <cell r="X1048">
            <v>0</v>
          </cell>
          <cell r="Y1048">
            <v>16724</v>
          </cell>
          <cell r="Z1048">
            <v>151563</v>
          </cell>
          <cell r="AA1048">
            <v>175155</v>
          </cell>
          <cell r="AB1048" t="str">
            <v>ERBE</v>
          </cell>
          <cell r="AC1048">
            <v>1101</v>
          </cell>
          <cell r="AD1048">
            <v>2</v>
          </cell>
          <cell r="AE1048">
            <v>12894</v>
          </cell>
        </row>
        <row r="1049">
          <cell r="A1049" t="str">
            <v>SMA</v>
          </cell>
          <cell r="B1049">
            <v>6</v>
          </cell>
          <cell r="C1049" t="str">
            <v>DRAG</v>
          </cell>
          <cell r="D1049">
            <v>63</v>
          </cell>
          <cell r="E1049">
            <v>1</v>
          </cell>
          <cell r="F1049" t="str">
            <v xml:space="preserve">B </v>
          </cell>
          <cell r="G1049">
            <v>14</v>
          </cell>
          <cell r="H1049">
            <v>10</v>
          </cell>
          <cell r="I1049">
            <v>1492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18943</v>
          </cell>
          <cell r="P1049">
            <v>0</v>
          </cell>
          <cell r="Q1049">
            <v>0</v>
          </cell>
          <cell r="R1049">
            <v>104</v>
          </cell>
          <cell r="S1049">
            <v>0</v>
          </cell>
          <cell r="T1049">
            <v>0</v>
          </cell>
          <cell r="U1049">
            <v>3221</v>
          </cell>
          <cell r="V1049">
            <v>0</v>
          </cell>
          <cell r="W1049">
            <v>0</v>
          </cell>
          <cell r="X1049">
            <v>0</v>
          </cell>
          <cell r="Y1049">
            <v>2100</v>
          </cell>
          <cell r="Z1049">
            <v>18943</v>
          </cell>
          <cell r="AA1049">
            <v>21147</v>
          </cell>
          <cell r="AB1049" t="str">
            <v>ERBE</v>
          </cell>
          <cell r="AC1049">
            <v>1101</v>
          </cell>
          <cell r="AD1049">
            <v>2</v>
          </cell>
          <cell r="AE1049">
            <v>1492</v>
          </cell>
        </row>
        <row r="1050">
          <cell r="A1050" t="str">
            <v>SMA</v>
          </cell>
          <cell r="B1050">
            <v>6</v>
          </cell>
          <cell r="C1050" t="str">
            <v>DRAG</v>
          </cell>
          <cell r="D1050">
            <v>63</v>
          </cell>
          <cell r="E1050">
            <v>1</v>
          </cell>
          <cell r="F1050" t="str">
            <v xml:space="preserve">B </v>
          </cell>
          <cell r="G1050">
            <v>15</v>
          </cell>
          <cell r="H1050">
            <v>27</v>
          </cell>
          <cell r="I1050">
            <v>26111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526879</v>
          </cell>
          <cell r="P1050">
            <v>0</v>
          </cell>
          <cell r="Q1050">
            <v>0</v>
          </cell>
          <cell r="R1050">
            <v>675</v>
          </cell>
          <cell r="S1050">
            <v>0</v>
          </cell>
          <cell r="T1050">
            <v>5875</v>
          </cell>
          <cell r="U1050">
            <v>126530</v>
          </cell>
          <cell r="V1050">
            <v>0</v>
          </cell>
          <cell r="W1050">
            <v>0</v>
          </cell>
          <cell r="X1050">
            <v>0</v>
          </cell>
          <cell r="Y1050">
            <v>4140</v>
          </cell>
          <cell r="Z1050">
            <v>526879</v>
          </cell>
          <cell r="AA1050">
            <v>537569</v>
          </cell>
          <cell r="AB1050" t="str">
            <v>ERBE</v>
          </cell>
          <cell r="AC1050">
            <v>1101</v>
          </cell>
          <cell r="AD1050">
            <v>2</v>
          </cell>
          <cell r="AE1050">
            <v>26111</v>
          </cell>
        </row>
        <row r="1051">
          <cell r="A1051" t="str">
            <v>SMA</v>
          </cell>
          <cell r="B1051">
            <v>6</v>
          </cell>
          <cell r="C1051" t="str">
            <v>DRAG</v>
          </cell>
          <cell r="D1051">
            <v>63</v>
          </cell>
          <cell r="E1051">
            <v>2</v>
          </cell>
          <cell r="F1051" t="str">
            <v>A4</v>
          </cell>
          <cell r="G1051">
            <v>21</v>
          </cell>
          <cell r="H1051">
            <v>1</v>
          </cell>
          <cell r="I1051">
            <v>4874</v>
          </cell>
          <cell r="J1051">
            <v>-10763</v>
          </cell>
          <cell r="K1051">
            <v>15637</v>
          </cell>
          <cell r="L1051">
            <v>260</v>
          </cell>
          <cell r="M1051">
            <v>260</v>
          </cell>
          <cell r="N1051">
            <v>0</v>
          </cell>
          <cell r="O1051">
            <v>-560650</v>
          </cell>
          <cell r="P1051">
            <v>179573</v>
          </cell>
          <cell r="Q1051">
            <v>13854</v>
          </cell>
          <cell r="R1051">
            <v>0</v>
          </cell>
          <cell r="S1051">
            <v>0</v>
          </cell>
          <cell r="T1051">
            <v>0</v>
          </cell>
          <cell r="U1051">
            <v>-91806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-367223</v>
          </cell>
          <cell r="AA1051">
            <v>-367223</v>
          </cell>
          <cell r="AB1051" t="str">
            <v>ERBE</v>
          </cell>
          <cell r="AC1051">
            <v>1101</v>
          </cell>
          <cell r="AD1051">
            <v>2</v>
          </cell>
          <cell r="AE1051">
            <v>4874</v>
          </cell>
        </row>
        <row r="1052">
          <cell r="A1052" t="str">
            <v>SMA</v>
          </cell>
          <cell r="B1052">
            <v>6</v>
          </cell>
          <cell r="C1052" t="str">
            <v>DRAG</v>
          </cell>
          <cell r="D1052">
            <v>63</v>
          </cell>
          <cell r="E1052">
            <v>2</v>
          </cell>
          <cell r="F1052" t="str">
            <v>A4</v>
          </cell>
          <cell r="G1052">
            <v>20</v>
          </cell>
          <cell r="H1052">
            <v>18</v>
          </cell>
          <cell r="I1052">
            <v>374577</v>
          </cell>
          <cell r="J1052">
            <v>0</v>
          </cell>
          <cell r="K1052">
            <v>0</v>
          </cell>
          <cell r="L1052">
            <v>1704</v>
          </cell>
          <cell r="M1052">
            <v>0</v>
          </cell>
          <cell r="N1052">
            <v>0</v>
          </cell>
          <cell r="O1052">
            <v>4298148</v>
          </cell>
          <cell r="P1052">
            <v>1333664</v>
          </cell>
          <cell r="Q1052">
            <v>517676</v>
          </cell>
          <cell r="R1052">
            <v>27242</v>
          </cell>
          <cell r="S1052">
            <v>0</v>
          </cell>
          <cell r="T1052">
            <v>410654</v>
          </cell>
          <cell r="U1052">
            <v>1591966</v>
          </cell>
          <cell r="V1052">
            <v>0</v>
          </cell>
          <cell r="W1052">
            <v>218364</v>
          </cell>
          <cell r="X1052">
            <v>0</v>
          </cell>
          <cell r="Y1052">
            <v>23524</v>
          </cell>
          <cell r="Z1052">
            <v>6367852</v>
          </cell>
          <cell r="AA1052">
            <v>6829272</v>
          </cell>
          <cell r="AB1052" t="str">
            <v>ERBE</v>
          </cell>
          <cell r="AC1052">
            <v>1101</v>
          </cell>
          <cell r="AD1052">
            <v>2</v>
          </cell>
          <cell r="AE1052">
            <v>374577</v>
          </cell>
        </row>
        <row r="1053">
          <cell r="A1053" t="str">
            <v>SMA</v>
          </cell>
          <cell r="B1053">
            <v>6</v>
          </cell>
          <cell r="C1053" t="str">
            <v>DRAG</v>
          </cell>
          <cell r="D1053">
            <v>63</v>
          </cell>
          <cell r="E1053">
            <v>2</v>
          </cell>
          <cell r="F1053" t="str">
            <v xml:space="preserve">B </v>
          </cell>
          <cell r="G1053">
            <v>0</v>
          </cell>
          <cell r="H1053">
            <v>198</v>
          </cell>
          <cell r="I1053">
            <v>92081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1919026</v>
          </cell>
          <cell r="P1053">
            <v>0</v>
          </cell>
          <cell r="Q1053">
            <v>0</v>
          </cell>
          <cell r="R1053">
            <v>25600</v>
          </cell>
          <cell r="S1053">
            <v>0</v>
          </cell>
          <cell r="T1053">
            <v>107319</v>
          </cell>
          <cell r="U1053">
            <v>466313</v>
          </cell>
          <cell r="V1053">
            <v>0</v>
          </cell>
          <cell r="W1053">
            <v>0</v>
          </cell>
          <cell r="X1053">
            <v>0</v>
          </cell>
          <cell r="Y1053">
            <v>107741</v>
          </cell>
          <cell r="Z1053">
            <v>1919026</v>
          </cell>
          <cell r="AA1053">
            <v>2159686</v>
          </cell>
          <cell r="AB1053" t="str">
            <v>ERBE</v>
          </cell>
          <cell r="AC1053">
            <v>1101</v>
          </cell>
          <cell r="AD1053">
            <v>2</v>
          </cell>
          <cell r="AE1053">
            <v>88924</v>
          </cell>
        </row>
        <row r="1054">
          <cell r="A1054" t="str">
            <v>SMA</v>
          </cell>
          <cell r="B1054">
            <v>6</v>
          </cell>
          <cell r="C1054" t="str">
            <v>DRAG</v>
          </cell>
          <cell r="D1054">
            <v>63</v>
          </cell>
          <cell r="E1054">
            <v>3</v>
          </cell>
          <cell r="F1054" t="str">
            <v>A4</v>
          </cell>
          <cell r="G1054">
            <v>21</v>
          </cell>
          <cell r="H1054">
            <v>1</v>
          </cell>
          <cell r="I1054">
            <v>6678</v>
          </cell>
          <cell r="J1054">
            <v>212</v>
          </cell>
          <cell r="K1054">
            <v>6466</v>
          </cell>
          <cell r="L1054">
            <v>52</v>
          </cell>
          <cell r="M1054">
            <v>52</v>
          </cell>
          <cell r="N1054">
            <v>0</v>
          </cell>
          <cell r="O1054">
            <v>54785</v>
          </cell>
          <cell r="P1054">
            <v>35915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22675</v>
          </cell>
          <cell r="V1054">
            <v>0</v>
          </cell>
          <cell r="W1054">
            <v>0</v>
          </cell>
          <cell r="X1054">
            <v>0</v>
          </cell>
          <cell r="Y1054">
            <v>1892</v>
          </cell>
          <cell r="Z1054">
            <v>90700</v>
          </cell>
          <cell r="AA1054">
            <v>92592</v>
          </cell>
          <cell r="AB1054" t="str">
            <v>ERBE</v>
          </cell>
          <cell r="AC1054">
            <v>1101</v>
          </cell>
          <cell r="AD1054">
            <v>2</v>
          </cell>
          <cell r="AE1054">
            <v>6678</v>
          </cell>
        </row>
        <row r="1055">
          <cell r="A1055" t="str">
            <v>SMA</v>
          </cell>
          <cell r="B1055">
            <v>6</v>
          </cell>
          <cell r="C1055" t="str">
            <v>DRAG</v>
          </cell>
          <cell r="D1055">
            <v>63</v>
          </cell>
          <cell r="E1055">
            <v>3</v>
          </cell>
          <cell r="F1055" t="str">
            <v>A4</v>
          </cell>
          <cell r="G1055">
            <v>20</v>
          </cell>
          <cell r="H1055">
            <v>3</v>
          </cell>
          <cell r="I1055">
            <v>14555</v>
          </cell>
          <cell r="J1055">
            <v>0</v>
          </cell>
          <cell r="K1055">
            <v>0</v>
          </cell>
          <cell r="L1055">
            <v>79</v>
          </cell>
          <cell r="M1055">
            <v>0</v>
          </cell>
          <cell r="N1055">
            <v>0</v>
          </cell>
          <cell r="O1055">
            <v>167013</v>
          </cell>
          <cell r="P1055">
            <v>61831</v>
          </cell>
          <cell r="Q1055">
            <v>2513</v>
          </cell>
          <cell r="R1055">
            <v>3274</v>
          </cell>
          <cell r="S1055">
            <v>0</v>
          </cell>
          <cell r="T1055">
            <v>0</v>
          </cell>
          <cell r="U1055">
            <v>58035</v>
          </cell>
          <cell r="V1055">
            <v>0</v>
          </cell>
          <cell r="W1055">
            <v>783</v>
          </cell>
          <cell r="X1055">
            <v>0</v>
          </cell>
          <cell r="Y1055">
            <v>5922</v>
          </cell>
          <cell r="Z1055">
            <v>232140</v>
          </cell>
          <cell r="AA1055">
            <v>241336</v>
          </cell>
          <cell r="AB1055" t="str">
            <v>ERBE</v>
          </cell>
          <cell r="AC1055">
            <v>1101</v>
          </cell>
          <cell r="AD1055">
            <v>2</v>
          </cell>
          <cell r="AE1055">
            <v>14555</v>
          </cell>
        </row>
        <row r="1056">
          <cell r="A1056" t="str">
            <v>SMA</v>
          </cell>
          <cell r="B1056">
            <v>6</v>
          </cell>
          <cell r="C1056" t="str">
            <v>DRAG</v>
          </cell>
          <cell r="D1056">
            <v>63</v>
          </cell>
          <cell r="E1056">
            <v>3</v>
          </cell>
          <cell r="F1056" t="str">
            <v xml:space="preserve">B </v>
          </cell>
          <cell r="G1056">
            <v>0</v>
          </cell>
          <cell r="H1056">
            <v>1808</v>
          </cell>
          <cell r="I1056">
            <v>286442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5964484</v>
          </cell>
          <cell r="P1056">
            <v>0</v>
          </cell>
          <cell r="Q1056">
            <v>0</v>
          </cell>
          <cell r="R1056">
            <v>50689</v>
          </cell>
          <cell r="S1056">
            <v>0</v>
          </cell>
          <cell r="T1056">
            <v>217735</v>
          </cell>
          <cell r="U1056">
            <v>1466031</v>
          </cell>
          <cell r="V1056">
            <v>0</v>
          </cell>
          <cell r="W1056">
            <v>0</v>
          </cell>
          <cell r="X1056">
            <v>0</v>
          </cell>
          <cell r="Y1056">
            <v>532536</v>
          </cell>
          <cell r="Z1056">
            <v>5964484</v>
          </cell>
          <cell r="AA1056">
            <v>6765444</v>
          </cell>
          <cell r="AB1056" t="str">
            <v>ERBE</v>
          </cell>
          <cell r="AC1056">
            <v>1101</v>
          </cell>
          <cell r="AD1056">
            <v>2</v>
          </cell>
          <cell r="AE1056">
            <v>269725</v>
          </cell>
        </row>
        <row r="1057">
          <cell r="A1057" t="str">
            <v>SMA</v>
          </cell>
          <cell r="B1057">
            <v>6</v>
          </cell>
          <cell r="C1057" t="str">
            <v>DRAG</v>
          </cell>
          <cell r="D1057">
            <v>63</v>
          </cell>
          <cell r="E1057">
            <v>4</v>
          </cell>
          <cell r="F1057" t="str">
            <v>A4</v>
          </cell>
          <cell r="G1057">
            <v>20</v>
          </cell>
          <cell r="H1057">
            <v>5</v>
          </cell>
          <cell r="I1057">
            <v>10814</v>
          </cell>
          <cell r="J1057">
            <v>0</v>
          </cell>
          <cell r="K1057">
            <v>0</v>
          </cell>
          <cell r="L1057">
            <v>85</v>
          </cell>
          <cell r="M1057">
            <v>0</v>
          </cell>
          <cell r="N1057">
            <v>0</v>
          </cell>
          <cell r="O1057">
            <v>83754</v>
          </cell>
          <cell r="P1057">
            <v>44880</v>
          </cell>
          <cell r="Q1057">
            <v>6312</v>
          </cell>
          <cell r="R1057">
            <v>916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2640</v>
          </cell>
          <cell r="X1057">
            <v>0</v>
          </cell>
          <cell r="Y1057">
            <v>0</v>
          </cell>
          <cell r="Z1057">
            <v>137586</v>
          </cell>
          <cell r="AA1057">
            <v>138502</v>
          </cell>
          <cell r="AB1057" t="str">
            <v>ERBE</v>
          </cell>
          <cell r="AC1057">
            <v>1101</v>
          </cell>
          <cell r="AD1057">
            <v>2</v>
          </cell>
          <cell r="AE1057">
            <v>10814</v>
          </cell>
        </row>
        <row r="1058">
          <cell r="A1058" t="str">
            <v>SMA</v>
          </cell>
          <cell r="B1058">
            <v>6</v>
          </cell>
          <cell r="C1058" t="str">
            <v>DRAG</v>
          </cell>
          <cell r="D1058">
            <v>63</v>
          </cell>
          <cell r="E1058">
            <v>4</v>
          </cell>
          <cell r="F1058" t="str">
            <v xml:space="preserve">B </v>
          </cell>
          <cell r="G1058">
            <v>0</v>
          </cell>
          <cell r="H1058">
            <v>408</v>
          </cell>
          <cell r="I1058">
            <v>104068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1048301</v>
          </cell>
          <cell r="P1058">
            <v>0</v>
          </cell>
          <cell r="Q1058">
            <v>0</v>
          </cell>
          <cell r="R1058">
            <v>21</v>
          </cell>
          <cell r="S1058">
            <v>0</v>
          </cell>
          <cell r="T1058">
            <v>64679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1048301</v>
          </cell>
          <cell r="AA1058">
            <v>1113001</v>
          </cell>
          <cell r="AB1058" t="str">
            <v>ERBE</v>
          </cell>
          <cell r="AC1058">
            <v>1101</v>
          </cell>
          <cell r="AD1058">
            <v>2</v>
          </cell>
          <cell r="AE1058">
            <v>97568</v>
          </cell>
        </row>
        <row r="1059">
          <cell r="A1059" t="str">
            <v>SMA</v>
          </cell>
          <cell r="B1059">
            <v>6</v>
          </cell>
          <cell r="C1059" t="str">
            <v>DRAG</v>
          </cell>
          <cell r="D1059">
            <v>63</v>
          </cell>
          <cell r="E1059">
            <v>5</v>
          </cell>
          <cell r="F1059" t="str">
            <v>A4</v>
          </cell>
          <cell r="G1059">
            <v>20</v>
          </cell>
          <cell r="H1059">
            <v>7</v>
          </cell>
          <cell r="I1059">
            <v>26475</v>
          </cell>
          <cell r="J1059">
            <v>0</v>
          </cell>
          <cell r="K1059">
            <v>0</v>
          </cell>
          <cell r="L1059">
            <v>182</v>
          </cell>
          <cell r="M1059">
            <v>0</v>
          </cell>
          <cell r="N1059">
            <v>0</v>
          </cell>
          <cell r="O1059">
            <v>296502</v>
          </cell>
          <cell r="P1059">
            <v>140489</v>
          </cell>
          <cell r="Q1059">
            <v>9215</v>
          </cell>
          <cell r="R1059">
            <v>2236</v>
          </cell>
          <cell r="S1059">
            <v>0</v>
          </cell>
          <cell r="T1059">
            <v>0</v>
          </cell>
          <cell r="U1059">
            <v>105203</v>
          </cell>
          <cell r="V1059">
            <v>0</v>
          </cell>
          <cell r="W1059">
            <v>2348</v>
          </cell>
          <cell r="X1059">
            <v>0</v>
          </cell>
          <cell r="Y1059">
            <v>0</v>
          </cell>
          <cell r="Z1059">
            <v>448554</v>
          </cell>
          <cell r="AA1059">
            <v>450790</v>
          </cell>
          <cell r="AB1059" t="str">
            <v>ERBE</v>
          </cell>
          <cell r="AC1059">
            <v>1101</v>
          </cell>
          <cell r="AD1059">
            <v>2</v>
          </cell>
          <cell r="AE1059">
            <v>26475</v>
          </cell>
        </row>
        <row r="1060">
          <cell r="A1060" t="str">
            <v>SMA</v>
          </cell>
          <cell r="B1060">
            <v>6</v>
          </cell>
          <cell r="C1060" t="str">
            <v>DRAG</v>
          </cell>
          <cell r="D1060">
            <v>63</v>
          </cell>
          <cell r="E1060">
            <v>5</v>
          </cell>
          <cell r="F1060" t="str">
            <v xml:space="preserve">B </v>
          </cell>
          <cell r="G1060">
            <v>0</v>
          </cell>
          <cell r="H1060">
            <v>298</v>
          </cell>
          <cell r="I1060">
            <v>66636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1303859</v>
          </cell>
          <cell r="P1060">
            <v>0</v>
          </cell>
          <cell r="Q1060">
            <v>0</v>
          </cell>
          <cell r="R1060">
            <v>18643</v>
          </cell>
          <cell r="S1060">
            <v>0</v>
          </cell>
          <cell r="T1060">
            <v>32</v>
          </cell>
          <cell r="U1060">
            <v>263452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1303859</v>
          </cell>
          <cell r="AA1060">
            <v>1322534</v>
          </cell>
          <cell r="AB1060" t="str">
            <v>ERBE</v>
          </cell>
          <cell r="AC1060">
            <v>1101</v>
          </cell>
          <cell r="AD1060">
            <v>2</v>
          </cell>
          <cell r="AE1060">
            <v>64483</v>
          </cell>
        </row>
        <row r="1061">
          <cell r="A1061" t="str">
            <v>SMA</v>
          </cell>
          <cell r="B1061">
            <v>6</v>
          </cell>
          <cell r="C1061" t="str">
            <v>DRAG</v>
          </cell>
          <cell r="D1061">
            <v>63</v>
          </cell>
          <cell r="E1061">
            <v>6</v>
          </cell>
          <cell r="F1061" t="str">
            <v xml:space="preserve">B </v>
          </cell>
          <cell r="G1061">
            <v>0</v>
          </cell>
          <cell r="H1061">
            <v>18</v>
          </cell>
          <cell r="I1061">
            <v>225114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2650342</v>
          </cell>
          <cell r="P1061">
            <v>0</v>
          </cell>
          <cell r="Q1061">
            <v>0</v>
          </cell>
          <cell r="R1061">
            <v>17544</v>
          </cell>
          <cell r="S1061">
            <v>0</v>
          </cell>
          <cell r="T1061">
            <v>0</v>
          </cell>
          <cell r="U1061">
            <v>662585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2650342</v>
          </cell>
          <cell r="AA1061">
            <v>2667886</v>
          </cell>
          <cell r="AB1061" t="str">
            <v>ERBE</v>
          </cell>
          <cell r="AC1061">
            <v>1101</v>
          </cell>
          <cell r="AD1061">
            <v>2</v>
          </cell>
          <cell r="AE1061">
            <v>225114</v>
          </cell>
        </row>
        <row r="1062">
          <cell r="A1062" t="str">
            <v>SMA</v>
          </cell>
          <cell r="B1062">
            <v>6</v>
          </cell>
          <cell r="C1062" t="str">
            <v>DRAG</v>
          </cell>
          <cell r="D1062">
            <v>63</v>
          </cell>
          <cell r="E1062">
            <v>7</v>
          </cell>
          <cell r="F1062" t="str">
            <v>A4</v>
          </cell>
          <cell r="G1062">
            <v>22</v>
          </cell>
          <cell r="H1062">
            <v>2</v>
          </cell>
          <cell r="I1062">
            <v>816281</v>
          </cell>
          <cell r="J1062">
            <v>47842</v>
          </cell>
          <cell r="K1062">
            <v>768439</v>
          </cell>
          <cell r="L1062">
            <v>2216</v>
          </cell>
          <cell r="M1062">
            <v>1322</v>
          </cell>
          <cell r="N1062">
            <v>894</v>
          </cell>
          <cell r="O1062">
            <v>4769480</v>
          </cell>
          <cell r="P1062">
            <v>2349013</v>
          </cell>
          <cell r="Q1062">
            <v>211946</v>
          </cell>
          <cell r="R1062">
            <v>0</v>
          </cell>
          <cell r="S1062">
            <v>0</v>
          </cell>
          <cell r="T1062">
            <v>0</v>
          </cell>
          <cell r="U1062">
            <v>1870597</v>
          </cell>
          <cell r="V1062">
            <v>0</v>
          </cell>
          <cell r="W1062">
            <v>151947</v>
          </cell>
          <cell r="X1062">
            <v>0</v>
          </cell>
          <cell r="Y1062">
            <v>0</v>
          </cell>
          <cell r="Z1062">
            <v>7482386</v>
          </cell>
          <cell r="AA1062">
            <v>7482386</v>
          </cell>
          <cell r="AB1062" t="str">
            <v>ERBE</v>
          </cell>
          <cell r="AC1062">
            <v>1101</v>
          </cell>
          <cell r="AD1062">
            <v>2</v>
          </cell>
          <cell r="AE1062">
            <v>816281</v>
          </cell>
        </row>
        <row r="1063">
          <cell r="A1063" t="str">
            <v>SMA</v>
          </cell>
          <cell r="B1063">
            <v>6</v>
          </cell>
          <cell r="C1063" t="str">
            <v>DRAG</v>
          </cell>
          <cell r="D1063">
            <v>63</v>
          </cell>
          <cell r="E1063">
            <v>7</v>
          </cell>
          <cell r="F1063" t="str">
            <v>A4</v>
          </cell>
          <cell r="G1063">
            <v>20</v>
          </cell>
          <cell r="H1063">
            <v>9</v>
          </cell>
          <cell r="I1063">
            <v>400142</v>
          </cell>
          <cell r="J1063">
            <v>0</v>
          </cell>
          <cell r="K1063">
            <v>0</v>
          </cell>
          <cell r="L1063">
            <v>756</v>
          </cell>
          <cell r="M1063">
            <v>0</v>
          </cell>
          <cell r="N1063">
            <v>0</v>
          </cell>
          <cell r="O1063">
            <v>3902718</v>
          </cell>
          <cell r="P1063">
            <v>515264</v>
          </cell>
          <cell r="Q1063">
            <v>189314</v>
          </cell>
          <cell r="R1063">
            <v>0</v>
          </cell>
          <cell r="S1063">
            <v>0</v>
          </cell>
          <cell r="T1063">
            <v>0</v>
          </cell>
          <cell r="U1063">
            <v>1157801</v>
          </cell>
          <cell r="V1063">
            <v>0</v>
          </cell>
          <cell r="W1063">
            <v>23904</v>
          </cell>
          <cell r="X1063">
            <v>0</v>
          </cell>
          <cell r="Y1063">
            <v>0</v>
          </cell>
          <cell r="Z1063">
            <v>4631200</v>
          </cell>
          <cell r="AA1063">
            <v>4631200</v>
          </cell>
          <cell r="AB1063" t="str">
            <v>ERBE</v>
          </cell>
          <cell r="AC1063">
            <v>1101</v>
          </cell>
          <cell r="AD1063">
            <v>2</v>
          </cell>
          <cell r="AE1063">
            <v>400142</v>
          </cell>
        </row>
        <row r="1064">
          <cell r="A1064" t="str">
            <v>SMA</v>
          </cell>
          <cell r="B1064">
            <v>6</v>
          </cell>
          <cell r="C1064" t="str">
            <v>DRAG</v>
          </cell>
          <cell r="D1064">
            <v>63</v>
          </cell>
          <cell r="E1064">
            <v>7</v>
          </cell>
          <cell r="F1064" t="str">
            <v xml:space="preserve">B </v>
          </cell>
          <cell r="G1064">
            <v>0</v>
          </cell>
          <cell r="H1064">
            <v>10</v>
          </cell>
          <cell r="I1064">
            <v>9237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163445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40861</v>
          </cell>
          <cell r="V1064">
            <v>566</v>
          </cell>
          <cell r="W1064">
            <v>0</v>
          </cell>
          <cell r="X1064">
            <v>0</v>
          </cell>
          <cell r="Y1064">
            <v>0</v>
          </cell>
          <cell r="Z1064">
            <v>163445</v>
          </cell>
          <cell r="AA1064">
            <v>164011</v>
          </cell>
          <cell r="AB1064" t="str">
            <v>ERBE</v>
          </cell>
          <cell r="AC1064">
            <v>1101</v>
          </cell>
          <cell r="AD1064">
            <v>2</v>
          </cell>
          <cell r="AE1064">
            <v>9007</v>
          </cell>
        </row>
        <row r="1065">
          <cell r="A1065" t="str">
            <v>SMA</v>
          </cell>
          <cell r="B1065">
            <v>6</v>
          </cell>
          <cell r="C1065" t="str">
            <v>DRAG</v>
          </cell>
          <cell r="D1065">
            <v>63</v>
          </cell>
          <cell r="E1065">
            <v>8</v>
          </cell>
          <cell r="F1065" t="str">
            <v xml:space="preserve">B </v>
          </cell>
          <cell r="G1065">
            <v>0</v>
          </cell>
          <cell r="H1065">
            <v>6</v>
          </cell>
          <cell r="I1065">
            <v>3028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63038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15759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63038</v>
          </cell>
          <cell r="AA1065">
            <v>63038</v>
          </cell>
          <cell r="AB1065" t="str">
            <v>ERBE</v>
          </cell>
          <cell r="AC1065">
            <v>1101</v>
          </cell>
          <cell r="AD1065">
            <v>2</v>
          </cell>
          <cell r="AE1065">
            <v>3028</v>
          </cell>
        </row>
        <row r="1066">
          <cell r="A1066" t="str">
            <v>SMA</v>
          </cell>
          <cell r="B1066">
            <v>6</v>
          </cell>
          <cell r="C1066" t="str">
            <v>DRAG</v>
          </cell>
          <cell r="D1066">
            <v>64</v>
          </cell>
          <cell r="E1066">
            <v>1</v>
          </cell>
          <cell r="F1066" t="str">
            <v xml:space="preserve">B </v>
          </cell>
          <cell r="G1066">
            <v>1</v>
          </cell>
          <cell r="H1066">
            <v>3983</v>
          </cell>
          <cell r="I1066">
            <v>87145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1408183</v>
          </cell>
          <cell r="P1066">
            <v>0</v>
          </cell>
          <cell r="Q1066">
            <v>0</v>
          </cell>
          <cell r="R1066">
            <v>18307</v>
          </cell>
          <cell r="S1066">
            <v>0</v>
          </cell>
          <cell r="T1066">
            <v>99545</v>
          </cell>
          <cell r="U1066">
            <v>0</v>
          </cell>
          <cell r="V1066">
            <v>5359</v>
          </cell>
          <cell r="W1066">
            <v>0</v>
          </cell>
          <cell r="X1066">
            <v>0</v>
          </cell>
          <cell r="Y1066">
            <v>37631</v>
          </cell>
          <cell r="Z1066">
            <v>1408183</v>
          </cell>
          <cell r="AA1066">
            <v>1569025</v>
          </cell>
          <cell r="AB1066" t="str">
            <v>ERVE</v>
          </cell>
          <cell r="AC1066">
            <v>1101</v>
          </cell>
          <cell r="AD1066">
            <v>2</v>
          </cell>
          <cell r="AE1066">
            <v>64517</v>
          </cell>
        </row>
        <row r="1067">
          <cell r="A1067" t="str">
            <v>SMA</v>
          </cell>
          <cell r="B1067">
            <v>6</v>
          </cell>
          <cell r="C1067" t="str">
            <v>DRAG</v>
          </cell>
          <cell r="D1067">
            <v>64</v>
          </cell>
          <cell r="E1067">
            <v>1</v>
          </cell>
          <cell r="F1067" t="str">
            <v xml:space="preserve">B </v>
          </cell>
          <cell r="G1067">
            <v>2</v>
          </cell>
          <cell r="H1067">
            <v>2173</v>
          </cell>
          <cell r="I1067">
            <v>88656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1721608</v>
          </cell>
          <cell r="P1067">
            <v>0</v>
          </cell>
          <cell r="Q1067">
            <v>0</v>
          </cell>
          <cell r="R1067">
            <v>15271</v>
          </cell>
          <cell r="S1067">
            <v>0</v>
          </cell>
          <cell r="T1067">
            <v>16373</v>
          </cell>
          <cell r="U1067">
            <v>292606</v>
          </cell>
          <cell r="V1067">
            <v>3103</v>
          </cell>
          <cell r="W1067">
            <v>0</v>
          </cell>
          <cell r="X1067">
            <v>0</v>
          </cell>
          <cell r="Y1067">
            <v>44400</v>
          </cell>
          <cell r="Z1067">
            <v>1721608</v>
          </cell>
          <cell r="AA1067">
            <v>1800755</v>
          </cell>
          <cell r="AB1067" t="str">
            <v>ERVE</v>
          </cell>
          <cell r="AC1067">
            <v>1101</v>
          </cell>
          <cell r="AD1067">
            <v>2</v>
          </cell>
          <cell r="AE1067">
            <v>88656</v>
          </cell>
        </row>
        <row r="1068">
          <cell r="A1068" t="str">
            <v>SMA</v>
          </cell>
          <cell r="B1068">
            <v>6</v>
          </cell>
          <cell r="C1068" t="str">
            <v>DRAG</v>
          </cell>
          <cell r="D1068">
            <v>64</v>
          </cell>
          <cell r="E1068">
            <v>1</v>
          </cell>
          <cell r="F1068" t="str">
            <v xml:space="preserve">B </v>
          </cell>
          <cell r="G1068">
            <v>3</v>
          </cell>
          <cell r="H1068">
            <v>5296</v>
          </cell>
          <cell r="I1068">
            <v>385525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7476910</v>
          </cell>
          <cell r="P1068">
            <v>0</v>
          </cell>
          <cell r="Q1068">
            <v>0</v>
          </cell>
          <cell r="R1068">
            <v>64499</v>
          </cell>
          <cell r="S1068">
            <v>0</v>
          </cell>
          <cell r="T1068">
            <v>98304</v>
          </cell>
          <cell r="U1068">
            <v>1271411</v>
          </cell>
          <cell r="V1068">
            <v>7244</v>
          </cell>
          <cell r="W1068">
            <v>0</v>
          </cell>
          <cell r="X1068">
            <v>0</v>
          </cell>
          <cell r="Y1068">
            <v>198438</v>
          </cell>
          <cell r="Z1068">
            <v>7476910</v>
          </cell>
          <cell r="AA1068">
            <v>7845395</v>
          </cell>
          <cell r="AB1068" t="str">
            <v>ERVE</v>
          </cell>
          <cell r="AC1068">
            <v>1101</v>
          </cell>
          <cell r="AD1068">
            <v>2</v>
          </cell>
          <cell r="AE1068">
            <v>383379</v>
          </cell>
        </row>
        <row r="1069">
          <cell r="A1069" t="str">
            <v>SMA</v>
          </cell>
          <cell r="B1069">
            <v>6</v>
          </cell>
          <cell r="C1069" t="str">
            <v>DRAG</v>
          </cell>
          <cell r="D1069">
            <v>64</v>
          </cell>
          <cell r="E1069">
            <v>1</v>
          </cell>
          <cell r="F1069" t="str">
            <v xml:space="preserve">B </v>
          </cell>
          <cell r="G1069">
            <v>4</v>
          </cell>
          <cell r="H1069">
            <v>1766</v>
          </cell>
          <cell r="I1069">
            <v>212901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4129512</v>
          </cell>
          <cell r="P1069">
            <v>0</v>
          </cell>
          <cell r="Q1069">
            <v>0</v>
          </cell>
          <cell r="R1069">
            <v>47073</v>
          </cell>
          <cell r="S1069">
            <v>0</v>
          </cell>
          <cell r="T1069">
            <v>86274</v>
          </cell>
          <cell r="U1069">
            <v>702020</v>
          </cell>
          <cell r="V1069">
            <v>1505</v>
          </cell>
          <cell r="W1069">
            <v>0</v>
          </cell>
          <cell r="X1069">
            <v>0</v>
          </cell>
          <cell r="Y1069">
            <v>142492</v>
          </cell>
          <cell r="Z1069">
            <v>4129512</v>
          </cell>
          <cell r="AA1069">
            <v>4406856</v>
          </cell>
          <cell r="AB1069" t="str">
            <v>ERVE</v>
          </cell>
          <cell r="AC1069">
            <v>1101</v>
          </cell>
          <cell r="AD1069">
            <v>2</v>
          </cell>
          <cell r="AE1069">
            <v>212901</v>
          </cell>
        </row>
        <row r="1070">
          <cell r="A1070" t="str">
            <v>SMA</v>
          </cell>
          <cell r="B1070">
            <v>6</v>
          </cell>
          <cell r="C1070" t="str">
            <v>DRAG</v>
          </cell>
          <cell r="D1070">
            <v>64</v>
          </cell>
          <cell r="E1070">
            <v>1</v>
          </cell>
          <cell r="F1070" t="str">
            <v xml:space="preserve">B </v>
          </cell>
          <cell r="G1070">
            <v>5</v>
          </cell>
          <cell r="H1070">
            <v>549</v>
          </cell>
          <cell r="I1070">
            <v>94017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1823492</v>
          </cell>
          <cell r="P1070">
            <v>0</v>
          </cell>
          <cell r="Q1070">
            <v>0</v>
          </cell>
          <cell r="R1070">
            <v>21935</v>
          </cell>
          <cell r="S1070">
            <v>0</v>
          </cell>
          <cell r="T1070">
            <v>18129</v>
          </cell>
          <cell r="U1070">
            <v>310006</v>
          </cell>
          <cell r="V1070">
            <v>282</v>
          </cell>
          <cell r="W1070">
            <v>0</v>
          </cell>
          <cell r="X1070">
            <v>0</v>
          </cell>
          <cell r="Y1070">
            <v>104361</v>
          </cell>
          <cell r="Z1070">
            <v>1823492</v>
          </cell>
          <cell r="AA1070">
            <v>1968199</v>
          </cell>
          <cell r="AB1070" t="str">
            <v>ERVE</v>
          </cell>
          <cell r="AC1070">
            <v>1101</v>
          </cell>
          <cell r="AD1070">
            <v>2</v>
          </cell>
          <cell r="AE1070">
            <v>94017</v>
          </cell>
        </row>
        <row r="1071">
          <cell r="A1071" t="str">
            <v>SMA</v>
          </cell>
          <cell r="B1071">
            <v>6</v>
          </cell>
          <cell r="C1071" t="str">
            <v>DRAG</v>
          </cell>
          <cell r="D1071">
            <v>64</v>
          </cell>
          <cell r="E1071">
            <v>1</v>
          </cell>
          <cell r="F1071" t="str">
            <v xml:space="preserve">B </v>
          </cell>
          <cell r="G1071">
            <v>6</v>
          </cell>
          <cell r="H1071">
            <v>387</v>
          </cell>
          <cell r="I1071">
            <v>91712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1778903</v>
          </cell>
          <cell r="P1071">
            <v>0</v>
          </cell>
          <cell r="Q1071">
            <v>0</v>
          </cell>
          <cell r="R1071">
            <v>25037</v>
          </cell>
          <cell r="S1071">
            <v>0</v>
          </cell>
          <cell r="T1071">
            <v>31254</v>
          </cell>
          <cell r="U1071">
            <v>302537</v>
          </cell>
          <cell r="V1071">
            <v>188</v>
          </cell>
          <cell r="W1071">
            <v>0</v>
          </cell>
          <cell r="X1071">
            <v>0</v>
          </cell>
          <cell r="Y1071">
            <v>74558</v>
          </cell>
          <cell r="Z1071">
            <v>1778903</v>
          </cell>
          <cell r="AA1071">
            <v>1909940</v>
          </cell>
          <cell r="AB1071" t="str">
            <v>ERVE</v>
          </cell>
          <cell r="AC1071">
            <v>1101</v>
          </cell>
          <cell r="AD1071">
            <v>2</v>
          </cell>
          <cell r="AE1071">
            <v>91712</v>
          </cell>
        </row>
        <row r="1072">
          <cell r="A1072" t="str">
            <v>SMA</v>
          </cell>
          <cell r="B1072">
            <v>6</v>
          </cell>
          <cell r="C1072" t="str">
            <v>DRAG</v>
          </cell>
          <cell r="D1072">
            <v>64</v>
          </cell>
          <cell r="E1072">
            <v>1</v>
          </cell>
          <cell r="F1072" t="str">
            <v xml:space="preserve">B </v>
          </cell>
          <cell r="G1072">
            <v>7</v>
          </cell>
          <cell r="H1072">
            <v>128</v>
          </cell>
          <cell r="I1072">
            <v>43909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883657</v>
          </cell>
          <cell r="P1072">
            <v>0</v>
          </cell>
          <cell r="Q1072">
            <v>0</v>
          </cell>
          <cell r="R1072">
            <v>11209</v>
          </cell>
          <cell r="S1072">
            <v>0</v>
          </cell>
          <cell r="T1072">
            <v>30939</v>
          </cell>
          <cell r="U1072">
            <v>176796</v>
          </cell>
          <cell r="V1072">
            <v>189</v>
          </cell>
          <cell r="W1072">
            <v>0</v>
          </cell>
          <cell r="X1072">
            <v>0</v>
          </cell>
          <cell r="Y1072">
            <v>41345</v>
          </cell>
          <cell r="Z1072">
            <v>883657</v>
          </cell>
          <cell r="AA1072">
            <v>967339</v>
          </cell>
          <cell r="AB1072" t="str">
            <v>ERVE</v>
          </cell>
          <cell r="AC1072">
            <v>1101</v>
          </cell>
          <cell r="AD1072">
            <v>2</v>
          </cell>
          <cell r="AE1072">
            <v>43909</v>
          </cell>
        </row>
        <row r="1073">
          <cell r="A1073" t="str">
            <v>SMA</v>
          </cell>
          <cell r="B1073">
            <v>6</v>
          </cell>
          <cell r="C1073" t="str">
            <v>DRAG</v>
          </cell>
          <cell r="D1073">
            <v>64</v>
          </cell>
          <cell r="E1073">
            <v>1</v>
          </cell>
          <cell r="F1073" t="str">
            <v xml:space="preserve">B </v>
          </cell>
          <cell r="G1073">
            <v>8</v>
          </cell>
          <cell r="H1073">
            <v>65</v>
          </cell>
          <cell r="I1073">
            <v>28860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580757</v>
          </cell>
          <cell r="P1073">
            <v>0</v>
          </cell>
          <cell r="Q1073">
            <v>0</v>
          </cell>
          <cell r="R1073">
            <v>7736</v>
          </cell>
          <cell r="S1073">
            <v>0</v>
          </cell>
          <cell r="T1073">
            <v>2290</v>
          </cell>
          <cell r="U1073">
            <v>116192</v>
          </cell>
          <cell r="V1073">
            <v>0</v>
          </cell>
          <cell r="W1073">
            <v>0</v>
          </cell>
          <cell r="X1073">
            <v>0</v>
          </cell>
          <cell r="Y1073">
            <v>20352</v>
          </cell>
          <cell r="Z1073">
            <v>580757</v>
          </cell>
          <cell r="AA1073">
            <v>611135</v>
          </cell>
          <cell r="AB1073" t="str">
            <v>ERVE</v>
          </cell>
          <cell r="AC1073">
            <v>1101</v>
          </cell>
          <cell r="AD1073">
            <v>2</v>
          </cell>
          <cell r="AE1073">
            <v>28860</v>
          </cell>
        </row>
        <row r="1074">
          <cell r="A1074" t="str">
            <v>SMA</v>
          </cell>
          <cell r="B1074">
            <v>6</v>
          </cell>
          <cell r="C1074" t="str">
            <v>DRAG</v>
          </cell>
          <cell r="D1074">
            <v>64</v>
          </cell>
          <cell r="E1074">
            <v>1</v>
          </cell>
          <cell r="F1074" t="str">
            <v xml:space="preserve">B </v>
          </cell>
          <cell r="G1074">
            <v>9</v>
          </cell>
          <cell r="H1074">
            <v>88</v>
          </cell>
          <cell r="I1074">
            <v>54387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1167311</v>
          </cell>
          <cell r="P1074">
            <v>0</v>
          </cell>
          <cell r="Q1074">
            <v>0</v>
          </cell>
          <cell r="R1074">
            <v>13274</v>
          </cell>
          <cell r="S1074">
            <v>0</v>
          </cell>
          <cell r="T1074">
            <v>14602</v>
          </cell>
          <cell r="U1074">
            <v>291899</v>
          </cell>
          <cell r="V1074">
            <v>94</v>
          </cell>
          <cell r="W1074">
            <v>0</v>
          </cell>
          <cell r="X1074">
            <v>0</v>
          </cell>
          <cell r="Y1074">
            <v>53738</v>
          </cell>
          <cell r="Z1074">
            <v>1167311</v>
          </cell>
          <cell r="AA1074">
            <v>1249019</v>
          </cell>
          <cell r="AB1074" t="str">
            <v>ERVE</v>
          </cell>
          <cell r="AC1074">
            <v>1101</v>
          </cell>
          <cell r="AD1074">
            <v>2</v>
          </cell>
          <cell r="AE1074">
            <v>54387</v>
          </cell>
        </row>
        <row r="1075">
          <cell r="A1075" t="str">
            <v>SMA</v>
          </cell>
          <cell r="B1075">
            <v>6</v>
          </cell>
          <cell r="C1075" t="str">
            <v>DRAG</v>
          </cell>
          <cell r="D1075">
            <v>64</v>
          </cell>
          <cell r="E1075">
            <v>1</v>
          </cell>
          <cell r="F1075" t="str">
            <v xml:space="preserve">B </v>
          </cell>
          <cell r="G1075">
            <v>10</v>
          </cell>
          <cell r="H1075">
            <v>19</v>
          </cell>
          <cell r="I1075">
            <v>27705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594575</v>
          </cell>
          <cell r="P1075">
            <v>0</v>
          </cell>
          <cell r="Q1075">
            <v>0</v>
          </cell>
          <cell r="R1075">
            <v>5927</v>
          </cell>
          <cell r="S1075">
            <v>0</v>
          </cell>
          <cell r="T1075">
            <v>1221</v>
          </cell>
          <cell r="U1075">
            <v>148651</v>
          </cell>
          <cell r="V1075">
            <v>0</v>
          </cell>
          <cell r="W1075">
            <v>0</v>
          </cell>
          <cell r="X1075">
            <v>0</v>
          </cell>
          <cell r="Y1075">
            <v>8763</v>
          </cell>
          <cell r="Z1075">
            <v>594575</v>
          </cell>
          <cell r="AA1075">
            <v>610486</v>
          </cell>
          <cell r="AB1075" t="str">
            <v>ERVE</v>
          </cell>
          <cell r="AC1075">
            <v>1101</v>
          </cell>
          <cell r="AD1075">
            <v>2</v>
          </cell>
          <cell r="AE1075">
            <v>27705</v>
          </cell>
        </row>
        <row r="1076">
          <cell r="A1076" t="str">
            <v>SMA</v>
          </cell>
          <cell r="B1076">
            <v>6</v>
          </cell>
          <cell r="C1076" t="str">
            <v>DRAG</v>
          </cell>
          <cell r="D1076">
            <v>64</v>
          </cell>
          <cell r="E1076">
            <v>1</v>
          </cell>
          <cell r="F1076" t="str">
            <v xml:space="preserve">B </v>
          </cell>
          <cell r="G1076">
            <v>11</v>
          </cell>
          <cell r="H1076">
            <v>1869</v>
          </cell>
          <cell r="I1076">
            <v>42667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240548</v>
          </cell>
          <cell r="P1076">
            <v>0</v>
          </cell>
          <cell r="Q1076">
            <v>0</v>
          </cell>
          <cell r="R1076">
            <v>2766</v>
          </cell>
          <cell r="S1076">
            <v>0</v>
          </cell>
          <cell r="T1076">
            <v>11703</v>
          </cell>
          <cell r="U1076">
            <v>0</v>
          </cell>
          <cell r="V1076">
            <v>5454</v>
          </cell>
          <cell r="W1076">
            <v>0</v>
          </cell>
          <cell r="X1076">
            <v>0</v>
          </cell>
          <cell r="Y1076">
            <v>11093</v>
          </cell>
          <cell r="Z1076">
            <v>240548</v>
          </cell>
          <cell r="AA1076">
            <v>271564</v>
          </cell>
          <cell r="AB1076" t="str">
            <v>ERVE</v>
          </cell>
          <cell r="AC1076">
            <v>1101</v>
          </cell>
          <cell r="AD1076">
            <v>2</v>
          </cell>
          <cell r="AE1076">
            <v>28640</v>
          </cell>
        </row>
        <row r="1077">
          <cell r="A1077" t="str">
            <v>SMA</v>
          </cell>
          <cell r="B1077">
            <v>6</v>
          </cell>
          <cell r="C1077" t="str">
            <v>DRAG</v>
          </cell>
          <cell r="D1077">
            <v>64</v>
          </cell>
          <cell r="E1077">
            <v>1</v>
          </cell>
          <cell r="F1077" t="str">
            <v xml:space="preserve">B </v>
          </cell>
          <cell r="G1077">
            <v>12</v>
          </cell>
          <cell r="H1077">
            <v>1219</v>
          </cell>
          <cell r="I1077">
            <v>67414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607607</v>
          </cell>
          <cell r="P1077">
            <v>0</v>
          </cell>
          <cell r="Q1077">
            <v>0</v>
          </cell>
          <cell r="R1077">
            <v>5702</v>
          </cell>
          <cell r="S1077">
            <v>0</v>
          </cell>
          <cell r="T1077">
            <v>6750</v>
          </cell>
          <cell r="U1077">
            <v>103356</v>
          </cell>
          <cell r="V1077">
            <v>3948</v>
          </cell>
          <cell r="W1077">
            <v>0</v>
          </cell>
          <cell r="X1077">
            <v>0</v>
          </cell>
          <cell r="Y1077">
            <v>26052</v>
          </cell>
          <cell r="Z1077">
            <v>607607</v>
          </cell>
          <cell r="AA1077">
            <v>650059</v>
          </cell>
          <cell r="AB1077" t="str">
            <v>ERVE</v>
          </cell>
          <cell r="AC1077">
            <v>1101</v>
          </cell>
          <cell r="AD1077">
            <v>2</v>
          </cell>
          <cell r="AE1077">
            <v>67414</v>
          </cell>
        </row>
        <row r="1078">
          <cell r="A1078" t="str">
            <v>SMA</v>
          </cell>
          <cell r="B1078">
            <v>6</v>
          </cell>
          <cell r="C1078" t="str">
            <v>DRAG</v>
          </cell>
          <cell r="D1078">
            <v>64</v>
          </cell>
          <cell r="E1078">
            <v>1</v>
          </cell>
          <cell r="F1078" t="str">
            <v xml:space="preserve">B </v>
          </cell>
          <cell r="G1078">
            <v>13</v>
          </cell>
          <cell r="H1078">
            <v>65</v>
          </cell>
          <cell r="I1078">
            <v>7486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94710</v>
          </cell>
          <cell r="P1078">
            <v>0</v>
          </cell>
          <cell r="Q1078">
            <v>0</v>
          </cell>
          <cell r="R1078">
            <v>803</v>
          </cell>
          <cell r="S1078">
            <v>0</v>
          </cell>
          <cell r="T1078">
            <v>700</v>
          </cell>
          <cell r="U1078">
            <v>16102</v>
          </cell>
          <cell r="V1078">
            <v>282</v>
          </cell>
          <cell r="W1078">
            <v>0</v>
          </cell>
          <cell r="X1078">
            <v>0</v>
          </cell>
          <cell r="Y1078">
            <v>3402</v>
          </cell>
          <cell r="Z1078">
            <v>94710</v>
          </cell>
          <cell r="AA1078">
            <v>99897</v>
          </cell>
          <cell r="AB1078" t="str">
            <v>ERVE</v>
          </cell>
          <cell r="AC1078">
            <v>1101</v>
          </cell>
          <cell r="AD1078">
            <v>2</v>
          </cell>
          <cell r="AE1078">
            <v>7486</v>
          </cell>
        </row>
        <row r="1079">
          <cell r="A1079" t="str">
            <v>SMA</v>
          </cell>
          <cell r="B1079">
            <v>6</v>
          </cell>
          <cell r="C1079" t="str">
            <v>DRAG</v>
          </cell>
          <cell r="D1079">
            <v>64</v>
          </cell>
          <cell r="E1079">
            <v>1</v>
          </cell>
          <cell r="F1079" t="str">
            <v xml:space="preserve">B </v>
          </cell>
          <cell r="G1079">
            <v>14</v>
          </cell>
          <cell r="H1079">
            <v>10</v>
          </cell>
          <cell r="I1079">
            <v>1457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18263</v>
          </cell>
          <cell r="P1079">
            <v>0</v>
          </cell>
          <cell r="Q1079">
            <v>0</v>
          </cell>
          <cell r="R1079">
            <v>428</v>
          </cell>
          <cell r="S1079">
            <v>0</v>
          </cell>
          <cell r="T1079">
            <v>32</v>
          </cell>
          <cell r="U1079">
            <v>3105</v>
          </cell>
          <cell r="V1079">
            <v>188</v>
          </cell>
          <cell r="W1079">
            <v>0</v>
          </cell>
          <cell r="X1079">
            <v>0</v>
          </cell>
          <cell r="Y1079">
            <v>577</v>
          </cell>
          <cell r="Z1079">
            <v>18263</v>
          </cell>
          <cell r="AA1079">
            <v>19488</v>
          </cell>
          <cell r="AB1079" t="str">
            <v>ERVE</v>
          </cell>
          <cell r="AC1079">
            <v>1101</v>
          </cell>
          <cell r="AD1079">
            <v>2</v>
          </cell>
          <cell r="AE1079">
            <v>1457</v>
          </cell>
        </row>
        <row r="1080">
          <cell r="A1080" t="str">
            <v>SMA</v>
          </cell>
          <cell r="B1080">
            <v>6</v>
          </cell>
          <cell r="C1080" t="str">
            <v>DRAG</v>
          </cell>
          <cell r="D1080">
            <v>64</v>
          </cell>
          <cell r="E1080">
            <v>1</v>
          </cell>
          <cell r="F1080" t="str">
            <v xml:space="preserve">B </v>
          </cell>
          <cell r="G1080">
            <v>15</v>
          </cell>
          <cell r="H1080">
            <v>13</v>
          </cell>
          <cell r="I1080">
            <v>6054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111998</v>
          </cell>
          <cell r="P1080">
            <v>0</v>
          </cell>
          <cell r="Q1080">
            <v>0</v>
          </cell>
          <cell r="R1080">
            <v>303</v>
          </cell>
          <cell r="S1080">
            <v>0</v>
          </cell>
          <cell r="T1080">
            <v>550</v>
          </cell>
          <cell r="U1080">
            <v>25346</v>
          </cell>
          <cell r="V1080">
            <v>0</v>
          </cell>
          <cell r="W1080">
            <v>0</v>
          </cell>
          <cell r="X1080">
            <v>0</v>
          </cell>
          <cell r="Y1080">
            <v>4432</v>
          </cell>
          <cell r="Z1080">
            <v>111998</v>
          </cell>
          <cell r="AA1080">
            <v>117283</v>
          </cell>
          <cell r="AB1080" t="str">
            <v>ERVE</v>
          </cell>
          <cell r="AC1080">
            <v>1101</v>
          </cell>
          <cell r="AD1080">
            <v>2</v>
          </cell>
          <cell r="AE1080">
            <v>6054</v>
          </cell>
        </row>
        <row r="1081">
          <cell r="A1081" t="str">
            <v>SMA</v>
          </cell>
          <cell r="B1081">
            <v>6</v>
          </cell>
          <cell r="C1081" t="str">
            <v>DRAG</v>
          </cell>
          <cell r="D1081">
            <v>64</v>
          </cell>
          <cell r="E1081">
            <v>2</v>
          </cell>
          <cell r="F1081" t="str">
            <v>A4</v>
          </cell>
          <cell r="G1081">
            <v>20</v>
          </cell>
          <cell r="H1081">
            <v>7</v>
          </cell>
          <cell r="I1081">
            <v>57811</v>
          </cell>
          <cell r="J1081">
            <v>0</v>
          </cell>
          <cell r="K1081">
            <v>0</v>
          </cell>
          <cell r="L1081">
            <v>283</v>
          </cell>
          <cell r="M1081">
            <v>0</v>
          </cell>
          <cell r="N1081">
            <v>0</v>
          </cell>
          <cell r="O1081">
            <v>663364</v>
          </cell>
          <cell r="P1081">
            <v>221496</v>
          </cell>
          <cell r="Q1081">
            <v>13219</v>
          </cell>
          <cell r="R1081">
            <v>13977</v>
          </cell>
          <cell r="S1081">
            <v>0</v>
          </cell>
          <cell r="T1081">
            <v>0</v>
          </cell>
          <cell r="U1081">
            <v>226087</v>
          </cell>
          <cell r="V1081">
            <v>0</v>
          </cell>
          <cell r="W1081">
            <v>6261</v>
          </cell>
          <cell r="X1081">
            <v>0</v>
          </cell>
          <cell r="Y1081">
            <v>3505</v>
          </cell>
          <cell r="Z1081">
            <v>904340</v>
          </cell>
          <cell r="AA1081">
            <v>921822</v>
          </cell>
          <cell r="AB1081" t="str">
            <v>ERVE</v>
          </cell>
          <cell r="AC1081">
            <v>1101</v>
          </cell>
          <cell r="AD1081">
            <v>2</v>
          </cell>
          <cell r="AE1081">
            <v>57811</v>
          </cell>
        </row>
        <row r="1082">
          <cell r="A1082" t="str">
            <v>SMA</v>
          </cell>
          <cell r="B1082">
            <v>6</v>
          </cell>
          <cell r="C1082" t="str">
            <v>DRAG</v>
          </cell>
          <cell r="D1082">
            <v>64</v>
          </cell>
          <cell r="E1082">
            <v>2</v>
          </cell>
          <cell r="F1082" t="str">
            <v xml:space="preserve">B </v>
          </cell>
          <cell r="G1082">
            <v>0</v>
          </cell>
          <cell r="H1082">
            <v>351</v>
          </cell>
          <cell r="I1082">
            <v>208003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4330892</v>
          </cell>
          <cell r="P1082">
            <v>0</v>
          </cell>
          <cell r="Q1082">
            <v>0</v>
          </cell>
          <cell r="R1082">
            <v>75026</v>
          </cell>
          <cell r="S1082">
            <v>0</v>
          </cell>
          <cell r="T1082">
            <v>127921</v>
          </cell>
          <cell r="U1082">
            <v>1054047</v>
          </cell>
          <cell r="V1082">
            <v>0</v>
          </cell>
          <cell r="W1082">
            <v>0</v>
          </cell>
          <cell r="X1082">
            <v>0</v>
          </cell>
          <cell r="Y1082">
            <v>88889</v>
          </cell>
          <cell r="Z1082">
            <v>4330892</v>
          </cell>
          <cell r="AA1082">
            <v>4622728</v>
          </cell>
          <cell r="AB1082" t="str">
            <v>ERVE</v>
          </cell>
          <cell r="AC1082">
            <v>1101</v>
          </cell>
          <cell r="AD1082">
            <v>2</v>
          </cell>
          <cell r="AE1082">
            <v>204389</v>
          </cell>
        </row>
        <row r="1083">
          <cell r="A1083" t="str">
            <v>SMA</v>
          </cell>
          <cell r="B1083">
            <v>6</v>
          </cell>
          <cell r="C1083" t="str">
            <v>DRAG</v>
          </cell>
          <cell r="D1083">
            <v>64</v>
          </cell>
          <cell r="E1083">
            <v>3</v>
          </cell>
          <cell r="F1083" t="str">
            <v>A4</v>
          </cell>
          <cell r="G1083">
            <v>20</v>
          </cell>
          <cell r="H1083">
            <v>3</v>
          </cell>
          <cell r="I1083">
            <v>15485</v>
          </cell>
          <cell r="J1083">
            <v>0</v>
          </cell>
          <cell r="K1083">
            <v>0</v>
          </cell>
          <cell r="L1083">
            <v>64</v>
          </cell>
          <cell r="M1083">
            <v>0</v>
          </cell>
          <cell r="N1083">
            <v>0</v>
          </cell>
          <cell r="O1083">
            <v>177685</v>
          </cell>
          <cell r="P1083">
            <v>50091</v>
          </cell>
          <cell r="Q1083">
            <v>30705</v>
          </cell>
          <cell r="R1083">
            <v>7245</v>
          </cell>
          <cell r="S1083">
            <v>0</v>
          </cell>
          <cell r="T1083">
            <v>0</v>
          </cell>
          <cell r="U1083">
            <v>67946</v>
          </cell>
          <cell r="V1083">
            <v>0</v>
          </cell>
          <cell r="W1083">
            <v>13305</v>
          </cell>
          <cell r="X1083">
            <v>0</v>
          </cell>
          <cell r="Y1083">
            <v>1402</v>
          </cell>
          <cell r="Z1083">
            <v>271786</v>
          </cell>
          <cell r="AA1083">
            <v>280433</v>
          </cell>
          <cell r="AB1083" t="str">
            <v>ERVE</v>
          </cell>
          <cell r="AC1083">
            <v>1101</v>
          </cell>
          <cell r="AD1083">
            <v>2</v>
          </cell>
          <cell r="AE1083">
            <v>15485</v>
          </cell>
        </row>
        <row r="1084">
          <cell r="A1084" t="str">
            <v>SMA</v>
          </cell>
          <cell r="B1084">
            <v>6</v>
          </cell>
          <cell r="C1084" t="str">
            <v>DRAG</v>
          </cell>
          <cell r="D1084">
            <v>64</v>
          </cell>
          <cell r="E1084">
            <v>3</v>
          </cell>
          <cell r="F1084" t="str">
            <v xml:space="preserve">B </v>
          </cell>
          <cell r="G1084">
            <v>0</v>
          </cell>
          <cell r="H1084">
            <v>896</v>
          </cell>
          <cell r="I1084">
            <v>226819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4726049</v>
          </cell>
          <cell r="P1084">
            <v>0</v>
          </cell>
          <cell r="Q1084">
            <v>0</v>
          </cell>
          <cell r="R1084">
            <v>67001</v>
          </cell>
          <cell r="S1084">
            <v>0</v>
          </cell>
          <cell r="T1084">
            <v>230974</v>
          </cell>
          <cell r="U1084">
            <v>1145538</v>
          </cell>
          <cell r="V1084">
            <v>0</v>
          </cell>
          <cell r="W1084">
            <v>0</v>
          </cell>
          <cell r="X1084">
            <v>0</v>
          </cell>
          <cell r="Y1084">
            <v>133785</v>
          </cell>
          <cell r="Z1084">
            <v>4726049</v>
          </cell>
          <cell r="AA1084">
            <v>5157809</v>
          </cell>
          <cell r="AB1084" t="str">
            <v>ERVE</v>
          </cell>
          <cell r="AC1084">
            <v>1101</v>
          </cell>
          <cell r="AD1084">
            <v>2</v>
          </cell>
          <cell r="AE1084">
            <v>219567</v>
          </cell>
        </row>
        <row r="1085">
          <cell r="A1085" t="str">
            <v>SMA</v>
          </cell>
          <cell r="B1085">
            <v>6</v>
          </cell>
          <cell r="C1085" t="str">
            <v>DRAG</v>
          </cell>
          <cell r="D1085">
            <v>64</v>
          </cell>
          <cell r="E1085">
            <v>4</v>
          </cell>
          <cell r="F1085" t="str">
            <v>A4</v>
          </cell>
          <cell r="G1085">
            <v>20</v>
          </cell>
          <cell r="H1085">
            <v>2</v>
          </cell>
          <cell r="I1085">
            <v>6519</v>
          </cell>
          <cell r="J1085">
            <v>0</v>
          </cell>
          <cell r="K1085">
            <v>0</v>
          </cell>
          <cell r="L1085">
            <v>58</v>
          </cell>
          <cell r="M1085">
            <v>0</v>
          </cell>
          <cell r="N1085">
            <v>0</v>
          </cell>
          <cell r="O1085">
            <v>50490</v>
          </cell>
          <cell r="P1085">
            <v>30624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81114</v>
          </cell>
          <cell r="AA1085">
            <v>81114</v>
          </cell>
          <cell r="AB1085" t="str">
            <v>ERVE</v>
          </cell>
          <cell r="AC1085">
            <v>1101</v>
          </cell>
          <cell r="AD1085">
            <v>2</v>
          </cell>
          <cell r="AE1085">
            <v>6519</v>
          </cell>
        </row>
        <row r="1086">
          <cell r="A1086" t="str">
            <v>SMA</v>
          </cell>
          <cell r="B1086">
            <v>6</v>
          </cell>
          <cell r="C1086" t="str">
            <v>DRAG</v>
          </cell>
          <cell r="D1086">
            <v>64</v>
          </cell>
          <cell r="E1086">
            <v>4</v>
          </cell>
          <cell r="F1086" t="str">
            <v xml:space="preserve">B </v>
          </cell>
          <cell r="G1086">
            <v>0</v>
          </cell>
          <cell r="H1086">
            <v>578</v>
          </cell>
          <cell r="I1086">
            <v>75393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739347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10103</v>
          </cell>
          <cell r="U1086">
            <v>0</v>
          </cell>
          <cell r="V1086">
            <v>34443</v>
          </cell>
          <cell r="W1086">
            <v>0</v>
          </cell>
          <cell r="X1086">
            <v>0</v>
          </cell>
          <cell r="Y1086">
            <v>0</v>
          </cell>
          <cell r="Z1086">
            <v>739347</v>
          </cell>
          <cell r="AA1086">
            <v>783893</v>
          </cell>
          <cell r="AB1086" t="str">
            <v>ERVE</v>
          </cell>
          <cell r="AC1086">
            <v>1101</v>
          </cell>
          <cell r="AD1086">
            <v>2</v>
          </cell>
          <cell r="AE1086">
            <v>70709</v>
          </cell>
        </row>
        <row r="1087">
          <cell r="A1087" t="str">
            <v>SMA</v>
          </cell>
          <cell r="B1087">
            <v>6</v>
          </cell>
          <cell r="C1087" t="str">
            <v>DRAG</v>
          </cell>
          <cell r="D1087">
            <v>64</v>
          </cell>
          <cell r="E1087">
            <v>5</v>
          </cell>
          <cell r="F1087" t="str">
            <v>A4</v>
          </cell>
          <cell r="G1087">
            <v>20</v>
          </cell>
          <cell r="H1087">
            <v>1</v>
          </cell>
          <cell r="I1087">
            <v>7680</v>
          </cell>
          <cell r="J1087">
            <v>0</v>
          </cell>
          <cell r="K1087">
            <v>0</v>
          </cell>
          <cell r="L1087">
            <v>24</v>
          </cell>
          <cell r="M1087">
            <v>0</v>
          </cell>
          <cell r="N1087">
            <v>0</v>
          </cell>
          <cell r="O1087">
            <v>88125</v>
          </cell>
          <cell r="P1087">
            <v>18784</v>
          </cell>
          <cell r="Q1087">
            <v>19541</v>
          </cell>
          <cell r="R1087">
            <v>3352</v>
          </cell>
          <cell r="S1087">
            <v>0</v>
          </cell>
          <cell r="T1087">
            <v>0</v>
          </cell>
          <cell r="U1087">
            <v>32591</v>
          </cell>
          <cell r="V1087">
            <v>0</v>
          </cell>
          <cell r="W1087">
            <v>3913</v>
          </cell>
          <cell r="X1087">
            <v>0</v>
          </cell>
          <cell r="Y1087">
            <v>0</v>
          </cell>
          <cell r="Z1087">
            <v>130363</v>
          </cell>
          <cell r="AA1087">
            <v>133715</v>
          </cell>
          <cell r="AB1087" t="str">
            <v>ERVE</v>
          </cell>
          <cell r="AC1087">
            <v>1101</v>
          </cell>
          <cell r="AD1087">
            <v>2</v>
          </cell>
          <cell r="AE1087">
            <v>7680</v>
          </cell>
        </row>
        <row r="1088">
          <cell r="A1088" t="str">
            <v>SMA</v>
          </cell>
          <cell r="B1088">
            <v>6</v>
          </cell>
          <cell r="C1088" t="str">
            <v>DRAG</v>
          </cell>
          <cell r="D1088">
            <v>64</v>
          </cell>
          <cell r="E1088">
            <v>5</v>
          </cell>
          <cell r="F1088" t="str">
            <v xml:space="preserve">B </v>
          </cell>
          <cell r="G1088">
            <v>0</v>
          </cell>
          <cell r="H1088">
            <v>213</v>
          </cell>
          <cell r="I1088">
            <v>40042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829749</v>
          </cell>
          <cell r="P1088">
            <v>0</v>
          </cell>
          <cell r="Q1088">
            <v>0</v>
          </cell>
          <cell r="R1088">
            <v>5233</v>
          </cell>
          <cell r="S1088">
            <v>0</v>
          </cell>
          <cell r="T1088">
            <v>94775</v>
          </cell>
          <cell r="U1088">
            <v>204581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829749</v>
          </cell>
          <cell r="AA1088">
            <v>929757</v>
          </cell>
          <cell r="AB1088" t="str">
            <v>ERVE</v>
          </cell>
          <cell r="AC1088">
            <v>1101</v>
          </cell>
          <cell r="AD1088">
            <v>2</v>
          </cell>
          <cell r="AE1088">
            <v>37837</v>
          </cell>
        </row>
        <row r="1089">
          <cell r="A1089" t="str">
            <v>SMA</v>
          </cell>
          <cell r="B1089">
            <v>6</v>
          </cell>
          <cell r="C1089" t="str">
            <v>DRAG</v>
          </cell>
          <cell r="D1089">
            <v>64</v>
          </cell>
          <cell r="E1089">
            <v>6</v>
          </cell>
          <cell r="F1089" t="str">
            <v xml:space="preserve">B </v>
          </cell>
          <cell r="G1089">
            <v>0</v>
          </cell>
          <cell r="H1089">
            <v>32</v>
          </cell>
          <cell r="I1089">
            <v>47158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555207</v>
          </cell>
          <cell r="P1089">
            <v>0</v>
          </cell>
          <cell r="Q1089">
            <v>0</v>
          </cell>
          <cell r="R1089">
            <v>285</v>
          </cell>
          <cell r="S1089">
            <v>0</v>
          </cell>
          <cell r="T1089">
            <v>0</v>
          </cell>
          <cell r="U1089">
            <v>138801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555207</v>
          </cell>
          <cell r="AA1089">
            <v>555492</v>
          </cell>
          <cell r="AB1089" t="str">
            <v>ERVE</v>
          </cell>
          <cell r="AC1089">
            <v>1101</v>
          </cell>
          <cell r="AD1089">
            <v>2</v>
          </cell>
          <cell r="AE1089">
            <v>47158</v>
          </cell>
        </row>
        <row r="1090">
          <cell r="A1090" t="str">
            <v>SMA</v>
          </cell>
          <cell r="B1090">
            <v>6</v>
          </cell>
          <cell r="C1090" t="str">
            <v>DRAG</v>
          </cell>
          <cell r="D1090">
            <v>64</v>
          </cell>
          <cell r="E1090">
            <v>7</v>
          </cell>
          <cell r="F1090" t="str">
            <v>A4</v>
          </cell>
          <cell r="G1090">
            <v>20</v>
          </cell>
          <cell r="H1090">
            <v>2</v>
          </cell>
          <cell r="I1090">
            <v>24201</v>
          </cell>
          <cell r="J1090">
            <v>0</v>
          </cell>
          <cell r="K1090">
            <v>0</v>
          </cell>
          <cell r="L1090">
            <v>51</v>
          </cell>
          <cell r="M1090">
            <v>0</v>
          </cell>
          <cell r="N1090">
            <v>0</v>
          </cell>
          <cell r="O1090">
            <v>236042</v>
          </cell>
          <cell r="P1090">
            <v>33864</v>
          </cell>
          <cell r="Q1090">
            <v>2839</v>
          </cell>
          <cell r="R1090">
            <v>0</v>
          </cell>
          <cell r="S1090">
            <v>0</v>
          </cell>
          <cell r="T1090">
            <v>0</v>
          </cell>
          <cell r="U1090">
            <v>68353</v>
          </cell>
          <cell r="V1090">
            <v>0</v>
          </cell>
          <cell r="W1090">
            <v>664</v>
          </cell>
          <cell r="X1090">
            <v>0</v>
          </cell>
          <cell r="Y1090">
            <v>0</v>
          </cell>
          <cell r="Z1090">
            <v>273409</v>
          </cell>
          <cell r="AA1090">
            <v>273409</v>
          </cell>
          <cell r="AB1090" t="str">
            <v>ERVE</v>
          </cell>
          <cell r="AC1090">
            <v>1101</v>
          </cell>
          <cell r="AD1090">
            <v>2</v>
          </cell>
          <cell r="AE1090">
            <v>24201</v>
          </cell>
        </row>
        <row r="1091">
          <cell r="A1091" t="str">
            <v>SMA</v>
          </cell>
          <cell r="B1091">
            <v>6</v>
          </cell>
          <cell r="C1091" t="str">
            <v>DRAG</v>
          </cell>
          <cell r="D1091">
            <v>64</v>
          </cell>
          <cell r="E1091">
            <v>7</v>
          </cell>
          <cell r="F1091" t="str">
            <v xml:space="preserve">B </v>
          </cell>
          <cell r="G1091">
            <v>0</v>
          </cell>
          <cell r="H1091">
            <v>5</v>
          </cell>
          <cell r="I1091">
            <v>976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17269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4317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17269</v>
          </cell>
          <cell r="AA1091">
            <v>17269</v>
          </cell>
          <cell r="AB1091" t="str">
            <v>ERVE</v>
          </cell>
          <cell r="AC1091">
            <v>1101</v>
          </cell>
          <cell r="AD1091">
            <v>2</v>
          </cell>
          <cell r="AE1091">
            <v>948</v>
          </cell>
        </row>
        <row r="1092">
          <cell r="A1092" t="str">
            <v>SMA</v>
          </cell>
          <cell r="B1092">
            <v>6</v>
          </cell>
          <cell r="C1092" t="str">
            <v>DRAG</v>
          </cell>
          <cell r="D1092">
            <v>64</v>
          </cell>
          <cell r="E1092">
            <v>8</v>
          </cell>
          <cell r="F1092" t="str">
            <v xml:space="preserve">B </v>
          </cell>
          <cell r="G1092">
            <v>0</v>
          </cell>
          <cell r="H1092">
            <v>1</v>
          </cell>
          <cell r="I1092">
            <v>1616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33643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8411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33643</v>
          </cell>
          <cell r="AA1092">
            <v>33643</v>
          </cell>
          <cell r="AB1092" t="str">
            <v>ERVE</v>
          </cell>
          <cell r="AC1092">
            <v>1101</v>
          </cell>
          <cell r="AD1092">
            <v>2</v>
          </cell>
          <cell r="AE1092">
            <v>1616</v>
          </cell>
        </row>
        <row r="1093">
          <cell r="A1093" t="str">
            <v>SMA</v>
          </cell>
          <cell r="B1093">
            <v>6</v>
          </cell>
          <cell r="C1093" t="str">
            <v>DRAG</v>
          </cell>
          <cell r="D1093">
            <v>65</v>
          </cell>
          <cell r="E1093">
            <v>1</v>
          </cell>
          <cell r="F1093" t="str">
            <v xml:space="preserve">B </v>
          </cell>
          <cell r="G1093">
            <v>1</v>
          </cell>
          <cell r="H1093">
            <v>2074</v>
          </cell>
          <cell r="I1093">
            <v>42625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686521</v>
          </cell>
          <cell r="P1093">
            <v>0</v>
          </cell>
          <cell r="Q1093">
            <v>0</v>
          </cell>
          <cell r="R1093">
            <v>8947</v>
          </cell>
          <cell r="S1093">
            <v>0</v>
          </cell>
          <cell r="T1093">
            <v>63580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37715</v>
          </cell>
          <cell r="Z1093">
            <v>686521</v>
          </cell>
          <cell r="AA1093">
            <v>796763</v>
          </cell>
          <cell r="AB1093" t="str">
            <v>ERCT</v>
          </cell>
          <cell r="AC1093">
            <v>1101</v>
          </cell>
          <cell r="AD1093">
            <v>2</v>
          </cell>
          <cell r="AE1093">
            <v>31611</v>
          </cell>
        </row>
        <row r="1094">
          <cell r="A1094" t="str">
            <v>SMA</v>
          </cell>
          <cell r="B1094">
            <v>6</v>
          </cell>
          <cell r="C1094" t="str">
            <v>DRAG</v>
          </cell>
          <cell r="D1094">
            <v>65</v>
          </cell>
          <cell r="E1094">
            <v>1</v>
          </cell>
          <cell r="F1094" t="str">
            <v xml:space="preserve">B </v>
          </cell>
          <cell r="G1094">
            <v>2</v>
          </cell>
          <cell r="H1094">
            <v>1226</v>
          </cell>
          <cell r="I1094">
            <v>50529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980022</v>
          </cell>
          <cell r="P1094">
            <v>0</v>
          </cell>
          <cell r="Q1094">
            <v>0</v>
          </cell>
          <cell r="R1094">
            <v>10462</v>
          </cell>
          <cell r="S1094">
            <v>0</v>
          </cell>
          <cell r="T1094">
            <v>13733</v>
          </cell>
          <cell r="U1094">
            <v>166563</v>
          </cell>
          <cell r="V1094">
            <v>94</v>
          </cell>
          <cell r="W1094">
            <v>0</v>
          </cell>
          <cell r="X1094">
            <v>0</v>
          </cell>
          <cell r="Y1094">
            <v>29195</v>
          </cell>
          <cell r="Z1094">
            <v>980022</v>
          </cell>
          <cell r="AA1094">
            <v>1033506</v>
          </cell>
          <cell r="AB1094" t="str">
            <v>ERCT</v>
          </cell>
          <cell r="AC1094">
            <v>1101</v>
          </cell>
          <cell r="AD1094">
            <v>2</v>
          </cell>
          <cell r="AE1094">
            <v>50529</v>
          </cell>
        </row>
        <row r="1095">
          <cell r="A1095" t="str">
            <v>SMA</v>
          </cell>
          <cell r="B1095">
            <v>6</v>
          </cell>
          <cell r="C1095" t="str">
            <v>DRAG</v>
          </cell>
          <cell r="D1095">
            <v>65</v>
          </cell>
          <cell r="E1095">
            <v>1</v>
          </cell>
          <cell r="F1095" t="str">
            <v xml:space="preserve">B </v>
          </cell>
          <cell r="G1095">
            <v>3</v>
          </cell>
          <cell r="H1095">
            <v>3612</v>
          </cell>
          <cell r="I1095">
            <v>262258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5086257</v>
          </cell>
          <cell r="P1095">
            <v>0</v>
          </cell>
          <cell r="Q1095">
            <v>0</v>
          </cell>
          <cell r="R1095">
            <v>44716</v>
          </cell>
          <cell r="S1095">
            <v>0</v>
          </cell>
          <cell r="T1095">
            <v>30916</v>
          </cell>
          <cell r="U1095">
            <v>864674</v>
          </cell>
          <cell r="V1095">
            <v>0</v>
          </cell>
          <cell r="W1095">
            <v>0</v>
          </cell>
          <cell r="X1095">
            <v>0</v>
          </cell>
          <cell r="Y1095">
            <v>160716</v>
          </cell>
          <cell r="Z1095">
            <v>5086257</v>
          </cell>
          <cell r="AA1095">
            <v>5322605</v>
          </cell>
          <cell r="AB1095" t="str">
            <v>ERCT</v>
          </cell>
          <cell r="AC1095">
            <v>1101</v>
          </cell>
          <cell r="AD1095">
            <v>2</v>
          </cell>
          <cell r="AE1095">
            <v>262031</v>
          </cell>
        </row>
        <row r="1096">
          <cell r="A1096" t="str">
            <v>SMA</v>
          </cell>
          <cell r="B1096">
            <v>6</v>
          </cell>
          <cell r="C1096" t="str">
            <v>DRAG</v>
          </cell>
          <cell r="D1096">
            <v>65</v>
          </cell>
          <cell r="E1096">
            <v>1</v>
          </cell>
          <cell r="F1096" t="str">
            <v xml:space="preserve">B </v>
          </cell>
          <cell r="G1096">
            <v>4</v>
          </cell>
          <cell r="H1096">
            <v>995</v>
          </cell>
          <cell r="I1096">
            <v>118884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2305955</v>
          </cell>
          <cell r="P1096">
            <v>0</v>
          </cell>
          <cell r="Q1096">
            <v>0</v>
          </cell>
          <cell r="R1096">
            <v>27211</v>
          </cell>
          <cell r="S1096">
            <v>0</v>
          </cell>
          <cell r="T1096">
            <v>19759</v>
          </cell>
          <cell r="U1096">
            <v>392029</v>
          </cell>
          <cell r="V1096">
            <v>0</v>
          </cell>
          <cell r="W1096">
            <v>0</v>
          </cell>
          <cell r="X1096">
            <v>0</v>
          </cell>
          <cell r="Y1096">
            <v>70174</v>
          </cell>
          <cell r="Z1096">
            <v>2305955</v>
          </cell>
          <cell r="AA1096">
            <v>2423099</v>
          </cell>
          <cell r="AB1096" t="str">
            <v>ERCT</v>
          </cell>
          <cell r="AC1096">
            <v>1101</v>
          </cell>
          <cell r="AD1096">
            <v>2</v>
          </cell>
          <cell r="AE1096">
            <v>118884</v>
          </cell>
        </row>
        <row r="1097">
          <cell r="A1097" t="str">
            <v>SMA</v>
          </cell>
          <cell r="B1097">
            <v>6</v>
          </cell>
          <cell r="C1097" t="str">
            <v>DRAG</v>
          </cell>
          <cell r="D1097">
            <v>65</v>
          </cell>
          <cell r="E1097">
            <v>1</v>
          </cell>
          <cell r="F1097" t="str">
            <v xml:space="preserve">B </v>
          </cell>
          <cell r="G1097">
            <v>5</v>
          </cell>
          <cell r="H1097">
            <v>301</v>
          </cell>
          <cell r="I1097">
            <v>51123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991557</v>
          </cell>
          <cell r="P1097">
            <v>0</v>
          </cell>
          <cell r="Q1097">
            <v>0</v>
          </cell>
          <cell r="R1097">
            <v>12484</v>
          </cell>
          <cell r="S1097">
            <v>0</v>
          </cell>
          <cell r="T1097">
            <v>5155</v>
          </cell>
          <cell r="U1097">
            <v>168574</v>
          </cell>
          <cell r="V1097">
            <v>0</v>
          </cell>
          <cell r="W1097">
            <v>0</v>
          </cell>
          <cell r="X1097">
            <v>0</v>
          </cell>
          <cell r="Y1097">
            <v>25963</v>
          </cell>
          <cell r="Z1097">
            <v>991557</v>
          </cell>
          <cell r="AA1097">
            <v>1035159</v>
          </cell>
          <cell r="AB1097" t="str">
            <v>ERCT</v>
          </cell>
          <cell r="AC1097">
            <v>1101</v>
          </cell>
          <cell r="AD1097">
            <v>2</v>
          </cell>
          <cell r="AE1097">
            <v>51123</v>
          </cell>
        </row>
        <row r="1098">
          <cell r="A1098" t="str">
            <v>SMA</v>
          </cell>
          <cell r="B1098">
            <v>6</v>
          </cell>
          <cell r="C1098" t="str">
            <v>DRAG</v>
          </cell>
          <cell r="D1098">
            <v>65</v>
          </cell>
          <cell r="E1098">
            <v>1</v>
          </cell>
          <cell r="F1098" t="str">
            <v xml:space="preserve">B </v>
          </cell>
          <cell r="G1098">
            <v>6</v>
          </cell>
          <cell r="H1098">
            <v>175</v>
          </cell>
          <cell r="I1098">
            <v>41813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811023</v>
          </cell>
          <cell r="P1098">
            <v>0</v>
          </cell>
          <cell r="Q1098">
            <v>0</v>
          </cell>
          <cell r="R1098">
            <v>11016</v>
          </cell>
          <cell r="S1098">
            <v>0</v>
          </cell>
          <cell r="T1098">
            <v>3342</v>
          </cell>
          <cell r="U1098">
            <v>137914</v>
          </cell>
          <cell r="V1098">
            <v>0</v>
          </cell>
          <cell r="W1098">
            <v>0</v>
          </cell>
          <cell r="X1098">
            <v>0</v>
          </cell>
          <cell r="Y1098">
            <v>19255</v>
          </cell>
          <cell r="Z1098">
            <v>811023</v>
          </cell>
          <cell r="AA1098">
            <v>844636</v>
          </cell>
          <cell r="AB1098" t="str">
            <v>ERCT</v>
          </cell>
          <cell r="AC1098">
            <v>1101</v>
          </cell>
          <cell r="AD1098">
            <v>2</v>
          </cell>
          <cell r="AE1098">
            <v>41813</v>
          </cell>
        </row>
        <row r="1099">
          <cell r="A1099" t="str">
            <v>SMA</v>
          </cell>
          <cell r="B1099">
            <v>6</v>
          </cell>
          <cell r="C1099" t="str">
            <v>DRAG</v>
          </cell>
          <cell r="D1099">
            <v>65</v>
          </cell>
          <cell r="E1099">
            <v>1</v>
          </cell>
          <cell r="F1099" t="str">
            <v xml:space="preserve">B </v>
          </cell>
          <cell r="G1099">
            <v>7</v>
          </cell>
          <cell r="H1099">
            <v>37</v>
          </cell>
          <cell r="I1099">
            <v>12000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241497</v>
          </cell>
          <cell r="P1099">
            <v>0</v>
          </cell>
          <cell r="Q1099">
            <v>0</v>
          </cell>
          <cell r="R1099">
            <v>2823</v>
          </cell>
          <cell r="S1099">
            <v>0</v>
          </cell>
          <cell r="T1099">
            <v>142</v>
          </cell>
          <cell r="U1099">
            <v>48315</v>
          </cell>
          <cell r="V1099">
            <v>0</v>
          </cell>
          <cell r="W1099">
            <v>0</v>
          </cell>
          <cell r="X1099">
            <v>0</v>
          </cell>
          <cell r="Y1099">
            <v>5749</v>
          </cell>
          <cell r="Z1099">
            <v>241497</v>
          </cell>
          <cell r="AA1099">
            <v>250211</v>
          </cell>
          <cell r="AB1099" t="str">
            <v>ERCT</v>
          </cell>
          <cell r="AC1099">
            <v>1101</v>
          </cell>
          <cell r="AD1099">
            <v>2</v>
          </cell>
          <cell r="AE1099">
            <v>12000</v>
          </cell>
        </row>
        <row r="1100">
          <cell r="A1100" t="str">
            <v>SMA</v>
          </cell>
          <cell r="B1100">
            <v>6</v>
          </cell>
          <cell r="C1100" t="str">
            <v>DRAG</v>
          </cell>
          <cell r="D1100">
            <v>65</v>
          </cell>
          <cell r="E1100">
            <v>1</v>
          </cell>
          <cell r="F1100" t="str">
            <v xml:space="preserve">B </v>
          </cell>
          <cell r="G1100">
            <v>8</v>
          </cell>
          <cell r="H1100">
            <v>10</v>
          </cell>
          <cell r="I1100">
            <v>4349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87514</v>
          </cell>
          <cell r="P1100">
            <v>0</v>
          </cell>
          <cell r="Q1100">
            <v>0</v>
          </cell>
          <cell r="R1100">
            <v>1336</v>
          </cell>
          <cell r="S1100">
            <v>0</v>
          </cell>
          <cell r="T1100">
            <v>4880</v>
          </cell>
          <cell r="U1100">
            <v>17506</v>
          </cell>
          <cell r="V1100">
            <v>0</v>
          </cell>
          <cell r="W1100">
            <v>0</v>
          </cell>
          <cell r="X1100">
            <v>0</v>
          </cell>
          <cell r="Y1100">
            <v>1402</v>
          </cell>
          <cell r="Z1100">
            <v>87514</v>
          </cell>
          <cell r="AA1100">
            <v>95132</v>
          </cell>
          <cell r="AB1100" t="str">
            <v>ERCT</v>
          </cell>
          <cell r="AC1100">
            <v>1101</v>
          </cell>
          <cell r="AD1100">
            <v>2</v>
          </cell>
          <cell r="AE1100">
            <v>4349</v>
          </cell>
        </row>
        <row r="1101">
          <cell r="A1101" t="str">
            <v>SMA</v>
          </cell>
          <cell r="B1101">
            <v>6</v>
          </cell>
          <cell r="C1101" t="str">
            <v>DRAG</v>
          </cell>
          <cell r="D1101">
            <v>65</v>
          </cell>
          <cell r="E1101">
            <v>1</v>
          </cell>
          <cell r="F1101" t="str">
            <v xml:space="preserve">B </v>
          </cell>
          <cell r="G1101">
            <v>9</v>
          </cell>
          <cell r="H1101">
            <v>12</v>
          </cell>
          <cell r="I1101">
            <v>7349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157731</v>
          </cell>
          <cell r="P1101">
            <v>0</v>
          </cell>
          <cell r="Q1101">
            <v>0</v>
          </cell>
          <cell r="R1101">
            <v>2757</v>
          </cell>
          <cell r="S1101">
            <v>0</v>
          </cell>
          <cell r="T1101">
            <v>9827</v>
          </cell>
          <cell r="U1101">
            <v>39444</v>
          </cell>
          <cell r="V1101">
            <v>0</v>
          </cell>
          <cell r="W1101">
            <v>0</v>
          </cell>
          <cell r="X1101">
            <v>0</v>
          </cell>
          <cell r="Y1101">
            <v>2851</v>
          </cell>
          <cell r="Z1101">
            <v>157731</v>
          </cell>
          <cell r="AA1101">
            <v>173166</v>
          </cell>
          <cell r="AB1101" t="str">
            <v>ERCT</v>
          </cell>
          <cell r="AC1101">
            <v>1101</v>
          </cell>
          <cell r="AD1101">
            <v>2</v>
          </cell>
          <cell r="AE1101">
            <v>7349</v>
          </cell>
        </row>
        <row r="1102">
          <cell r="A1102" t="str">
            <v>SMA</v>
          </cell>
          <cell r="B1102">
            <v>6</v>
          </cell>
          <cell r="C1102" t="str">
            <v>DRAG</v>
          </cell>
          <cell r="D1102">
            <v>65</v>
          </cell>
          <cell r="E1102">
            <v>1</v>
          </cell>
          <cell r="F1102" t="str">
            <v xml:space="preserve">B </v>
          </cell>
          <cell r="G1102">
            <v>10</v>
          </cell>
          <cell r="H1102">
            <v>7</v>
          </cell>
          <cell r="I1102">
            <v>17582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377323</v>
          </cell>
          <cell r="P1102">
            <v>0</v>
          </cell>
          <cell r="Q1102">
            <v>0</v>
          </cell>
          <cell r="R1102">
            <v>2247</v>
          </cell>
          <cell r="S1102">
            <v>0</v>
          </cell>
          <cell r="T1102">
            <v>1160</v>
          </cell>
          <cell r="U1102">
            <v>94334</v>
          </cell>
          <cell r="V1102">
            <v>0</v>
          </cell>
          <cell r="W1102">
            <v>0</v>
          </cell>
          <cell r="X1102">
            <v>0</v>
          </cell>
          <cell r="Y1102">
            <v>1800</v>
          </cell>
          <cell r="Z1102">
            <v>377323</v>
          </cell>
          <cell r="AA1102">
            <v>382530</v>
          </cell>
          <cell r="AB1102" t="str">
            <v>ERCT</v>
          </cell>
          <cell r="AC1102">
            <v>1101</v>
          </cell>
          <cell r="AD1102">
            <v>2</v>
          </cell>
          <cell r="AE1102">
            <v>17582</v>
          </cell>
        </row>
        <row r="1103">
          <cell r="A1103" t="str">
            <v>SMA</v>
          </cell>
          <cell r="B1103">
            <v>6</v>
          </cell>
          <cell r="C1103" t="str">
            <v>DRAG</v>
          </cell>
          <cell r="D1103">
            <v>65</v>
          </cell>
          <cell r="E1103">
            <v>1</v>
          </cell>
          <cell r="F1103" t="str">
            <v xml:space="preserve">B </v>
          </cell>
          <cell r="G1103">
            <v>11</v>
          </cell>
          <cell r="H1103">
            <v>4793</v>
          </cell>
          <cell r="I1103">
            <v>103241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582140</v>
          </cell>
          <cell r="P1103">
            <v>0</v>
          </cell>
          <cell r="Q1103">
            <v>0</v>
          </cell>
          <cell r="R1103">
            <v>7244</v>
          </cell>
          <cell r="S1103">
            <v>0</v>
          </cell>
          <cell r="T1103">
            <v>25733</v>
          </cell>
          <cell r="U1103">
            <v>0</v>
          </cell>
          <cell r="V1103">
            <v>94</v>
          </cell>
          <cell r="W1103">
            <v>0</v>
          </cell>
          <cell r="X1103">
            <v>0</v>
          </cell>
          <cell r="Y1103">
            <v>73388</v>
          </cell>
          <cell r="Z1103">
            <v>582140</v>
          </cell>
          <cell r="AA1103">
            <v>688599</v>
          </cell>
          <cell r="AB1103" t="str">
            <v>ERCT</v>
          </cell>
          <cell r="AC1103">
            <v>1101</v>
          </cell>
          <cell r="AD1103">
            <v>2</v>
          </cell>
          <cell r="AE1103">
            <v>77026</v>
          </cell>
        </row>
        <row r="1104">
          <cell r="A1104" t="str">
            <v>SMA</v>
          </cell>
          <cell r="B1104">
            <v>6</v>
          </cell>
          <cell r="C1104" t="str">
            <v>DRAG</v>
          </cell>
          <cell r="D1104">
            <v>65</v>
          </cell>
          <cell r="E1104">
            <v>1</v>
          </cell>
          <cell r="F1104" t="str">
            <v xml:space="preserve">B </v>
          </cell>
          <cell r="G1104">
            <v>12</v>
          </cell>
          <cell r="H1104">
            <v>4507</v>
          </cell>
          <cell r="I1104">
            <v>257265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2339915</v>
          </cell>
          <cell r="P1104">
            <v>0</v>
          </cell>
          <cell r="Q1104">
            <v>0</v>
          </cell>
          <cell r="R1104">
            <v>23279</v>
          </cell>
          <cell r="S1104">
            <v>0</v>
          </cell>
          <cell r="T1104">
            <v>20695</v>
          </cell>
          <cell r="U1104">
            <v>397961</v>
          </cell>
          <cell r="V1104">
            <v>94</v>
          </cell>
          <cell r="W1104">
            <v>0</v>
          </cell>
          <cell r="X1104">
            <v>0</v>
          </cell>
          <cell r="Y1104">
            <v>163003</v>
          </cell>
          <cell r="Z1104">
            <v>2339915</v>
          </cell>
          <cell r="AA1104">
            <v>2546986</v>
          </cell>
          <cell r="AB1104" t="str">
            <v>ERCT</v>
          </cell>
          <cell r="AC1104">
            <v>1101</v>
          </cell>
          <cell r="AD1104">
            <v>2</v>
          </cell>
          <cell r="AE1104">
            <v>257265</v>
          </cell>
        </row>
        <row r="1105">
          <cell r="A1105" t="str">
            <v>SMA</v>
          </cell>
          <cell r="B1105">
            <v>6</v>
          </cell>
          <cell r="C1105" t="str">
            <v>DRAG</v>
          </cell>
          <cell r="D1105">
            <v>65</v>
          </cell>
          <cell r="E1105">
            <v>1</v>
          </cell>
          <cell r="F1105" t="str">
            <v xml:space="preserve">B </v>
          </cell>
          <cell r="G1105">
            <v>13</v>
          </cell>
          <cell r="H1105">
            <v>236</v>
          </cell>
          <cell r="I1105">
            <v>26984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313303</v>
          </cell>
          <cell r="P1105">
            <v>0</v>
          </cell>
          <cell r="Q1105">
            <v>0</v>
          </cell>
          <cell r="R1105">
            <v>3703</v>
          </cell>
          <cell r="S1105">
            <v>0</v>
          </cell>
          <cell r="T1105">
            <v>5694</v>
          </cell>
          <cell r="U1105">
            <v>53278</v>
          </cell>
          <cell r="V1105">
            <v>0</v>
          </cell>
          <cell r="W1105">
            <v>0</v>
          </cell>
          <cell r="X1105">
            <v>0</v>
          </cell>
          <cell r="Y1105">
            <v>18662</v>
          </cell>
          <cell r="Z1105">
            <v>313303</v>
          </cell>
          <cell r="AA1105">
            <v>341362</v>
          </cell>
          <cell r="AB1105" t="str">
            <v>ERCT</v>
          </cell>
          <cell r="AC1105">
            <v>1101</v>
          </cell>
          <cell r="AD1105">
            <v>2</v>
          </cell>
          <cell r="AE1105">
            <v>26984</v>
          </cell>
        </row>
        <row r="1106">
          <cell r="A1106" t="str">
            <v>SMA</v>
          </cell>
          <cell r="B1106">
            <v>6</v>
          </cell>
          <cell r="C1106" t="str">
            <v>DRAG</v>
          </cell>
          <cell r="D1106">
            <v>65</v>
          </cell>
          <cell r="E1106">
            <v>1</v>
          </cell>
          <cell r="F1106" t="str">
            <v xml:space="preserve">B </v>
          </cell>
          <cell r="G1106">
            <v>14</v>
          </cell>
          <cell r="H1106">
            <v>14</v>
          </cell>
          <cell r="I1106">
            <v>1934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24519</v>
          </cell>
          <cell r="P1106">
            <v>0</v>
          </cell>
          <cell r="Q1106">
            <v>0</v>
          </cell>
          <cell r="R1106">
            <v>207</v>
          </cell>
          <cell r="S1106">
            <v>0</v>
          </cell>
          <cell r="T1106">
            <v>295</v>
          </cell>
          <cell r="U1106">
            <v>4169</v>
          </cell>
          <cell r="V1106">
            <v>0</v>
          </cell>
          <cell r="W1106">
            <v>0</v>
          </cell>
          <cell r="X1106">
            <v>0</v>
          </cell>
          <cell r="Y1106">
            <v>1486</v>
          </cell>
          <cell r="Z1106">
            <v>24519</v>
          </cell>
          <cell r="AA1106">
            <v>26507</v>
          </cell>
          <cell r="AB1106" t="str">
            <v>ERCT</v>
          </cell>
          <cell r="AC1106">
            <v>1101</v>
          </cell>
          <cell r="AD1106">
            <v>2</v>
          </cell>
          <cell r="AE1106">
            <v>1934</v>
          </cell>
        </row>
        <row r="1107">
          <cell r="A1107" t="str">
            <v>SMA</v>
          </cell>
          <cell r="B1107">
            <v>6</v>
          </cell>
          <cell r="C1107" t="str">
            <v>DRAG</v>
          </cell>
          <cell r="D1107">
            <v>65</v>
          </cell>
          <cell r="E1107">
            <v>1</v>
          </cell>
          <cell r="F1107" t="str">
            <v xml:space="preserve">B </v>
          </cell>
          <cell r="G1107">
            <v>15</v>
          </cell>
          <cell r="H1107">
            <v>9</v>
          </cell>
          <cell r="I1107">
            <v>777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9708</v>
          </cell>
          <cell r="P1107">
            <v>0</v>
          </cell>
          <cell r="Q1107">
            <v>0</v>
          </cell>
          <cell r="R1107">
            <v>665</v>
          </cell>
          <cell r="S1107">
            <v>0</v>
          </cell>
          <cell r="T1107">
            <v>0</v>
          </cell>
          <cell r="U1107">
            <v>1397</v>
          </cell>
          <cell r="V1107">
            <v>0</v>
          </cell>
          <cell r="W1107">
            <v>0</v>
          </cell>
          <cell r="X1107">
            <v>0</v>
          </cell>
          <cell r="Y1107">
            <v>397</v>
          </cell>
          <cell r="Z1107">
            <v>9708</v>
          </cell>
          <cell r="AA1107">
            <v>10770</v>
          </cell>
          <cell r="AB1107" t="str">
            <v>ERCT</v>
          </cell>
          <cell r="AC1107">
            <v>1101</v>
          </cell>
          <cell r="AD1107">
            <v>2</v>
          </cell>
          <cell r="AE1107">
            <v>777</v>
          </cell>
        </row>
        <row r="1108">
          <cell r="A1108" t="str">
            <v>SMA</v>
          </cell>
          <cell r="B1108">
            <v>6</v>
          </cell>
          <cell r="C1108" t="str">
            <v>DRAG</v>
          </cell>
          <cell r="D1108">
            <v>65</v>
          </cell>
          <cell r="E1108">
            <v>2</v>
          </cell>
          <cell r="F1108" t="str">
            <v>A4</v>
          </cell>
          <cell r="G1108">
            <v>22</v>
          </cell>
          <cell r="H1108">
            <v>1</v>
          </cell>
          <cell r="I1108">
            <v>480162</v>
          </cell>
          <cell r="J1108">
            <v>31237</v>
          </cell>
          <cell r="K1108">
            <v>448925</v>
          </cell>
          <cell r="L1108">
            <v>2154</v>
          </cell>
          <cell r="M1108">
            <v>1094</v>
          </cell>
          <cell r="N1108">
            <v>1060</v>
          </cell>
          <cell r="O1108">
            <v>3323140</v>
          </cell>
          <cell r="P1108">
            <v>2950496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1568409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6273636</v>
          </cell>
          <cell r="AA1108">
            <v>6273636</v>
          </cell>
          <cell r="AB1108" t="str">
            <v>ERCT</v>
          </cell>
          <cell r="AC1108">
            <v>1101</v>
          </cell>
          <cell r="AD1108">
            <v>2</v>
          </cell>
          <cell r="AE1108">
            <v>480162</v>
          </cell>
        </row>
        <row r="1109">
          <cell r="A1109" t="str">
            <v>SMA</v>
          </cell>
          <cell r="B1109">
            <v>6</v>
          </cell>
          <cell r="C1109" t="str">
            <v>DRAG</v>
          </cell>
          <cell r="D1109">
            <v>65</v>
          </cell>
          <cell r="E1109">
            <v>2</v>
          </cell>
          <cell r="F1109" t="str">
            <v>A4</v>
          </cell>
          <cell r="G1109">
            <v>21</v>
          </cell>
          <cell r="H1109">
            <v>1</v>
          </cell>
          <cell r="I1109">
            <v>22073</v>
          </cell>
          <cell r="J1109">
            <v>1888</v>
          </cell>
          <cell r="K1109">
            <v>20185</v>
          </cell>
          <cell r="L1109">
            <v>203</v>
          </cell>
          <cell r="M1109">
            <v>203</v>
          </cell>
          <cell r="N1109">
            <v>0</v>
          </cell>
          <cell r="O1109">
            <v>246400</v>
          </cell>
          <cell r="P1109">
            <v>140205</v>
          </cell>
          <cell r="Q1109">
            <v>575</v>
          </cell>
          <cell r="R1109">
            <v>10636</v>
          </cell>
          <cell r="S1109">
            <v>0</v>
          </cell>
          <cell r="T1109">
            <v>0</v>
          </cell>
          <cell r="U1109">
            <v>96795</v>
          </cell>
          <cell r="V1109">
            <v>0</v>
          </cell>
          <cell r="W1109">
            <v>0</v>
          </cell>
          <cell r="X1109">
            <v>0</v>
          </cell>
          <cell r="Y1109">
            <v>47</v>
          </cell>
          <cell r="Z1109">
            <v>387180</v>
          </cell>
          <cell r="AA1109">
            <v>397863</v>
          </cell>
          <cell r="AB1109" t="str">
            <v>ERCT</v>
          </cell>
          <cell r="AC1109">
            <v>1101</v>
          </cell>
          <cell r="AD1109">
            <v>2</v>
          </cell>
          <cell r="AE1109">
            <v>22073</v>
          </cell>
        </row>
        <row r="1110">
          <cell r="A1110" t="str">
            <v>SMA</v>
          </cell>
          <cell r="B1110">
            <v>6</v>
          </cell>
          <cell r="C1110" t="str">
            <v>DRAG</v>
          </cell>
          <cell r="D1110">
            <v>65</v>
          </cell>
          <cell r="E1110">
            <v>2</v>
          </cell>
          <cell r="F1110" t="str">
            <v xml:space="preserve">B </v>
          </cell>
          <cell r="G1110">
            <v>0</v>
          </cell>
          <cell r="H1110">
            <v>69</v>
          </cell>
          <cell r="I1110">
            <v>32986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686707</v>
          </cell>
          <cell r="P1110">
            <v>0</v>
          </cell>
          <cell r="Q1110">
            <v>0</v>
          </cell>
          <cell r="R1110">
            <v>9213</v>
          </cell>
          <cell r="S1110">
            <v>0</v>
          </cell>
          <cell r="T1110">
            <v>20379</v>
          </cell>
          <cell r="U1110">
            <v>170416</v>
          </cell>
          <cell r="V1110">
            <v>0</v>
          </cell>
          <cell r="W1110">
            <v>0</v>
          </cell>
          <cell r="X1110">
            <v>0</v>
          </cell>
          <cell r="Y1110">
            <v>4489</v>
          </cell>
          <cell r="Z1110">
            <v>686707</v>
          </cell>
          <cell r="AA1110">
            <v>720788</v>
          </cell>
          <cell r="AB1110" t="str">
            <v>ERCT</v>
          </cell>
          <cell r="AC1110">
            <v>1101</v>
          </cell>
          <cell r="AD1110">
            <v>2</v>
          </cell>
          <cell r="AE1110">
            <v>31966</v>
          </cell>
        </row>
        <row r="1111">
          <cell r="A1111" t="str">
            <v>SMA</v>
          </cell>
          <cell r="B1111">
            <v>6</v>
          </cell>
          <cell r="C1111" t="str">
            <v>DRAG</v>
          </cell>
          <cell r="D1111">
            <v>65</v>
          </cell>
          <cell r="E1111">
            <v>3</v>
          </cell>
          <cell r="F1111" t="str">
            <v>A4</v>
          </cell>
          <cell r="G1111">
            <v>20</v>
          </cell>
          <cell r="H1111">
            <v>3</v>
          </cell>
          <cell r="I1111">
            <v>16237</v>
          </cell>
          <cell r="J1111">
            <v>0</v>
          </cell>
          <cell r="K1111">
            <v>0</v>
          </cell>
          <cell r="L1111">
            <v>106</v>
          </cell>
          <cell r="M1111">
            <v>0</v>
          </cell>
          <cell r="N1111">
            <v>0</v>
          </cell>
          <cell r="O1111">
            <v>186314</v>
          </cell>
          <cell r="P1111">
            <v>82962</v>
          </cell>
          <cell r="Q1111">
            <v>53724</v>
          </cell>
          <cell r="R1111">
            <v>1744</v>
          </cell>
          <cell r="S1111">
            <v>0</v>
          </cell>
          <cell r="T1111">
            <v>0</v>
          </cell>
          <cell r="U1111">
            <v>85446</v>
          </cell>
          <cell r="V1111">
            <v>0</v>
          </cell>
          <cell r="W1111">
            <v>18784</v>
          </cell>
          <cell r="X1111">
            <v>0</v>
          </cell>
          <cell r="Y1111">
            <v>3506</v>
          </cell>
          <cell r="Z1111">
            <v>341784</v>
          </cell>
          <cell r="AA1111">
            <v>347034</v>
          </cell>
          <cell r="AB1111" t="str">
            <v>ERCT</v>
          </cell>
          <cell r="AC1111">
            <v>1101</v>
          </cell>
          <cell r="AD1111">
            <v>2</v>
          </cell>
          <cell r="AE1111">
            <v>16237</v>
          </cell>
        </row>
        <row r="1112">
          <cell r="A1112" t="str">
            <v>SMA</v>
          </cell>
          <cell r="B1112">
            <v>6</v>
          </cell>
          <cell r="C1112" t="str">
            <v>DRAG</v>
          </cell>
          <cell r="D1112">
            <v>65</v>
          </cell>
          <cell r="E1112">
            <v>3</v>
          </cell>
          <cell r="F1112" t="str">
            <v xml:space="preserve">B </v>
          </cell>
          <cell r="G1112">
            <v>0</v>
          </cell>
          <cell r="H1112">
            <v>912</v>
          </cell>
          <cell r="I1112">
            <v>161171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3356261</v>
          </cell>
          <cell r="P1112">
            <v>0</v>
          </cell>
          <cell r="Q1112">
            <v>0</v>
          </cell>
          <cell r="R1112">
            <v>44479</v>
          </cell>
          <cell r="S1112">
            <v>0</v>
          </cell>
          <cell r="T1112">
            <v>80215</v>
          </cell>
          <cell r="U1112">
            <v>816480</v>
          </cell>
          <cell r="V1112">
            <v>0</v>
          </cell>
          <cell r="W1112">
            <v>0</v>
          </cell>
          <cell r="X1112">
            <v>0</v>
          </cell>
          <cell r="Y1112">
            <v>57221</v>
          </cell>
          <cell r="Z1112">
            <v>3356261</v>
          </cell>
          <cell r="AA1112">
            <v>3538176</v>
          </cell>
          <cell r="AB1112" t="str">
            <v>ERCT</v>
          </cell>
          <cell r="AC1112">
            <v>1101</v>
          </cell>
          <cell r="AD1112">
            <v>2</v>
          </cell>
          <cell r="AE1112">
            <v>154825</v>
          </cell>
        </row>
        <row r="1113">
          <cell r="A1113" t="str">
            <v>SMA</v>
          </cell>
          <cell r="B1113">
            <v>6</v>
          </cell>
          <cell r="C1113" t="str">
            <v>DRAG</v>
          </cell>
          <cell r="D1113">
            <v>65</v>
          </cell>
          <cell r="E1113">
            <v>4</v>
          </cell>
          <cell r="F1113" t="str">
            <v xml:space="preserve">B </v>
          </cell>
          <cell r="G1113">
            <v>0</v>
          </cell>
          <cell r="H1113">
            <v>226</v>
          </cell>
          <cell r="I1113">
            <v>93229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917372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9787</v>
          </cell>
          <cell r="U1113">
            <v>0</v>
          </cell>
          <cell r="V1113">
            <v>2830</v>
          </cell>
          <cell r="W1113">
            <v>0</v>
          </cell>
          <cell r="X1113">
            <v>0</v>
          </cell>
          <cell r="Y1113">
            <v>0</v>
          </cell>
          <cell r="Z1113">
            <v>917372</v>
          </cell>
          <cell r="AA1113">
            <v>929989</v>
          </cell>
          <cell r="AB1113" t="str">
            <v>ERCT</v>
          </cell>
          <cell r="AC1113">
            <v>1101</v>
          </cell>
          <cell r="AD1113">
            <v>2</v>
          </cell>
          <cell r="AE1113">
            <v>89883</v>
          </cell>
        </row>
        <row r="1114">
          <cell r="A1114" t="str">
            <v>SMA</v>
          </cell>
          <cell r="B1114">
            <v>6</v>
          </cell>
          <cell r="C1114" t="str">
            <v>DRAG</v>
          </cell>
          <cell r="D1114">
            <v>65</v>
          </cell>
          <cell r="E1114">
            <v>5</v>
          </cell>
          <cell r="F1114" t="str">
            <v xml:space="preserve">B </v>
          </cell>
          <cell r="G1114">
            <v>0</v>
          </cell>
          <cell r="H1114">
            <v>302</v>
          </cell>
          <cell r="I1114">
            <v>91793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1842144</v>
          </cell>
          <cell r="P1114">
            <v>0</v>
          </cell>
          <cell r="Q1114">
            <v>0</v>
          </cell>
          <cell r="R1114">
            <v>9803</v>
          </cell>
          <cell r="S1114">
            <v>0</v>
          </cell>
          <cell r="T1114">
            <v>2070</v>
          </cell>
          <cell r="U1114">
            <v>408938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1842144</v>
          </cell>
          <cell r="AA1114">
            <v>1854017</v>
          </cell>
          <cell r="AB1114" t="str">
            <v>ERCT</v>
          </cell>
          <cell r="AC1114">
            <v>1101</v>
          </cell>
          <cell r="AD1114">
            <v>2</v>
          </cell>
          <cell r="AE1114">
            <v>89336</v>
          </cell>
        </row>
        <row r="1115">
          <cell r="A1115" t="str">
            <v>SMA</v>
          </cell>
          <cell r="B1115">
            <v>6</v>
          </cell>
          <cell r="C1115" t="str">
            <v>DRAG</v>
          </cell>
          <cell r="D1115">
            <v>65</v>
          </cell>
          <cell r="E1115">
            <v>6</v>
          </cell>
          <cell r="F1115" t="str">
            <v xml:space="preserve">B </v>
          </cell>
          <cell r="G1115">
            <v>0</v>
          </cell>
          <cell r="H1115">
            <v>22</v>
          </cell>
          <cell r="I1115">
            <v>149300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1757762</v>
          </cell>
          <cell r="P1115">
            <v>0</v>
          </cell>
          <cell r="Q1115">
            <v>0</v>
          </cell>
          <cell r="R1115">
            <v>11317</v>
          </cell>
          <cell r="S1115">
            <v>0</v>
          </cell>
          <cell r="T1115">
            <v>0</v>
          </cell>
          <cell r="U1115">
            <v>439442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1757762</v>
          </cell>
          <cell r="AA1115">
            <v>1769079</v>
          </cell>
          <cell r="AB1115" t="str">
            <v>ERCT</v>
          </cell>
          <cell r="AC1115">
            <v>1101</v>
          </cell>
          <cell r="AD1115">
            <v>2</v>
          </cell>
          <cell r="AE1115">
            <v>149300</v>
          </cell>
        </row>
        <row r="1116">
          <cell r="A1116" t="str">
            <v>SMA</v>
          </cell>
          <cell r="B1116">
            <v>6</v>
          </cell>
          <cell r="C1116" t="str">
            <v>DRAG</v>
          </cell>
          <cell r="D1116">
            <v>65</v>
          </cell>
          <cell r="E1116">
            <v>7</v>
          </cell>
          <cell r="F1116" t="str">
            <v>A4</v>
          </cell>
          <cell r="G1116">
            <v>20</v>
          </cell>
          <cell r="H1116">
            <v>3</v>
          </cell>
          <cell r="I1116">
            <v>87248</v>
          </cell>
          <cell r="J1116">
            <v>0</v>
          </cell>
          <cell r="K1116">
            <v>0</v>
          </cell>
          <cell r="L1116">
            <v>155</v>
          </cell>
          <cell r="M1116">
            <v>0</v>
          </cell>
          <cell r="N1116">
            <v>0</v>
          </cell>
          <cell r="O1116">
            <v>850958</v>
          </cell>
          <cell r="P1116">
            <v>102920</v>
          </cell>
          <cell r="Q1116">
            <v>3619</v>
          </cell>
          <cell r="R1116">
            <v>0</v>
          </cell>
          <cell r="S1116">
            <v>0</v>
          </cell>
          <cell r="T1116">
            <v>0</v>
          </cell>
          <cell r="U1116">
            <v>239540</v>
          </cell>
          <cell r="V1116">
            <v>0</v>
          </cell>
          <cell r="W1116">
            <v>664</v>
          </cell>
          <cell r="X1116">
            <v>0</v>
          </cell>
          <cell r="Y1116">
            <v>0</v>
          </cell>
          <cell r="Z1116">
            <v>958161</v>
          </cell>
          <cell r="AA1116">
            <v>958161</v>
          </cell>
          <cell r="AB1116" t="str">
            <v>ERCT</v>
          </cell>
          <cell r="AC1116">
            <v>1101</v>
          </cell>
          <cell r="AD1116">
            <v>2</v>
          </cell>
          <cell r="AE1116">
            <v>87248</v>
          </cell>
        </row>
        <row r="1117">
          <cell r="A1117" t="str">
            <v>SMA</v>
          </cell>
          <cell r="B1117">
            <v>6</v>
          </cell>
          <cell r="C1117" t="str">
            <v>DRAG</v>
          </cell>
          <cell r="D1117">
            <v>65</v>
          </cell>
          <cell r="E1117">
            <v>7</v>
          </cell>
          <cell r="F1117" t="str">
            <v xml:space="preserve">B </v>
          </cell>
          <cell r="G1117">
            <v>0</v>
          </cell>
          <cell r="H1117">
            <v>5</v>
          </cell>
          <cell r="I1117">
            <v>12803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226543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56636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226543</v>
          </cell>
          <cell r="AA1117">
            <v>226543</v>
          </cell>
          <cell r="AB1117" t="str">
            <v>ERCT</v>
          </cell>
          <cell r="AC1117">
            <v>1101</v>
          </cell>
          <cell r="AD1117">
            <v>2</v>
          </cell>
          <cell r="AE1117">
            <v>12803</v>
          </cell>
        </row>
        <row r="1118">
          <cell r="A1118" t="str">
            <v>SMA</v>
          </cell>
          <cell r="B1118">
            <v>6</v>
          </cell>
          <cell r="C1118" t="str">
            <v>DRAG</v>
          </cell>
          <cell r="D1118">
            <v>65</v>
          </cell>
          <cell r="E1118">
            <v>8</v>
          </cell>
          <cell r="F1118" t="str">
            <v xml:space="preserve">B </v>
          </cell>
          <cell r="G1118">
            <v>0</v>
          </cell>
          <cell r="H1118">
            <v>3</v>
          </cell>
          <cell r="I1118">
            <v>1316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27397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6849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27397</v>
          </cell>
          <cell r="AA1118">
            <v>27397</v>
          </cell>
          <cell r="AB1118" t="str">
            <v>ERCT</v>
          </cell>
          <cell r="AC1118">
            <v>1101</v>
          </cell>
          <cell r="AD1118">
            <v>2</v>
          </cell>
          <cell r="AE1118">
            <v>1316</v>
          </cell>
        </row>
        <row r="1119">
          <cell r="A1119" t="str">
            <v>SMA</v>
          </cell>
          <cell r="B1119">
            <v>6</v>
          </cell>
          <cell r="C1119" t="str">
            <v>DRAG</v>
          </cell>
          <cell r="D1119">
            <v>66</v>
          </cell>
          <cell r="E1119">
            <v>1</v>
          </cell>
          <cell r="F1119" t="str">
            <v xml:space="preserve">B </v>
          </cell>
          <cell r="G1119">
            <v>1</v>
          </cell>
          <cell r="H1119">
            <v>4598</v>
          </cell>
          <cell r="I1119">
            <v>104330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1689154</v>
          </cell>
          <cell r="P1119">
            <v>0</v>
          </cell>
          <cell r="Q1119">
            <v>0</v>
          </cell>
          <cell r="R1119">
            <v>27341</v>
          </cell>
          <cell r="S1119">
            <v>0</v>
          </cell>
          <cell r="T1119">
            <v>311357</v>
          </cell>
          <cell r="U1119">
            <v>0</v>
          </cell>
          <cell r="V1119">
            <v>471</v>
          </cell>
          <cell r="W1119">
            <v>0</v>
          </cell>
          <cell r="X1119">
            <v>0</v>
          </cell>
          <cell r="Y1119">
            <v>40719</v>
          </cell>
          <cell r="Z1119">
            <v>1689154</v>
          </cell>
          <cell r="AA1119">
            <v>2069042</v>
          </cell>
          <cell r="AB1119" t="str">
            <v>ERSC</v>
          </cell>
          <cell r="AC1119">
            <v>1101</v>
          </cell>
          <cell r="AD1119">
            <v>2</v>
          </cell>
          <cell r="AE1119">
            <v>80120</v>
          </cell>
        </row>
        <row r="1120">
          <cell r="A1120" t="str">
            <v>SMA</v>
          </cell>
          <cell r="B1120">
            <v>6</v>
          </cell>
          <cell r="C1120" t="str">
            <v>DRAG</v>
          </cell>
          <cell r="D1120">
            <v>66</v>
          </cell>
          <cell r="E1120">
            <v>1</v>
          </cell>
          <cell r="F1120" t="str">
            <v xml:space="preserve">B </v>
          </cell>
          <cell r="G1120">
            <v>2</v>
          </cell>
          <cell r="H1120">
            <v>2335</v>
          </cell>
          <cell r="I1120">
            <v>94284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1828642</v>
          </cell>
          <cell r="P1120">
            <v>0</v>
          </cell>
          <cell r="Q1120">
            <v>0</v>
          </cell>
          <cell r="R1120">
            <v>20987</v>
          </cell>
          <cell r="S1120">
            <v>0</v>
          </cell>
          <cell r="T1120">
            <v>50626</v>
          </cell>
          <cell r="U1120">
            <v>310790</v>
          </cell>
          <cell r="V1120">
            <v>283</v>
          </cell>
          <cell r="W1120">
            <v>0</v>
          </cell>
          <cell r="X1120">
            <v>0</v>
          </cell>
          <cell r="Y1120">
            <v>42532</v>
          </cell>
          <cell r="Z1120">
            <v>1828642</v>
          </cell>
          <cell r="AA1120">
            <v>1943070</v>
          </cell>
          <cell r="AB1120" t="str">
            <v>ERSC</v>
          </cell>
          <cell r="AC1120">
            <v>1101</v>
          </cell>
          <cell r="AD1120">
            <v>2</v>
          </cell>
          <cell r="AE1120">
            <v>94284</v>
          </cell>
        </row>
        <row r="1121">
          <cell r="A1121" t="str">
            <v>SMA</v>
          </cell>
          <cell r="B1121">
            <v>6</v>
          </cell>
          <cell r="C1121" t="str">
            <v>DRAG</v>
          </cell>
          <cell r="D1121">
            <v>66</v>
          </cell>
          <cell r="E1121">
            <v>1</v>
          </cell>
          <cell r="F1121" t="str">
            <v xml:space="preserve">B </v>
          </cell>
          <cell r="G1121">
            <v>3</v>
          </cell>
          <cell r="H1121">
            <v>7136</v>
          </cell>
          <cell r="I1121">
            <v>542784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10526612</v>
          </cell>
          <cell r="P1121">
            <v>0</v>
          </cell>
          <cell r="Q1121">
            <v>0</v>
          </cell>
          <cell r="R1121">
            <v>95437</v>
          </cell>
          <cell r="S1121">
            <v>0</v>
          </cell>
          <cell r="T1121">
            <v>156851</v>
          </cell>
          <cell r="U1121">
            <v>1789523</v>
          </cell>
          <cell r="V1121">
            <v>2355</v>
          </cell>
          <cell r="W1121">
            <v>0</v>
          </cell>
          <cell r="X1121">
            <v>0</v>
          </cell>
          <cell r="Y1121">
            <v>145138</v>
          </cell>
          <cell r="Z1121">
            <v>10526612</v>
          </cell>
          <cell r="AA1121">
            <v>10926393</v>
          </cell>
          <cell r="AB1121" t="str">
            <v>ERSC</v>
          </cell>
          <cell r="AC1121">
            <v>1101</v>
          </cell>
          <cell r="AD1121">
            <v>2</v>
          </cell>
          <cell r="AE1121">
            <v>540706</v>
          </cell>
        </row>
        <row r="1122">
          <cell r="A1122" t="str">
            <v>SMA</v>
          </cell>
          <cell r="B1122">
            <v>6</v>
          </cell>
          <cell r="C1122" t="str">
            <v>DRAG</v>
          </cell>
          <cell r="D1122">
            <v>66</v>
          </cell>
          <cell r="E1122">
            <v>1</v>
          </cell>
          <cell r="F1122" t="str">
            <v xml:space="preserve">B </v>
          </cell>
          <cell r="G1122">
            <v>4</v>
          </cell>
          <cell r="H1122">
            <v>4193</v>
          </cell>
          <cell r="I1122">
            <v>507905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9852820</v>
          </cell>
          <cell r="P1122">
            <v>0</v>
          </cell>
          <cell r="Q1122">
            <v>0</v>
          </cell>
          <cell r="R1122">
            <v>106496</v>
          </cell>
          <cell r="S1122">
            <v>0</v>
          </cell>
          <cell r="T1122">
            <v>134087</v>
          </cell>
          <cell r="U1122">
            <v>1674994</v>
          </cell>
          <cell r="V1122">
            <v>1131</v>
          </cell>
          <cell r="W1122">
            <v>0</v>
          </cell>
          <cell r="X1122">
            <v>0</v>
          </cell>
          <cell r="Y1122">
            <v>126910</v>
          </cell>
          <cell r="Z1122">
            <v>9852820</v>
          </cell>
          <cell r="AA1122">
            <v>10221444</v>
          </cell>
          <cell r="AB1122" t="str">
            <v>ERSC</v>
          </cell>
          <cell r="AC1122">
            <v>1101</v>
          </cell>
          <cell r="AD1122">
            <v>2</v>
          </cell>
          <cell r="AE1122">
            <v>507905</v>
          </cell>
        </row>
        <row r="1123">
          <cell r="A1123" t="str">
            <v>SMA</v>
          </cell>
          <cell r="B1123">
            <v>6</v>
          </cell>
          <cell r="C1123" t="str">
            <v>DRAG</v>
          </cell>
          <cell r="D1123">
            <v>66</v>
          </cell>
          <cell r="E1123">
            <v>1</v>
          </cell>
          <cell r="F1123" t="str">
            <v xml:space="preserve">B </v>
          </cell>
          <cell r="G1123">
            <v>5</v>
          </cell>
          <cell r="H1123">
            <v>1545</v>
          </cell>
          <cell r="I1123">
            <v>265408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5147655</v>
          </cell>
          <cell r="P1123">
            <v>0</v>
          </cell>
          <cell r="Q1123">
            <v>0</v>
          </cell>
          <cell r="R1123">
            <v>61352</v>
          </cell>
          <cell r="S1123">
            <v>0</v>
          </cell>
          <cell r="T1123">
            <v>103312</v>
          </cell>
          <cell r="U1123">
            <v>875134</v>
          </cell>
          <cell r="V1123">
            <v>283</v>
          </cell>
          <cell r="W1123">
            <v>0</v>
          </cell>
          <cell r="X1123">
            <v>0</v>
          </cell>
          <cell r="Y1123">
            <v>43904</v>
          </cell>
          <cell r="Z1123">
            <v>5147655</v>
          </cell>
          <cell r="AA1123">
            <v>5356506</v>
          </cell>
          <cell r="AB1123" t="str">
            <v>ERSC</v>
          </cell>
          <cell r="AC1123">
            <v>1101</v>
          </cell>
          <cell r="AD1123">
            <v>2</v>
          </cell>
          <cell r="AE1123">
            <v>265408</v>
          </cell>
        </row>
        <row r="1124">
          <cell r="A1124" t="str">
            <v>SMA</v>
          </cell>
          <cell r="B1124">
            <v>6</v>
          </cell>
          <cell r="C1124" t="str">
            <v>DRAG</v>
          </cell>
          <cell r="D1124">
            <v>66</v>
          </cell>
          <cell r="E1124">
            <v>1</v>
          </cell>
          <cell r="F1124" t="str">
            <v xml:space="preserve">B </v>
          </cell>
          <cell r="G1124">
            <v>6</v>
          </cell>
          <cell r="H1124">
            <v>1018</v>
          </cell>
          <cell r="I1124">
            <v>243893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4730561</v>
          </cell>
          <cell r="P1124">
            <v>0</v>
          </cell>
          <cell r="Q1124">
            <v>0</v>
          </cell>
          <cell r="R1124">
            <v>55199</v>
          </cell>
          <cell r="S1124">
            <v>0</v>
          </cell>
          <cell r="T1124">
            <v>103713</v>
          </cell>
          <cell r="U1124">
            <v>804637</v>
          </cell>
          <cell r="V1124">
            <v>189</v>
          </cell>
          <cell r="W1124">
            <v>0</v>
          </cell>
          <cell r="X1124">
            <v>0</v>
          </cell>
          <cell r="Y1124">
            <v>26656</v>
          </cell>
          <cell r="Z1124">
            <v>4730561</v>
          </cell>
          <cell r="AA1124">
            <v>4916318</v>
          </cell>
          <cell r="AB1124" t="str">
            <v>ERSC</v>
          </cell>
          <cell r="AC1124">
            <v>1101</v>
          </cell>
          <cell r="AD1124">
            <v>2</v>
          </cell>
          <cell r="AE1124">
            <v>243893</v>
          </cell>
        </row>
        <row r="1125">
          <cell r="A1125" t="str">
            <v>SMA</v>
          </cell>
          <cell r="B1125">
            <v>6</v>
          </cell>
          <cell r="C1125" t="str">
            <v>DRAG</v>
          </cell>
          <cell r="D1125">
            <v>66</v>
          </cell>
          <cell r="E1125">
            <v>1</v>
          </cell>
          <cell r="F1125" t="str">
            <v xml:space="preserve">B </v>
          </cell>
          <cell r="G1125">
            <v>7</v>
          </cell>
          <cell r="H1125">
            <v>350</v>
          </cell>
          <cell r="I1125">
            <v>118294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2380403</v>
          </cell>
          <cell r="P1125">
            <v>0</v>
          </cell>
          <cell r="Q1125">
            <v>0</v>
          </cell>
          <cell r="R1125">
            <v>29795</v>
          </cell>
          <cell r="S1125">
            <v>0</v>
          </cell>
          <cell r="T1125">
            <v>76677</v>
          </cell>
          <cell r="U1125">
            <v>476306</v>
          </cell>
          <cell r="V1125">
            <v>0</v>
          </cell>
          <cell r="W1125">
            <v>0</v>
          </cell>
          <cell r="X1125">
            <v>0</v>
          </cell>
          <cell r="Y1125">
            <v>8835</v>
          </cell>
          <cell r="Z1125">
            <v>2380403</v>
          </cell>
          <cell r="AA1125">
            <v>2495710</v>
          </cell>
          <cell r="AB1125" t="str">
            <v>ERSC</v>
          </cell>
          <cell r="AC1125">
            <v>1101</v>
          </cell>
          <cell r="AD1125">
            <v>2</v>
          </cell>
          <cell r="AE1125">
            <v>118294</v>
          </cell>
        </row>
        <row r="1126">
          <cell r="A1126" t="str">
            <v>SMA</v>
          </cell>
          <cell r="B1126">
            <v>6</v>
          </cell>
          <cell r="C1126" t="str">
            <v>DRAG</v>
          </cell>
          <cell r="D1126">
            <v>66</v>
          </cell>
          <cell r="E1126">
            <v>1</v>
          </cell>
          <cell r="F1126" t="str">
            <v xml:space="preserve">B </v>
          </cell>
          <cell r="G1126">
            <v>8</v>
          </cell>
          <cell r="H1126">
            <v>141</v>
          </cell>
          <cell r="I1126">
            <v>62022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1248092</v>
          </cell>
          <cell r="P1126">
            <v>0</v>
          </cell>
          <cell r="Q1126">
            <v>0</v>
          </cell>
          <cell r="R1126">
            <v>12749</v>
          </cell>
          <cell r="S1126">
            <v>0</v>
          </cell>
          <cell r="T1126">
            <v>59107</v>
          </cell>
          <cell r="U1126">
            <v>249687</v>
          </cell>
          <cell r="V1126">
            <v>0</v>
          </cell>
          <cell r="W1126">
            <v>0</v>
          </cell>
          <cell r="X1126">
            <v>0</v>
          </cell>
          <cell r="Y1126">
            <v>2945</v>
          </cell>
          <cell r="Z1126">
            <v>1248092</v>
          </cell>
          <cell r="AA1126">
            <v>1322893</v>
          </cell>
          <cell r="AB1126" t="str">
            <v>ERSC</v>
          </cell>
          <cell r="AC1126">
            <v>1101</v>
          </cell>
          <cell r="AD1126">
            <v>2</v>
          </cell>
          <cell r="AE1126">
            <v>62022</v>
          </cell>
        </row>
        <row r="1127">
          <cell r="A1127" t="str">
            <v>SMA</v>
          </cell>
          <cell r="B1127">
            <v>6</v>
          </cell>
          <cell r="C1127" t="str">
            <v>DRAG</v>
          </cell>
          <cell r="D1127">
            <v>66</v>
          </cell>
          <cell r="E1127">
            <v>1</v>
          </cell>
          <cell r="F1127" t="str">
            <v xml:space="preserve">B </v>
          </cell>
          <cell r="G1127">
            <v>9</v>
          </cell>
          <cell r="H1127">
            <v>164</v>
          </cell>
          <cell r="I1127">
            <v>104657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2246257</v>
          </cell>
          <cell r="P1127">
            <v>0</v>
          </cell>
          <cell r="Q1127">
            <v>0</v>
          </cell>
          <cell r="R1127">
            <v>23834</v>
          </cell>
          <cell r="S1127">
            <v>0</v>
          </cell>
          <cell r="T1127">
            <v>45251</v>
          </cell>
          <cell r="U1127">
            <v>561679</v>
          </cell>
          <cell r="V1127">
            <v>94</v>
          </cell>
          <cell r="W1127">
            <v>0</v>
          </cell>
          <cell r="X1127">
            <v>0</v>
          </cell>
          <cell r="Y1127">
            <v>3532</v>
          </cell>
          <cell r="Z1127">
            <v>2246257</v>
          </cell>
          <cell r="AA1127">
            <v>2318968</v>
          </cell>
          <cell r="AB1127" t="str">
            <v>ERSC</v>
          </cell>
          <cell r="AC1127">
            <v>1101</v>
          </cell>
          <cell r="AD1127">
            <v>2</v>
          </cell>
          <cell r="AE1127">
            <v>104657</v>
          </cell>
        </row>
        <row r="1128">
          <cell r="A1128" t="str">
            <v>SMA</v>
          </cell>
          <cell r="B1128">
            <v>6</v>
          </cell>
          <cell r="C1128" t="str">
            <v>DRAG</v>
          </cell>
          <cell r="D1128">
            <v>66</v>
          </cell>
          <cell r="E1128">
            <v>1</v>
          </cell>
          <cell r="F1128" t="str">
            <v xml:space="preserve">B </v>
          </cell>
          <cell r="G1128">
            <v>10</v>
          </cell>
          <cell r="H1128">
            <v>57</v>
          </cell>
          <cell r="I1128">
            <v>101385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2175827</v>
          </cell>
          <cell r="P1128">
            <v>0</v>
          </cell>
          <cell r="Q1128">
            <v>0</v>
          </cell>
          <cell r="R1128">
            <v>12292</v>
          </cell>
          <cell r="S1128">
            <v>0</v>
          </cell>
          <cell r="T1128">
            <v>2566</v>
          </cell>
          <cell r="U1128">
            <v>544004</v>
          </cell>
          <cell r="V1128">
            <v>0</v>
          </cell>
          <cell r="W1128">
            <v>0</v>
          </cell>
          <cell r="X1128">
            <v>0</v>
          </cell>
          <cell r="Y1128">
            <v>4908</v>
          </cell>
          <cell r="Z1128">
            <v>2175827</v>
          </cell>
          <cell r="AA1128">
            <v>2195593</v>
          </cell>
          <cell r="AB1128" t="str">
            <v>ERSC</v>
          </cell>
          <cell r="AC1128">
            <v>1101</v>
          </cell>
          <cell r="AD1128">
            <v>2</v>
          </cell>
          <cell r="AE1128">
            <v>101385</v>
          </cell>
        </row>
        <row r="1129">
          <cell r="A1129" t="str">
            <v>SMA</v>
          </cell>
          <cell r="B1129">
            <v>6</v>
          </cell>
          <cell r="C1129" t="str">
            <v>DRAG</v>
          </cell>
          <cell r="D1129">
            <v>66</v>
          </cell>
          <cell r="E1129">
            <v>1</v>
          </cell>
          <cell r="F1129" t="str">
            <v xml:space="preserve">B </v>
          </cell>
          <cell r="G1129">
            <v>11</v>
          </cell>
          <cell r="H1129">
            <v>844</v>
          </cell>
          <cell r="I1129">
            <v>18636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105176</v>
          </cell>
          <cell r="P1129">
            <v>0</v>
          </cell>
          <cell r="Q1129">
            <v>0</v>
          </cell>
          <cell r="R1129">
            <v>1427</v>
          </cell>
          <cell r="S1129">
            <v>0</v>
          </cell>
          <cell r="T1129">
            <v>14131</v>
          </cell>
          <cell r="U1129">
            <v>0</v>
          </cell>
          <cell r="V1129">
            <v>282</v>
          </cell>
          <cell r="W1129">
            <v>0</v>
          </cell>
          <cell r="X1129">
            <v>0</v>
          </cell>
          <cell r="Y1129">
            <v>4900</v>
          </cell>
          <cell r="Z1129">
            <v>105176</v>
          </cell>
          <cell r="AA1129">
            <v>125916</v>
          </cell>
          <cell r="AB1129" t="str">
            <v>ERSC</v>
          </cell>
          <cell r="AC1129">
            <v>1101</v>
          </cell>
          <cell r="AD1129">
            <v>2</v>
          </cell>
          <cell r="AE1129">
            <v>12114</v>
          </cell>
        </row>
        <row r="1130">
          <cell r="A1130" t="str">
            <v>SMA</v>
          </cell>
          <cell r="B1130">
            <v>6</v>
          </cell>
          <cell r="C1130" t="str">
            <v>DRAG</v>
          </cell>
          <cell r="D1130">
            <v>66</v>
          </cell>
          <cell r="E1130">
            <v>1</v>
          </cell>
          <cell r="F1130" t="str">
            <v xml:space="preserve">B </v>
          </cell>
          <cell r="G1130">
            <v>12</v>
          </cell>
          <cell r="H1130">
            <v>694</v>
          </cell>
          <cell r="I1130">
            <v>39393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357827</v>
          </cell>
          <cell r="P1130">
            <v>0</v>
          </cell>
          <cell r="Q1130">
            <v>0</v>
          </cell>
          <cell r="R1130">
            <v>5220</v>
          </cell>
          <cell r="S1130">
            <v>0</v>
          </cell>
          <cell r="T1130">
            <v>5085</v>
          </cell>
          <cell r="U1130">
            <v>60867</v>
          </cell>
          <cell r="V1130">
            <v>1034</v>
          </cell>
          <cell r="W1130">
            <v>0</v>
          </cell>
          <cell r="X1130">
            <v>0</v>
          </cell>
          <cell r="Y1130">
            <v>7644</v>
          </cell>
          <cell r="Z1130">
            <v>357827</v>
          </cell>
          <cell r="AA1130">
            <v>376810</v>
          </cell>
          <cell r="AB1130" t="str">
            <v>ERSC</v>
          </cell>
          <cell r="AC1130">
            <v>1101</v>
          </cell>
          <cell r="AD1130">
            <v>2</v>
          </cell>
          <cell r="AE1130">
            <v>39393</v>
          </cell>
        </row>
        <row r="1131">
          <cell r="A1131" t="str">
            <v>SMA</v>
          </cell>
          <cell r="B1131">
            <v>6</v>
          </cell>
          <cell r="C1131" t="str">
            <v>DRAG</v>
          </cell>
          <cell r="D1131">
            <v>66</v>
          </cell>
          <cell r="E1131">
            <v>1</v>
          </cell>
          <cell r="F1131" t="str">
            <v xml:space="preserve">B </v>
          </cell>
          <cell r="G1131">
            <v>13</v>
          </cell>
          <cell r="H1131">
            <v>83</v>
          </cell>
          <cell r="I1131">
            <v>9600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123683</v>
          </cell>
          <cell r="P1131">
            <v>0</v>
          </cell>
          <cell r="Q1131">
            <v>0</v>
          </cell>
          <cell r="R1131">
            <v>1457</v>
          </cell>
          <cell r="S1131">
            <v>0</v>
          </cell>
          <cell r="T1131">
            <v>5117</v>
          </cell>
          <cell r="U1131">
            <v>21027</v>
          </cell>
          <cell r="V1131">
            <v>0</v>
          </cell>
          <cell r="W1131">
            <v>0</v>
          </cell>
          <cell r="X1131">
            <v>0</v>
          </cell>
          <cell r="Y1131">
            <v>1715</v>
          </cell>
          <cell r="Z1131">
            <v>123683</v>
          </cell>
          <cell r="AA1131">
            <v>131972</v>
          </cell>
          <cell r="AB1131" t="str">
            <v>ERSC</v>
          </cell>
          <cell r="AC1131">
            <v>1101</v>
          </cell>
          <cell r="AD1131">
            <v>2</v>
          </cell>
          <cell r="AE1131">
            <v>9600</v>
          </cell>
        </row>
        <row r="1132">
          <cell r="A1132" t="str">
            <v>SMA</v>
          </cell>
          <cell r="B1132">
            <v>6</v>
          </cell>
          <cell r="C1132" t="str">
            <v>DRAG</v>
          </cell>
          <cell r="D1132">
            <v>66</v>
          </cell>
          <cell r="E1132">
            <v>1</v>
          </cell>
          <cell r="F1132" t="str">
            <v xml:space="preserve">B </v>
          </cell>
          <cell r="G1132">
            <v>14</v>
          </cell>
          <cell r="H1132">
            <v>9</v>
          </cell>
          <cell r="I1132">
            <v>1346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17110</v>
          </cell>
          <cell r="P1132">
            <v>0</v>
          </cell>
          <cell r="Q1132">
            <v>0</v>
          </cell>
          <cell r="R1132">
            <v>127</v>
          </cell>
          <cell r="S1132">
            <v>0</v>
          </cell>
          <cell r="T1132">
            <v>1424</v>
          </cell>
          <cell r="U1132">
            <v>2909</v>
          </cell>
          <cell r="V1132">
            <v>94</v>
          </cell>
          <cell r="W1132">
            <v>0</v>
          </cell>
          <cell r="X1132">
            <v>0</v>
          </cell>
          <cell r="Y1132">
            <v>0</v>
          </cell>
          <cell r="Z1132">
            <v>17110</v>
          </cell>
          <cell r="AA1132">
            <v>18755</v>
          </cell>
          <cell r="AB1132" t="str">
            <v>ERSC</v>
          </cell>
          <cell r="AC1132">
            <v>1101</v>
          </cell>
          <cell r="AD1132">
            <v>2</v>
          </cell>
          <cell r="AE1132">
            <v>1346</v>
          </cell>
        </row>
        <row r="1133">
          <cell r="A1133" t="str">
            <v>SMA</v>
          </cell>
          <cell r="B1133">
            <v>6</v>
          </cell>
          <cell r="C1133" t="str">
            <v>DRAG</v>
          </cell>
          <cell r="D1133">
            <v>66</v>
          </cell>
          <cell r="E1133">
            <v>1</v>
          </cell>
          <cell r="F1133" t="str">
            <v xml:space="preserve">B </v>
          </cell>
          <cell r="G1133">
            <v>15</v>
          </cell>
          <cell r="H1133">
            <v>17</v>
          </cell>
          <cell r="I1133">
            <v>3708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55329</v>
          </cell>
          <cell r="P1133">
            <v>0</v>
          </cell>
          <cell r="Q1133">
            <v>0</v>
          </cell>
          <cell r="R1133">
            <v>406</v>
          </cell>
          <cell r="S1133">
            <v>0</v>
          </cell>
          <cell r="T1133">
            <v>64</v>
          </cell>
          <cell r="U1133">
            <v>9749</v>
          </cell>
          <cell r="V1133">
            <v>0</v>
          </cell>
          <cell r="W1133">
            <v>0</v>
          </cell>
          <cell r="X1133">
            <v>0</v>
          </cell>
          <cell r="Y1133">
            <v>784</v>
          </cell>
          <cell r="Z1133">
            <v>55329</v>
          </cell>
          <cell r="AA1133">
            <v>56583</v>
          </cell>
          <cell r="AB1133" t="str">
            <v>ERSC</v>
          </cell>
          <cell r="AC1133">
            <v>1101</v>
          </cell>
          <cell r="AD1133">
            <v>2</v>
          </cell>
          <cell r="AE1133">
            <v>3708</v>
          </cell>
        </row>
        <row r="1134">
          <cell r="A1134" t="str">
            <v>SMA</v>
          </cell>
          <cell r="B1134">
            <v>6</v>
          </cell>
          <cell r="C1134" t="str">
            <v>DRAG</v>
          </cell>
          <cell r="D1134">
            <v>66</v>
          </cell>
          <cell r="E1134">
            <v>2</v>
          </cell>
          <cell r="F1134" t="str">
            <v>A4</v>
          </cell>
          <cell r="G1134">
            <v>20</v>
          </cell>
          <cell r="H1134">
            <v>10</v>
          </cell>
          <cell r="I1134">
            <v>126968</v>
          </cell>
          <cell r="J1134">
            <v>0</v>
          </cell>
          <cell r="K1134">
            <v>0</v>
          </cell>
          <cell r="L1134">
            <v>704</v>
          </cell>
          <cell r="M1134">
            <v>0</v>
          </cell>
          <cell r="N1134">
            <v>0</v>
          </cell>
          <cell r="O1134">
            <v>1456915</v>
          </cell>
          <cell r="P1134">
            <v>550998</v>
          </cell>
          <cell r="Q1134">
            <v>42123</v>
          </cell>
          <cell r="R1134">
            <v>52112</v>
          </cell>
          <cell r="S1134">
            <v>0</v>
          </cell>
          <cell r="T1134">
            <v>100431</v>
          </cell>
          <cell r="U1134">
            <v>519945</v>
          </cell>
          <cell r="V1134">
            <v>0</v>
          </cell>
          <cell r="W1134">
            <v>29742</v>
          </cell>
          <cell r="X1134">
            <v>0</v>
          </cell>
          <cell r="Y1134">
            <v>0</v>
          </cell>
          <cell r="Z1134">
            <v>2079778</v>
          </cell>
          <cell r="AA1134">
            <v>2232321</v>
          </cell>
          <cell r="AB1134" t="str">
            <v>ERSC</v>
          </cell>
          <cell r="AC1134">
            <v>1101</v>
          </cell>
          <cell r="AD1134">
            <v>2</v>
          </cell>
          <cell r="AE1134">
            <v>126968</v>
          </cell>
        </row>
        <row r="1135">
          <cell r="A1135" t="str">
            <v>SMA</v>
          </cell>
          <cell r="B1135">
            <v>6</v>
          </cell>
          <cell r="C1135" t="str">
            <v>DRAG</v>
          </cell>
          <cell r="D1135">
            <v>66</v>
          </cell>
          <cell r="E1135">
            <v>2</v>
          </cell>
          <cell r="F1135" t="str">
            <v xml:space="preserve">B </v>
          </cell>
          <cell r="G1135">
            <v>0</v>
          </cell>
          <cell r="H1135">
            <v>580</v>
          </cell>
          <cell r="I1135">
            <v>274378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5714147</v>
          </cell>
          <cell r="P1135">
            <v>0</v>
          </cell>
          <cell r="Q1135">
            <v>0</v>
          </cell>
          <cell r="R1135">
            <v>74836</v>
          </cell>
          <cell r="S1135">
            <v>0</v>
          </cell>
          <cell r="T1135">
            <v>657048</v>
          </cell>
          <cell r="U1135">
            <v>1416863</v>
          </cell>
          <cell r="V1135">
            <v>0</v>
          </cell>
          <cell r="W1135">
            <v>0</v>
          </cell>
          <cell r="X1135">
            <v>0</v>
          </cell>
          <cell r="Y1135">
            <v>18342</v>
          </cell>
          <cell r="Z1135">
            <v>5714147</v>
          </cell>
          <cell r="AA1135">
            <v>6464373</v>
          </cell>
          <cell r="AB1135" t="str">
            <v>ERSC</v>
          </cell>
          <cell r="AC1135">
            <v>1101</v>
          </cell>
          <cell r="AD1135">
            <v>2</v>
          </cell>
          <cell r="AE1135">
            <v>269970</v>
          </cell>
        </row>
        <row r="1136">
          <cell r="A1136" t="str">
            <v>SMA</v>
          </cell>
          <cell r="B1136">
            <v>6</v>
          </cell>
          <cell r="C1136" t="str">
            <v>DRAG</v>
          </cell>
          <cell r="D1136">
            <v>66</v>
          </cell>
          <cell r="E1136">
            <v>3</v>
          </cell>
          <cell r="F1136" t="str">
            <v>A4</v>
          </cell>
          <cell r="G1136">
            <v>20</v>
          </cell>
          <cell r="H1136">
            <v>4</v>
          </cell>
          <cell r="I1136">
            <v>44024</v>
          </cell>
          <cell r="J1136">
            <v>0</v>
          </cell>
          <cell r="K1136">
            <v>0</v>
          </cell>
          <cell r="L1136">
            <v>147</v>
          </cell>
          <cell r="M1136">
            <v>0</v>
          </cell>
          <cell r="N1136">
            <v>0</v>
          </cell>
          <cell r="O1136">
            <v>505161</v>
          </cell>
          <cell r="P1136">
            <v>115052</v>
          </cell>
          <cell r="Q1136">
            <v>2364</v>
          </cell>
          <cell r="R1136">
            <v>8837</v>
          </cell>
          <cell r="S1136">
            <v>0</v>
          </cell>
          <cell r="T1136">
            <v>0</v>
          </cell>
          <cell r="U1136">
            <v>155840</v>
          </cell>
          <cell r="V1136">
            <v>0</v>
          </cell>
          <cell r="W1136">
            <v>783</v>
          </cell>
          <cell r="X1136">
            <v>0</v>
          </cell>
          <cell r="Y1136">
            <v>0</v>
          </cell>
          <cell r="Z1136">
            <v>623360</v>
          </cell>
          <cell r="AA1136">
            <v>632197</v>
          </cell>
          <cell r="AB1136" t="str">
            <v>ERSC</v>
          </cell>
          <cell r="AC1136">
            <v>1101</v>
          </cell>
          <cell r="AD1136">
            <v>2</v>
          </cell>
          <cell r="AE1136">
            <v>44024</v>
          </cell>
        </row>
        <row r="1137">
          <cell r="A1137" t="str">
            <v>SMA</v>
          </cell>
          <cell r="B1137">
            <v>6</v>
          </cell>
          <cell r="C1137" t="str">
            <v>DRAG</v>
          </cell>
          <cell r="D1137">
            <v>66</v>
          </cell>
          <cell r="E1137">
            <v>3</v>
          </cell>
          <cell r="F1137" t="str">
            <v xml:space="preserve">B </v>
          </cell>
          <cell r="G1137">
            <v>0</v>
          </cell>
          <cell r="H1137">
            <v>2539</v>
          </cell>
          <cell r="I1137">
            <v>570896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11882920</v>
          </cell>
          <cell r="P1137">
            <v>0</v>
          </cell>
          <cell r="Q1137">
            <v>0</v>
          </cell>
          <cell r="R1137">
            <v>144800</v>
          </cell>
          <cell r="S1137">
            <v>0</v>
          </cell>
          <cell r="T1137">
            <v>540789</v>
          </cell>
          <cell r="U1137">
            <v>2880458</v>
          </cell>
          <cell r="V1137">
            <v>660</v>
          </cell>
          <cell r="W1137">
            <v>0</v>
          </cell>
          <cell r="X1137">
            <v>0</v>
          </cell>
          <cell r="Y1137">
            <v>62756</v>
          </cell>
          <cell r="Z1137">
            <v>11882920</v>
          </cell>
          <cell r="AA1137">
            <v>12631925</v>
          </cell>
          <cell r="AB1137" t="str">
            <v>ERSC</v>
          </cell>
          <cell r="AC1137">
            <v>1101</v>
          </cell>
          <cell r="AD1137">
            <v>2</v>
          </cell>
          <cell r="AE1137">
            <v>556223</v>
          </cell>
        </row>
        <row r="1138">
          <cell r="A1138" t="str">
            <v>SMA</v>
          </cell>
          <cell r="B1138">
            <v>6</v>
          </cell>
          <cell r="C1138" t="str">
            <v>DRAG</v>
          </cell>
          <cell r="D1138">
            <v>66</v>
          </cell>
          <cell r="E1138">
            <v>4</v>
          </cell>
          <cell r="F1138" t="str">
            <v xml:space="preserve">B </v>
          </cell>
          <cell r="G1138">
            <v>0</v>
          </cell>
          <cell r="H1138">
            <v>247</v>
          </cell>
          <cell r="I1138">
            <v>56940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559564</v>
          </cell>
          <cell r="P1138">
            <v>0</v>
          </cell>
          <cell r="Q1138">
            <v>0</v>
          </cell>
          <cell r="R1138">
            <v>1745</v>
          </cell>
          <cell r="S1138">
            <v>0</v>
          </cell>
          <cell r="T1138">
            <v>32458</v>
          </cell>
          <cell r="U1138">
            <v>0</v>
          </cell>
          <cell r="V1138">
            <v>16395</v>
          </cell>
          <cell r="W1138">
            <v>0</v>
          </cell>
          <cell r="X1138">
            <v>0</v>
          </cell>
          <cell r="Y1138">
            <v>0</v>
          </cell>
          <cell r="Z1138">
            <v>559564</v>
          </cell>
          <cell r="AA1138">
            <v>610162</v>
          </cell>
          <cell r="AB1138" t="str">
            <v>ERSC</v>
          </cell>
          <cell r="AC1138">
            <v>1101</v>
          </cell>
          <cell r="AD1138">
            <v>2</v>
          </cell>
          <cell r="AE1138">
            <v>53696</v>
          </cell>
        </row>
        <row r="1139">
          <cell r="A1139" t="str">
            <v>SMA</v>
          </cell>
          <cell r="B1139">
            <v>6</v>
          </cell>
          <cell r="C1139" t="str">
            <v>DRAG</v>
          </cell>
          <cell r="D1139">
            <v>66</v>
          </cell>
          <cell r="E1139">
            <v>5</v>
          </cell>
          <cell r="F1139" t="str">
            <v xml:space="preserve">B </v>
          </cell>
          <cell r="G1139">
            <v>0</v>
          </cell>
          <cell r="H1139">
            <v>168</v>
          </cell>
          <cell r="I1139">
            <v>58914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1150110</v>
          </cell>
          <cell r="P1139">
            <v>0</v>
          </cell>
          <cell r="Q1139">
            <v>0</v>
          </cell>
          <cell r="R1139">
            <v>22129</v>
          </cell>
          <cell r="S1139">
            <v>0</v>
          </cell>
          <cell r="T1139">
            <v>94237</v>
          </cell>
          <cell r="U1139">
            <v>227147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1150110</v>
          </cell>
          <cell r="AA1139">
            <v>1266476</v>
          </cell>
          <cell r="AB1139" t="str">
            <v>ERSC</v>
          </cell>
          <cell r="AC1139">
            <v>1101</v>
          </cell>
          <cell r="AD1139">
            <v>2</v>
          </cell>
          <cell r="AE1139">
            <v>57111</v>
          </cell>
        </row>
        <row r="1140">
          <cell r="A1140" t="str">
            <v>SMA</v>
          </cell>
          <cell r="B1140">
            <v>6</v>
          </cell>
          <cell r="C1140" t="str">
            <v>DRAG</v>
          </cell>
          <cell r="D1140">
            <v>66</v>
          </cell>
          <cell r="E1140">
            <v>6</v>
          </cell>
          <cell r="F1140" t="str">
            <v xml:space="preserve">B </v>
          </cell>
          <cell r="G1140">
            <v>0</v>
          </cell>
          <cell r="H1140">
            <v>14</v>
          </cell>
          <cell r="I1140">
            <v>186819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2199482</v>
          </cell>
          <cell r="P1140">
            <v>0</v>
          </cell>
          <cell r="Q1140">
            <v>0</v>
          </cell>
          <cell r="R1140">
            <v>43807</v>
          </cell>
          <cell r="S1140">
            <v>0</v>
          </cell>
          <cell r="T1140">
            <v>0</v>
          </cell>
          <cell r="U1140">
            <v>549870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2199482</v>
          </cell>
          <cell r="AA1140">
            <v>2243289</v>
          </cell>
          <cell r="AB1140" t="str">
            <v>ERSC</v>
          </cell>
          <cell r="AC1140">
            <v>1101</v>
          </cell>
          <cell r="AD1140">
            <v>2</v>
          </cell>
          <cell r="AE1140">
            <v>186819</v>
          </cell>
        </row>
        <row r="1141">
          <cell r="A1141" t="str">
            <v>SMA</v>
          </cell>
          <cell r="B1141">
            <v>6</v>
          </cell>
          <cell r="C1141" t="str">
            <v>DRAG</v>
          </cell>
          <cell r="D1141">
            <v>66</v>
          </cell>
          <cell r="E1141">
            <v>7</v>
          </cell>
          <cell r="F1141" t="str">
            <v>A4</v>
          </cell>
          <cell r="G1141">
            <v>20</v>
          </cell>
          <cell r="H1141">
            <v>3</v>
          </cell>
          <cell r="I1141">
            <v>23576</v>
          </cell>
          <cell r="J1141">
            <v>0</v>
          </cell>
          <cell r="K1141">
            <v>0</v>
          </cell>
          <cell r="L1141">
            <v>90</v>
          </cell>
          <cell r="M1141">
            <v>0</v>
          </cell>
          <cell r="N1141">
            <v>0</v>
          </cell>
          <cell r="O1141">
            <v>229944</v>
          </cell>
          <cell r="P1141">
            <v>59760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72426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289704</v>
          </cell>
          <cell r="AA1141">
            <v>289704</v>
          </cell>
          <cell r="AB1141" t="str">
            <v>ERSC</v>
          </cell>
          <cell r="AC1141">
            <v>1101</v>
          </cell>
          <cell r="AD1141">
            <v>2</v>
          </cell>
          <cell r="AE1141">
            <v>23576</v>
          </cell>
        </row>
        <row r="1142">
          <cell r="A1142" t="str">
            <v>SMA</v>
          </cell>
          <cell r="B1142">
            <v>6</v>
          </cell>
          <cell r="C1142" t="str">
            <v>DRAG</v>
          </cell>
          <cell r="D1142">
            <v>66</v>
          </cell>
          <cell r="E1142">
            <v>7</v>
          </cell>
          <cell r="F1142" t="str">
            <v xml:space="preserve">B </v>
          </cell>
          <cell r="G1142">
            <v>0</v>
          </cell>
          <cell r="H1142">
            <v>2</v>
          </cell>
          <cell r="I1142">
            <v>17775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314524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78631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314524</v>
          </cell>
          <cell r="AA1142">
            <v>314524</v>
          </cell>
          <cell r="AB1142" t="str">
            <v>ERSC</v>
          </cell>
          <cell r="AC1142">
            <v>1101</v>
          </cell>
          <cell r="AD1142">
            <v>2</v>
          </cell>
          <cell r="AE1142">
            <v>17775</v>
          </cell>
        </row>
        <row r="1143">
          <cell r="A1143" t="str">
            <v>SMA</v>
          </cell>
          <cell r="B1143">
            <v>6</v>
          </cell>
          <cell r="C1143" t="str">
            <v>DRAG</v>
          </cell>
          <cell r="D1143">
            <v>66</v>
          </cell>
          <cell r="E1143">
            <v>8</v>
          </cell>
          <cell r="F1143" t="str">
            <v xml:space="preserve">B </v>
          </cell>
          <cell r="G1143">
            <v>0</v>
          </cell>
          <cell r="H1143">
            <v>2</v>
          </cell>
          <cell r="I1143">
            <v>1914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39846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9961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39846</v>
          </cell>
          <cell r="AA1143">
            <v>39846</v>
          </cell>
          <cell r="AB1143" t="str">
            <v>ERSC</v>
          </cell>
          <cell r="AC1143">
            <v>1101</v>
          </cell>
          <cell r="AD1143">
            <v>2</v>
          </cell>
          <cell r="AE1143">
            <v>1914</v>
          </cell>
        </row>
        <row r="1144">
          <cell r="A1144" t="str">
            <v>SMA</v>
          </cell>
          <cell r="B1144">
            <v>6</v>
          </cell>
          <cell r="C1144" t="str">
            <v>DRAG</v>
          </cell>
          <cell r="D1144">
            <v>66</v>
          </cell>
          <cell r="E1144">
            <v>90</v>
          </cell>
          <cell r="F1144" t="str">
            <v>A4</v>
          </cell>
          <cell r="G1144">
            <v>20</v>
          </cell>
          <cell r="H1144">
            <v>1</v>
          </cell>
          <cell r="I1144">
            <v>8160</v>
          </cell>
          <cell r="J1144">
            <v>0</v>
          </cell>
          <cell r="K1144">
            <v>0</v>
          </cell>
          <cell r="L1144">
            <v>31</v>
          </cell>
          <cell r="M1144">
            <v>0</v>
          </cell>
          <cell r="N1144">
            <v>0</v>
          </cell>
          <cell r="O1144">
            <v>21673</v>
          </cell>
          <cell r="P1144">
            <v>26629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48302</v>
          </cell>
          <cell r="AA1144">
            <v>48302</v>
          </cell>
          <cell r="AB1144" t="str">
            <v>ERSC</v>
          </cell>
          <cell r="AC1144">
            <v>1101</v>
          </cell>
          <cell r="AD1144">
            <v>2</v>
          </cell>
          <cell r="AE1144">
            <v>8160</v>
          </cell>
        </row>
        <row r="1145">
          <cell r="A1145" t="str">
            <v>SMA</v>
          </cell>
          <cell r="B1145">
            <v>6</v>
          </cell>
          <cell r="C1145" t="str">
            <v>DRAG</v>
          </cell>
          <cell r="D1145">
            <v>67</v>
          </cell>
          <cell r="E1145">
            <v>1</v>
          </cell>
          <cell r="F1145" t="str">
            <v xml:space="preserve">B </v>
          </cell>
          <cell r="G1145">
            <v>1</v>
          </cell>
          <cell r="H1145">
            <v>857</v>
          </cell>
          <cell r="I1145">
            <v>18023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290227</v>
          </cell>
          <cell r="P1145">
            <v>0</v>
          </cell>
          <cell r="Q1145">
            <v>0</v>
          </cell>
          <cell r="R1145">
            <v>2024</v>
          </cell>
          <cell r="S1145">
            <v>0</v>
          </cell>
          <cell r="T1145">
            <v>32988</v>
          </cell>
          <cell r="U1145">
            <v>0</v>
          </cell>
          <cell r="V1145">
            <v>70600</v>
          </cell>
          <cell r="W1145">
            <v>0</v>
          </cell>
          <cell r="X1145">
            <v>0</v>
          </cell>
          <cell r="Y1145">
            <v>6110</v>
          </cell>
          <cell r="Z1145">
            <v>290227</v>
          </cell>
          <cell r="AA1145">
            <v>401949</v>
          </cell>
          <cell r="AB1145" t="str">
            <v>RAPE</v>
          </cell>
          <cell r="AC1145">
            <v>1101</v>
          </cell>
          <cell r="AD1145">
            <v>2</v>
          </cell>
          <cell r="AE1145">
            <v>13924</v>
          </cell>
        </row>
        <row r="1146">
          <cell r="A1146" t="str">
            <v>SMA</v>
          </cell>
          <cell r="B1146">
            <v>6</v>
          </cell>
          <cell r="C1146" t="str">
            <v>DRAG</v>
          </cell>
          <cell r="D1146">
            <v>67</v>
          </cell>
          <cell r="E1146">
            <v>1</v>
          </cell>
          <cell r="F1146" t="str">
            <v xml:space="preserve">B </v>
          </cell>
          <cell r="G1146">
            <v>2</v>
          </cell>
          <cell r="H1146">
            <v>353</v>
          </cell>
          <cell r="I1146">
            <v>14486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280963</v>
          </cell>
          <cell r="P1146">
            <v>0</v>
          </cell>
          <cell r="Q1146">
            <v>0</v>
          </cell>
          <cell r="R1146">
            <v>1786</v>
          </cell>
          <cell r="S1146">
            <v>0</v>
          </cell>
          <cell r="T1146">
            <v>39771</v>
          </cell>
          <cell r="U1146">
            <v>47753</v>
          </cell>
          <cell r="V1146">
            <v>30740</v>
          </cell>
          <cell r="W1146">
            <v>0</v>
          </cell>
          <cell r="X1146">
            <v>0</v>
          </cell>
          <cell r="Y1146">
            <v>2944</v>
          </cell>
          <cell r="Z1146">
            <v>280963</v>
          </cell>
          <cell r="AA1146">
            <v>356204</v>
          </cell>
          <cell r="AB1146" t="str">
            <v>RAPE</v>
          </cell>
          <cell r="AC1146">
            <v>1101</v>
          </cell>
          <cell r="AD1146">
            <v>2</v>
          </cell>
          <cell r="AE1146">
            <v>14486</v>
          </cell>
        </row>
        <row r="1147">
          <cell r="A1147" t="str">
            <v>SMA</v>
          </cell>
          <cell r="B1147">
            <v>6</v>
          </cell>
          <cell r="C1147" t="str">
            <v>DRAG</v>
          </cell>
          <cell r="D1147">
            <v>67</v>
          </cell>
          <cell r="E1147">
            <v>1</v>
          </cell>
          <cell r="F1147" t="str">
            <v xml:space="preserve">B </v>
          </cell>
          <cell r="G1147">
            <v>3</v>
          </cell>
          <cell r="H1147">
            <v>671</v>
          </cell>
          <cell r="I1147">
            <v>47699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925087</v>
          </cell>
          <cell r="P1147">
            <v>0</v>
          </cell>
          <cell r="Q1147">
            <v>0</v>
          </cell>
          <cell r="R1147">
            <v>5445</v>
          </cell>
          <cell r="S1147">
            <v>0</v>
          </cell>
          <cell r="T1147">
            <v>74787</v>
          </cell>
          <cell r="U1147">
            <v>157261</v>
          </cell>
          <cell r="V1147">
            <v>60168</v>
          </cell>
          <cell r="W1147">
            <v>0</v>
          </cell>
          <cell r="X1147">
            <v>0</v>
          </cell>
          <cell r="Y1147">
            <v>8063</v>
          </cell>
          <cell r="Z1147">
            <v>925087</v>
          </cell>
          <cell r="AA1147">
            <v>1073550</v>
          </cell>
          <cell r="AB1147" t="str">
            <v>RAPE</v>
          </cell>
          <cell r="AC1147">
            <v>1101</v>
          </cell>
          <cell r="AD1147">
            <v>2</v>
          </cell>
          <cell r="AE1147">
            <v>47530</v>
          </cell>
        </row>
        <row r="1148">
          <cell r="A1148" t="str">
            <v>SMA</v>
          </cell>
          <cell r="B1148">
            <v>6</v>
          </cell>
          <cell r="C1148" t="str">
            <v>DRAG</v>
          </cell>
          <cell r="D1148">
            <v>67</v>
          </cell>
          <cell r="E1148">
            <v>1</v>
          </cell>
          <cell r="F1148" t="str">
            <v xml:space="preserve">B </v>
          </cell>
          <cell r="G1148">
            <v>4</v>
          </cell>
          <cell r="H1148">
            <v>164</v>
          </cell>
          <cell r="I1148">
            <v>19304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374435</v>
          </cell>
          <cell r="P1148">
            <v>0</v>
          </cell>
          <cell r="Q1148">
            <v>0</v>
          </cell>
          <cell r="R1148">
            <v>3124</v>
          </cell>
          <cell r="S1148">
            <v>0</v>
          </cell>
          <cell r="T1148">
            <v>19457</v>
          </cell>
          <cell r="U1148">
            <v>63656</v>
          </cell>
          <cell r="V1148">
            <v>13821</v>
          </cell>
          <cell r="W1148">
            <v>0</v>
          </cell>
          <cell r="X1148">
            <v>0</v>
          </cell>
          <cell r="Y1148">
            <v>3829</v>
          </cell>
          <cell r="Z1148">
            <v>374435</v>
          </cell>
          <cell r="AA1148">
            <v>414666</v>
          </cell>
          <cell r="AB1148" t="str">
            <v>RAPE</v>
          </cell>
          <cell r="AC1148">
            <v>1101</v>
          </cell>
          <cell r="AD1148">
            <v>2</v>
          </cell>
          <cell r="AE1148">
            <v>19304</v>
          </cell>
        </row>
        <row r="1149">
          <cell r="A1149" t="str">
            <v>SMA</v>
          </cell>
          <cell r="B1149">
            <v>6</v>
          </cell>
          <cell r="C1149" t="str">
            <v>DRAG</v>
          </cell>
          <cell r="D1149">
            <v>67</v>
          </cell>
          <cell r="E1149">
            <v>1</v>
          </cell>
          <cell r="F1149" t="str">
            <v xml:space="preserve">B </v>
          </cell>
          <cell r="G1149">
            <v>5</v>
          </cell>
          <cell r="H1149">
            <v>55</v>
          </cell>
          <cell r="I1149">
            <v>9535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184928</v>
          </cell>
          <cell r="P1149">
            <v>0</v>
          </cell>
          <cell r="Q1149">
            <v>0</v>
          </cell>
          <cell r="R1149">
            <v>2156</v>
          </cell>
          <cell r="S1149">
            <v>0</v>
          </cell>
          <cell r="T1149">
            <v>12058</v>
          </cell>
          <cell r="U1149">
            <v>31435</v>
          </cell>
          <cell r="V1149">
            <v>5173</v>
          </cell>
          <cell r="W1149">
            <v>0</v>
          </cell>
          <cell r="X1149">
            <v>0</v>
          </cell>
          <cell r="Y1149">
            <v>4450</v>
          </cell>
          <cell r="Z1149">
            <v>184928</v>
          </cell>
          <cell r="AA1149">
            <v>208765</v>
          </cell>
          <cell r="AB1149" t="str">
            <v>RAPE</v>
          </cell>
          <cell r="AC1149">
            <v>1101</v>
          </cell>
          <cell r="AD1149">
            <v>2</v>
          </cell>
          <cell r="AE1149">
            <v>9535</v>
          </cell>
        </row>
        <row r="1150">
          <cell r="A1150" t="str">
            <v>SMA</v>
          </cell>
          <cell r="B1150">
            <v>6</v>
          </cell>
          <cell r="C1150" t="str">
            <v>DRAG</v>
          </cell>
          <cell r="D1150">
            <v>67</v>
          </cell>
          <cell r="E1150">
            <v>1</v>
          </cell>
          <cell r="F1150" t="str">
            <v xml:space="preserve">B </v>
          </cell>
          <cell r="G1150">
            <v>6</v>
          </cell>
          <cell r="H1150">
            <v>35</v>
          </cell>
          <cell r="I1150">
            <v>7906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153353</v>
          </cell>
          <cell r="P1150">
            <v>0</v>
          </cell>
          <cell r="Q1150">
            <v>0</v>
          </cell>
          <cell r="R1150">
            <v>1868</v>
          </cell>
          <cell r="S1150">
            <v>0</v>
          </cell>
          <cell r="T1150">
            <v>1472</v>
          </cell>
          <cell r="U1150">
            <v>26078</v>
          </cell>
          <cell r="V1150">
            <v>3008</v>
          </cell>
          <cell r="W1150">
            <v>0</v>
          </cell>
          <cell r="X1150">
            <v>0</v>
          </cell>
          <cell r="Y1150">
            <v>1631</v>
          </cell>
          <cell r="Z1150">
            <v>153353</v>
          </cell>
          <cell r="AA1150">
            <v>161332</v>
          </cell>
          <cell r="AB1150" t="str">
            <v>RAPE</v>
          </cell>
          <cell r="AC1150">
            <v>1101</v>
          </cell>
          <cell r="AD1150">
            <v>2</v>
          </cell>
          <cell r="AE1150">
            <v>7906</v>
          </cell>
        </row>
        <row r="1151">
          <cell r="A1151" t="str">
            <v>SMA</v>
          </cell>
          <cell r="B1151">
            <v>6</v>
          </cell>
          <cell r="C1151" t="str">
            <v>DRAG</v>
          </cell>
          <cell r="D1151">
            <v>67</v>
          </cell>
          <cell r="E1151">
            <v>1</v>
          </cell>
          <cell r="F1151" t="str">
            <v xml:space="preserve">B </v>
          </cell>
          <cell r="G1151">
            <v>7</v>
          </cell>
          <cell r="H1151">
            <v>11</v>
          </cell>
          <cell r="I1151">
            <v>3705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74562</v>
          </cell>
          <cell r="P1151">
            <v>0</v>
          </cell>
          <cell r="Q1151">
            <v>0</v>
          </cell>
          <cell r="R1151">
            <v>833</v>
          </cell>
          <cell r="S1151">
            <v>0</v>
          </cell>
          <cell r="T1151">
            <v>327</v>
          </cell>
          <cell r="U1151">
            <v>14915</v>
          </cell>
          <cell r="V1151">
            <v>658</v>
          </cell>
          <cell r="W1151">
            <v>0</v>
          </cell>
          <cell r="X1151">
            <v>0</v>
          </cell>
          <cell r="Y1151">
            <v>631</v>
          </cell>
          <cell r="Z1151">
            <v>74562</v>
          </cell>
          <cell r="AA1151">
            <v>77011</v>
          </cell>
          <cell r="AB1151" t="str">
            <v>RAPE</v>
          </cell>
          <cell r="AC1151">
            <v>1101</v>
          </cell>
          <cell r="AD1151">
            <v>2</v>
          </cell>
          <cell r="AE1151">
            <v>3705</v>
          </cell>
        </row>
        <row r="1152">
          <cell r="A1152" t="str">
            <v>SMA</v>
          </cell>
          <cell r="B1152">
            <v>6</v>
          </cell>
          <cell r="C1152" t="str">
            <v>DRAG</v>
          </cell>
          <cell r="D1152">
            <v>67</v>
          </cell>
          <cell r="E1152">
            <v>1</v>
          </cell>
          <cell r="F1152" t="str">
            <v xml:space="preserve">B </v>
          </cell>
          <cell r="G1152">
            <v>8</v>
          </cell>
          <cell r="H1152">
            <v>4</v>
          </cell>
          <cell r="I1152">
            <v>1717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34282</v>
          </cell>
          <cell r="P1152">
            <v>0</v>
          </cell>
          <cell r="Q1152">
            <v>0</v>
          </cell>
          <cell r="R1152">
            <v>162</v>
          </cell>
          <cell r="S1152">
            <v>0</v>
          </cell>
          <cell r="T1152">
            <v>1458</v>
          </cell>
          <cell r="U1152">
            <v>6858</v>
          </cell>
          <cell r="V1152">
            <v>376</v>
          </cell>
          <cell r="W1152">
            <v>0</v>
          </cell>
          <cell r="X1152">
            <v>0</v>
          </cell>
          <cell r="Y1152">
            <v>561</v>
          </cell>
          <cell r="Z1152">
            <v>34282</v>
          </cell>
          <cell r="AA1152">
            <v>36839</v>
          </cell>
          <cell r="AB1152" t="str">
            <v>RAPE</v>
          </cell>
          <cell r="AC1152">
            <v>1101</v>
          </cell>
          <cell r="AD1152">
            <v>2</v>
          </cell>
          <cell r="AE1152">
            <v>1717</v>
          </cell>
        </row>
        <row r="1153">
          <cell r="A1153" t="str">
            <v>SMA</v>
          </cell>
          <cell r="B1153">
            <v>6</v>
          </cell>
          <cell r="C1153" t="str">
            <v>DRAG</v>
          </cell>
          <cell r="D1153">
            <v>67</v>
          </cell>
          <cell r="E1153">
            <v>1</v>
          </cell>
          <cell r="F1153" t="str">
            <v xml:space="preserve">B </v>
          </cell>
          <cell r="G1153">
            <v>9</v>
          </cell>
          <cell r="H1153">
            <v>5</v>
          </cell>
          <cell r="I1153">
            <v>3508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74686</v>
          </cell>
          <cell r="P1153">
            <v>0</v>
          </cell>
          <cell r="Q1153">
            <v>0</v>
          </cell>
          <cell r="R1153">
            <v>260</v>
          </cell>
          <cell r="S1153">
            <v>0</v>
          </cell>
          <cell r="T1153">
            <v>32</v>
          </cell>
          <cell r="U1153">
            <v>18671</v>
          </cell>
          <cell r="V1153">
            <v>754</v>
          </cell>
          <cell r="W1153">
            <v>0</v>
          </cell>
          <cell r="X1153">
            <v>0</v>
          </cell>
          <cell r="Y1153">
            <v>1682</v>
          </cell>
          <cell r="Z1153">
            <v>74686</v>
          </cell>
          <cell r="AA1153">
            <v>77414</v>
          </cell>
          <cell r="AB1153" t="str">
            <v>RAPE</v>
          </cell>
          <cell r="AC1153">
            <v>1101</v>
          </cell>
          <cell r="AD1153">
            <v>2</v>
          </cell>
          <cell r="AE1153">
            <v>3508</v>
          </cell>
        </row>
        <row r="1154">
          <cell r="A1154" t="str">
            <v>SMA</v>
          </cell>
          <cell r="B1154">
            <v>6</v>
          </cell>
          <cell r="C1154" t="str">
            <v>DRAG</v>
          </cell>
          <cell r="D1154">
            <v>67</v>
          </cell>
          <cell r="E1154">
            <v>1</v>
          </cell>
          <cell r="F1154" t="str">
            <v xml:space="preserve">B </v>
          </cell>
          <cell r="G1154">
            <v>10</v>
          </cell>
          <cell r="H1154">
            <v>2</v>
          </cell>
          <cell r="I1154">
            <v>2322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49835</v>
          </cell>
          <cell r="P1154">
            <v>0</v>
          </cell>
          <cell r="Q1154">
            <v>0</v>
          </cell>
          <cell r="R1154">
            <v>2993</v>
          </cell>
          <cell r="S1154">
            <v>0</v>
          </cell>
          <cell r="T1154">
            <v>142</v>
          </cell>
          <cell r="U1154">
            <v>12461</v>
          </cell>
          <cell r="V1154">
            <v>94</v>
          </cell>
          <cell r="W1154">
            <v>0</v>
          </cell>
          <cell r="X1154">
            <v>0</v>
          </cell>
          <cell r="Y1154">
            <v>0</v>
          </cell>
          <cell r="Z1154">
            <v>49835</v>
          </cell>
          <cell r="AA1154">
            <v>53064</v>
          </cell>
          <cell r="AB1154" t="str">
            <v>RAPE</v>
          </cell>
          <cell r="AC1154">
            <v>1101</v>
          </cell>
          <cell r="AD1154">
            <v>2</v>
          </cell>
          <cell r="AE1154">
            <v>2322</v>
          </cell>
        </row>
        <row r="1155">
          <cell r="A1155" t="str">
            <v>SMA</v>
          </cell>
          <cell r="B1155">
            <v>6</v>
          </cell>
          <cell r="C1155" t="str">
            <v>DRAG</v>
          </cell>
          <cell r="D1155">
            <v>67</v>
          </cell>
          <cell r="E1155">
            <v>1</v>
          </cell>
          <cell r="F1155" t="str">
            <v xml:space="preserve">B </v>
          </cell>
          <cell r="G1155">
            <v>11</v>
          </cell>
          <cell r="H1155">
            <v>4746</v>
          </cell>
          <cell r="I1155">
            <v>100774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567739</v>
          </cell>
          <cell r="P1155">
            <v>0</v>
          </cell>
          <cell r="Q1155">
            <v>0</v>
          </cell>
          <cell r="R1155">
            <v>3326</v>
          </cell>
          <cell r="S1155">
            <v>0</v>
          </cell>
          <cell r="T1155">
            <v>1472990</v>
          </cell>
          <cell r="U1155">
            <v>0</v>
          </cell>
          <cell r="V1155">
            <v>437290</v>
          </cell>
          <cell r="W1155">
            <v>0</v>
          </cell>
          <cell r="X1155">
            <v>0</v>
          </cell>
          <cell r="Y1155">
            <v>294</v>
          </cell>
          <cell r="Z1155">
            <v>567739</v>
          </cell>
          <cell r="AA1155">
            <v>2481639</v>
          </cell>
          <cell r="AB1155" t="str">
            <v>RAPE</v>
          </cell>
          <cell r="AC1155">
            <v>1101</v>
          </cell>
          <cell r="AD1155">
            <v>2</v>
          </cell>
          <cell r="AE1155">
            <v>68202</v>
          </cell>
        </row>
        <row r="1156">
          <cell r="A1156" t="str">
            <v>SMA</v>
          </cell>
          <cell r="B1156">
            <v>6</v>
          </cell>
          <cell r="C1156" t="str">
            <v>DRAG</v>
          </cell>
          <cell r="D1156">
            <v>67</v>
          </cell>
          <cell r="E1156">
            <v>1</v>
          </cell>
          <cell r="F1156" t="str">
            <v xml:space="preserve">B </v>
          </cell>
          <cell r="G1156">
            <v>12</v>
          </cell>
          <cell r="H1156">
            <v>4273</v>
          </cell>
          <cell r="I1156">
            <v>235527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2120491</v>
          </cell>
          <cell r="P1156">
            <v>0</v>
          </cell>
          <cell r="Q1156">
            <v>0</v>
          </cell>
          <cell r="R1156">
            <v>12901</v>
          </cell>
          <cell r="S1156">
            <v>0</v>
          </cell>
          <cell r="T1156">
            <v>1053107</v>
          </cell>
          <cell r="U1156">
            <v>360570</v>
          </cell>
          <cell r="V1156">
            <v>393491</v>
          </cell>
          <cell r="W1156">
            <v>0</v>
          </cell>
          <cell r="X1156">
            <v>0</v>
          </cell>
          <cell r="Y1156">
            <v>805</v>
          </cell>
          <cell r="Z1156">
            <v>2120491</v>
          </cell>
          <cell r="AA1156">
            <v>3580795</v>
          </cell>
          <cell r="AB1156" t="str">
            <v>RAPE</v>
          </cell>
          <cell r="AC1156">
            <v>1101</v>
          </cell>
          <cell r="AD1156">
            <v>2</v>
          </cell>
          <cell r="AE1156">
            <v>235527</v>
          </cell>
        </row>
        <row r="1157">
          <cell r="A1157" t="str">
            <v>SMA</v>
          </cell>
          <cell r="B1157">
            <v>6</v>
          </cell>
          <cell r="C1157" t="str">
            <v>DRAG</v>
          </cell>
          <cell r="D1157">
            <v>67</v>
          </cell>
          <cell r="E1157">
            <v>1</v>
          </cell>
          <cell r="F1157" t="str">
            <v xml:space="preserve">B </v>
          </cell>
          <cell r="G1157">
            <v>13</v>
          </cell>
          <cell r="H1157">
            <v>134</v>
          </cell>
          <cell r="I1157">
            <v>15105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171441</v>
          </cell>
          <cell r="P1157">
            <v>0</v>
          </cell>
          <cell r="Q1157">
            <v>0</v>
          </cell>
          <cell r="R1157">
            <v>1548</v>
          </cell>
          <cell r="S1157">
            <v>0</v>
          </cell>
          <cell r="T1157">
            <v>17956</v>
          </cell>
          <cell r="U1157">
            <v>29149</v>
          </cell>
          <cell r="V1157">
            <v>11938</v>
          </cell>
          <cell r="W1157">
            <v>0</v>
          </cell>
          <cell r="X1157">
            <v>0</v>
          </cell>
          <cell r="Y1157">
            <v>0</v>
          </cell>
          <cell r="Z1157">
            <v>171441</v>
          </cell>
          <cell r="AA1157">
            <v>202883</v>
          </cell>
          <cell r="AB1157" t="str">
            <v>RAPE</v>
          </cell>
          <cell r="AC1157">
            <v>1101</v>
          </cell>
          <cell r="AD1157">
            <v>2</v>
          </cell>
          <cell r="AE1157">
            <v>15105</v>
          </cell>
        </row>
        <row r="1158">
          <cell r="A1158" t="str">
            <v>SMA</v>
          </cell>
          <cell r="B1158">
            <v>6</v>
          </cell>
          <cell r="C1158" t="str">
            <v>DRAG</v>
          </cell>
          <cell r="D1158">
            <v>67</v>
          </cell>
          <cell r="E1158">
            <v>1</v>
          </cell>
          <cell r="F1158" t="str">
            <v xml:space="preserve">B </v>
          </cell>
          <cell r="G1158">
            <v>14</v>
          </cell>
          <cell r="H1158">
            <v>10</v>
          </cell>
          <cell r="I1158">
            <v>1355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17286</v>
          </cell>
          <cell r="P1158">
            <v>0</v>
          </cell>
          <cell r="Q1158">
            <v>0</v>
          </cell>
          <cell r="R1158">
            <v>97</v>
          </cell>
          <cell r="S1158">
            <v>0</v>
          </cell>
          <cell r="T1158">
            <v>3813</v>
          </cell>
          <cell r="U1158">
            <v>2939</v>
          </cell>
          <cell r="V1158">
            <v>846</v>
          </cell>
          <cell r="W1158">
            <v>0</v>
          </cell>
          <cell r="X1158">
            <v>0</v>
          </cell>
          <cell r="Y1158">
            <v>0</v>
          </cell>
          <cell r="Z1158">
            <v>17286</v>
          </cell>
          <cell r="AA1158">
            <v>22042</v>
          </cell>
          <cell r="AB1158" t="str">
            <v>RAPE</v>
          </cell>
          <cell r="AC1158">
            <v>1101</v>
          </cell>
          <cell r="AD1158">
            <v>2</v>
          </cell>
          <cell r="AE1158">
            <v>1355</v>
          </cell>
        </row>
        <row r="1159">
          <cell r="A1159" t="str">
            <v>SMA</v>
          </cell>
          <cell r="B1159">
            <v>6</v>
          </cell>
          <cell r="C1159" t="str">
            <v>DRAG</v>
          </cell>
          <cell r="D1159">
            <v>67</v>
          </cell>
          <cell r="E1159">
            <v>1</v>
          </cell>
          <cell r="F1159" t="str">
            <v xml:space="preserve">B </v>
          </cell>
          <cell r="G1159">
            <v>15</v>
          </cell>
          <cell r="H1159">
            <v>11</v>
          </cell>
          <cell r="I1159">
            <v>2075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30460</v>
          </cell>
          <cell r="P1159">
            <v>0</v>
          </cell>
          <cell r="Q1159">
            <v>0</v>
          </cell>
          <cell r="R1159">
            <v>117</v>
          </cell>
          <cell r="S1159">
            <v>0</v>
          </cell>
          <cell r="T1159">
            <v>327</v>
          </cell>
          <cell r="U1159">
            <v>5358</v>
          </cell>
          <cell r="V1159">
            <v>1129</v>
          </cell>
          <cell r="W1159">
            <v>0</v>
          </cell>
          <cell r="X1159">
            <v>0</v>
          </cell>
          <cell r="Y1159">
            <v>0</v>
          </cell>
          <cell r="Z1159">
            <v>30460</v>
          </cell>
          <cell r="AA1159">
            <v>32033</v>
          </cell>
          <cell r="AB1159" t="str">
            <v>RAPE</v>
          </cell>
          <cell r="AC1159">
            <v>1101</v>
          </cell>
          <cell r="AD1159">
            <v>2</v>
          </cell>
          <cell r="AE1159">
            <v>2075</v>
          </cell>
        </row>
        <row r="1160">
          <cell r="A1160" t="str">
            <v>SMA</v>
          </cell>
          <cell r="B1160">
            <v>6</v>
          </cell>
          <cell r="C1160" t="str">
            <v>DRAG</v>
          </cell>
          <cell r="D1160">
            <v>67</v>
          </cell>
          <cell r="E1160">
            <v>2</v>
          </cell>
          <cell r="F1160" t="str">
            <v xml:space="preserve">B </v>
          </cell>
          <cell r="G1160">
            <v>0</v>
          </cell>
          <cell r="H1160">
            <v>25</v>
          </cell>
          <cell r="I1160">
            <v>44645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929446</v>
          </cell>
          <cell r="P1160">
            <v>0</v>
          </cell>
          <cell r="Q1160">
            <v>0</v>
          </cell>
          <cell r="R1160">
            <v>11015</v>
          </cell>
          <cell r="S1160">
            <v>0</v>
          </cell>
          <cell r="T1160">
            <v>24316</v>
          </cell>
          <cell r="U1160">
            <v>230838</v>
          </cell>
          <cell r="V1160">
            <v>8867</v>
          </cell>
          <cell r="W1160">
            <v>0</v>
          </cell>
          <cell r="X1160">
            <v>0</v>
          </cell>
          <cell r="Y1160">
            <v>4178</v>
          </cell>
          <cell r="Z1160">
            <v>929446</v>
          </cell>
          <cell r="AA1160">
            <v>977822</v>
          </cell>
          <cell r="AB1160" t="str">
            <v>RAPE</v>
          </cell>
          <cell r="AC1160">
            <v>1101</v>
          </cell>
          <cell r="AD1160">
            <v>2</v>
          </cell>
          <cell r="AE1160">
            <v>44425</v>
          </cell>
        </row>
        <row r="1161">
          <cell r="A1161" t="str">
            <v>SMA</v>
          </cell>
          <cell r="B1161">
            <v>6</v>
          </cell>
          <cell r="C1161" t="str">
            <v>DRAG</v>
          </cell>
          <cell r="D1161">
            <v>67</v>
          </cell>
          <cell r="E1161">
            <v>3</v>
          </cell>
          <cell r="F1161" t="str">
            <v xml:space="preserve">B </v>
          </cell>
          <cell r="G1161">
            <v>0</v>
          </cell>
          <cell r="H1161">
            <v>50</v>
          </cell>
          <cell r="I1161">
            <v>52346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1089764</v>
          </cell>
          <cell r="P1161">
            <v>0</v>
          </cell>
          <cell r="Q1161">
            <v>0</v>
          </cell>
          <cell r="R1161">
            <v>20133</v>
          </cell>
          <cell r="S1161">
            <v>0</v>
          </cell>
          <cell r="T1161">
            <v>113180</v>
          </cell>
          <cell r="U1161">
            <v>270727</v>
          </cell>
          <cell r="V1161">
            <v>12542</v>
          </cell>
          <cell r="W1161">
            <v>0</v>
          </cell>
          <cell r="X1161">
            <v>0</v>
          </cell>
          <cell r="Y1161">
            <v>3910</v>
          </cell>
          <cell r="Z1161">
            <v>1089764</v>
          </cell>
          <cell r="AA1161">
            <v>1239529</v>
          </cell>
          <cell r="AB1161" t="str">
            <v>RAPE</v>
          </cell>
          <cell r="AC1161">
            <v>1101</v>
          </cell>
          <cell r="AD1161">
            <v>2</v>
          </cell>
          <cell r="AE1161">
            <v>52032</v>
          </cell>
        </row>
        <row r="1162">
          <cell r="A1162" t="str">
            <v>SMA</v>
          </cell>
          <cell r="B1162">
            <v>6</v>
          </cell>
          <cell r="C1162" t="str">
            <v>DRAG</v>
          </cell>
          <cell r="D1162">
            <v>67</v>
          </cell>
          <cell r="E1162">
            <v>4</v>
          </cell>
          <cell r="F1162" t="str">
            <v xml:space="preserve">B </v>
          </cell>
          <cell r="G1162">
            <v>0</v>
          </cell>
          <cell r="H1162">
            <v>4888</v>
          </cell>
          <cell r="I1162">
            <v>1637173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15897349</v>
          </cell>
          <cell r="P1162">
            <v>0</v>
          </cell>
          <cell r="Q1162">
            <v>0</v>
          </cell>
          <cell r="R1162">
            <v>3808</v>
          </cell>
          <cell r="S1162">
            <v>0</v>
          </cell>
          <cell r="T1162">
            <v>1631698</v>
          </cell>
          <cell r="U1162">
            <v>0</v>
          </cell>
          <cell r="V1162">
            <v>848771</v>
          </cell>
          <cell r="W1162">
            <v>0</v>
          </cell>
          <cell r="X1162">
            <v>0</v>
          </cell>
          <cell r="Y1162">
            <v>0</v>
          </cell>
          <cell r="Z1162">
            <v>15897349</v>
          </cell>
          <cell r="AA1162">
            <v>18381626</v>
          </cell>
          <cell r="AB1162" t="str">
            <v>RAPE</v>
          </cell>
          <cell r="AC1162">
            <v>1101</v>
          </cell>
          <cell r="AD1162">
            <v>2</v>
          </cell>
          <cell r="AE1162">
            <v>1595329</v>
          </cell>
        </row>
        <row r="1163">
          <cell r="A1163" t="str">
            <v>SMA</v>
          </cell>
          <cell r="B1163">
            <v>6</v>
          </cell>
          <cell r="C1163" t="str">
            <v>DRAG</v>
          </cell>
          <cell r="D1163">
            <v>68</v>
          </cell>
          <cell r="E1163">
            <v>1</v>
          </cell>
          <cell r="F1163" t="str">
            <v xml:space="preserve">B </v>
          </cell>
          <cell r="G1163">
            <v>1</v>
          </cell>
          <cell r="H1163">
            <v>4550</v>
          </cell>
          <cell r="I1163">
            <v>92412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1493419</v>
          </cell>
          <cell r="P1163">
            <v>0</v>
          </cell>
          <cell r="Q1163">
            <v>0</v>
          </cell>
          <cell r="R1163">
            <v>14067</v>
          </cell>
          <cell r="S1163">
            <v>0</v>
          </cell>
          <cell r="T1163">
            <v>34566</v>
          </cell>
          <cell r="U1163">
            <v>0</v>
          </cell>
          <cell r="V1163">
            <v>3666</v>
          </cell>
          <cell r="W1163">
            <v>0</v>
          </cell>
          <cell r="X1163">
            <v>0</v>
          </cell>
          <cell r="Y1163">
            <v>96040</v>
          </cell>
          <cell r="Z1163">
            <v>1493419</v>
          </cell>
          <cell r="AA1163">
            <v>1641758</v>
          </cell>
          <cell r="AB1163" t="str">
            <v>ERBD</v>
          </cell>
          <cell r="AC1163">
            <v>1101</v>
          </cell>
          <cell r="AD1163">
            <v>2</v>
          </cell>
          <cell r="AE1163">
            <v>68268</v>
          </cell>
        </row>
        <row r="1164">
          <cell r="A1164" t="str">
            <v>SMA</v>
          </cell>
          <cell r="B1164">
            <v>6</v>
          </cell>
          <cell r="C1164" t="str">
            <v>DRAG</v>
          </cell>
          <cell r="D1164">
            <v>68</v>
          </cell>
          <cell r="E1164">
            <v>1</v>
          </cell>
          <cell r="F1164" t="str">
            <v xml:space="preserve">B </v>
          </cell>
          <cell r="G1164">
            <v>2</v>
          </cell>
          <cell r="H1164">
            <v>1800</v>
          </cell>
          <cell r="I1164">
            <v>73348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1422565</v>
          </cell>
          <cell r="P1164">
            <v>0</v>
          </cell>
          <cell r="Q1164">
            <v>0</v>
          </cell>
          <cell r="R1164">
            <v>13545</v>
          </cell>
          <cell r="S1164">
            <v>0</v>
          </cell>
          <cell r="T1164">
            <v>8132</v>
          </cell>
          <cell r="U1164">
            <v>241773</v>
          </cell>
          <cell r="V1164">
            <v>2444</v>
          </cell>
          <cell r="W1164">
            <v>0</v>
          </cell>
          <cell r="X1164">
            <v>0</v>
          </cell>
          <cell r="Y1164">
            <v>92260</v>
          </cell>
          <cell r="Z1164">
            <v>1422565</v>
          </cell>
          <cell r="AA1164">
            <v>1538946</v>
          </cell>
          <cell r="AB1164" t="str">
            <v>ERBD</v>
          </cell>
          <cell r="AC1164">
            <v>1101</v>
          </cell>
          <cell r="AD1164">
            <v>2</v>
          </cell>
          <cell r="AE1164">
            <v>73348</v>
          </cell>
        </row>
        <row r="1165">
          <cell r="A1165" t="str">
            <v>SMA</v>
          </cell>
          <cell r="B1165">
            <v>6</v>
          </cell>
          <cell r="C1165" t="str">
            <v>DRAG</v>
          </cell>
          <cell r="D1165">
            <v>68</v>
          </cell>
          <cell r="E1165">
            <v>1</v>
          </cell>
          <cell r="F1165" t="str">
            <v xml:space="preserve">B </v>
          </cell>
          <cell r="G1165">
            <v>3</v>
          </cell>
          <cell r="H1165">
            <v>3069</v>
          </cell>
          <cell r="I1165">
            <v>216005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4189225</v>
          </cell>
          <cell r="P1165">
            <v>0</v>
          </cell>
          <cell r="Q1165">
            <v>0</v>
          </cell>
          <cell r="R1165">
            <v>36456</v>
          </cell>
          <cell r="S1165">
            <v>0</v>
          </cell>
          <cell r="T1165">
            <v>24652</v>
          </cell>
          <cell r="U1165">
            <v>712188</v>
          </cell>
          <cell r="V1165">
            <v>1974</v>
          </cell>
          <cell r="W1165">
            <v>0</v>
          </cell>
          <cell r="X1165">
            <v>0</v>
          </cell>
          <cell r="Y1165">
            <v>280140</v>
          </cell>
          <cell r="Z1165">
            <v>4189225</v>
          </cell>
          <cell r="AA1165">
            <v>4532447</v>
          </cell>
          <cell r="AB1165" t="str">
            <v>ERBD</v>
          </cell>
          <cell r="AC1165">
            <v>1101</v>
          </cell>
          <cell r="AD1165">
            <v>2</v>
          </cell>
          <cell r="AE1165">
            <v>215500</v>
          </cell>
        </row>
        <row r="1166">
          <cell r="A1166" t="str">
            <v>SMA</v>
          </cell>
          <cell r="B1166">
            <v>6</v>
          </cell>
          <cell r="C1166" t="str">
            <v>DRAG</v>
          </cell>
          <cell r="D1166">
            <v>68</v>
          </cell>
          <cell r="E1166">
            <v>1</v>
          </cell>
          <cell r="F1166" t="str">
            <v xml:space="preserve">B </v>
          </cell>
          <cell r="G1166">
            <v>4</v>
          </cell>
          <cell r="H1166">
            <v>614</v>
          </cell>
          <cell r="I1166">
            <v>71799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1392668</v>
          </cell>
          <cell r="P1166">
            <v>0</v>
          </cell>
          <cell r="Q1166">
            <v>0</v>
          </cell>
          <cell r="R1166">
            <v>13489</v>
          </cell>
          <cell r="S1166">
            <v>0</v>
          </cell>
          <cell r="T1166">
            <v>5626</v>
          </cell>
          <cell r="U1166">
            <v>236763</v>
          </cell>
          <cell r="V1166">
            <v>94</v>
          </cell>
          <cell r="W1166">
            <v>0</v>
          </cell>
          <cell r="X1166">
            <v>0</v>
          </cell>
          <cell r="Y1166">
            <v>93310</v>
          </cell>
          <cell r="Z1166">
            <v>1392668</v>
          </cell>
          <cell r="AA1166">
            <v>1505187</v>
          </cell>
          <cell r="AB1166" t="str">
            <v>ERBD</v>
          </cell>
          <cell r="AC1166">
            <v>1101</v>
          </cell>
          <cell r="AD1166">
            <v>2</v>
          </cell>
          <cell r="AE1166">
            <v>71799</v>
          </cell>
        </row>
        <row r="1167">
          <cell r="A1167" t="str">
            <v>SMA</v>
          </cell>
          <cell r="B1167">
            <v>6</v>
          </cell>
          <cell r="C1167" t="str">
            <v>DRAG</v>
          </cell>
          <cell r="D1167">
            <v>68</v>
          </cell>
          <cell r="E1167">
            <v>1</v>
          </cell>
          <cell r="F1167" t="str">
            <v xml:space="preserve">B </v>
          </cell>
          <cell r="G1167">
            <v>5</v>
          </cell>
          <cell r="H1167">
            <v>164</v>
          </cell>
          <cell r="I1167">
            <v>27705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537355</v>
          </cell>
          <cell r="P1167">
            <v>0</v>
          </cell>
          <cell r="Q1167">
            <v>0</v>
          </cell>
          <cell r="R1167">
            <v>5593</v>
          </cell>
          <cell r="S1167">
            <v>0</v>
          </cell>
          <cell r="T1167">
            <v>3250</v>
          </cell>
          <cell r="U1167">
            <v>91355</v>
          </cell>
          <cell r="V1167">
            <v>94</v>
          </cell>
          <cell r="W1167">
            <v>0</v>
          </cell>
          <cell r="X1167">
            <v>0</v>
          </cell>
          <cell r="Y1167">
            <v>41552</v>
          </cell>
          <cell r="Z1167">
            <v>537355</v>
          </cell>
          <cell r="AA1167">
            <v>587844</v>
          </cell>
          <cell r="AB1167" t="str">
            <v>ERBD</v>
          </cell>
          <cell r="AC1167">
            <v>1101</v>
          </cell>
          <cell r="AD1167">
            <v>2</v>
          </cell>
          <cell r="AE1167">
            <v>27705</v>
          </cell>
        </row>
        <row r="1168">
          <cell r="A1168" t="str">
            <v>SMA</v>
          </cell>
          <cell r="B1168">
            <v>6</v>
          </cell>
          <cell r="C1168" t="str">
            <v>DRAG</v>
          </cell>
          <cell r="D1168">
            <v>68</v>
          </cell>
          <cell r="E1168">
            <v>1</v>
          </cell>
          <cell r="F1168" t="str">
            <v xml:space="preserve">B </v>
          </cell>
          <cell r="G1168">
            <v>6</v>
          </cell>
          <cell r="H1168">
            <v>70</v>
          </cell>
          <cell r="I1168">
            <v>15856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308757</v>
          </cell>
          <cell r="P1168">
            <v>0</v>
          </cell>
          <cell r="Q1168">
            <v>0</v>
          </cell>
          <cell r="R1168">
            <v>4612</v>
          </cell>
          <cell r="S1168">
            <v>0</v>
          </cell>
          <cell r="T1168">
            <v>1263</v>
          </cell>
          <cell r="U1168">
            <v>52511</v>
          </cell>
          <cell r="V1168">
            <v>0</v>
          </cell>
          <cell r="W1168">
            <v>0</v>
          </cell>
          <cell r="X1168">
            <v>0</v>
          </cell>
          <cell r="Y1168">
            <v>11760</v>
          </cell>
          <cell r="Z1168">
            <v>308757</v>
          </cell>
          <cell r="AA1168">
            <v>326392</v>
          </cell>
          <cell r="AB1168" t="str">
            <v>ERBD</v>
          </cell>
          <cell r="AC1168">
            <v>1101</v>
          </cell>
          <cell r="AD1168">
            <v>2</v>
          </cell>
          <cell r="AE1168">
            <v>15856</v>
          </cell>
        </row>
        <row r="1169">
          <cell r="A1169" t="str">
            <v>SMA</v>
          </cell>
          <cell r="B1169">
            <v>6</v>
          </cell>
          <cell r="C1169" t="str">
            <v>DRAG</v>
          </cell>
          <cell r="D1169">
            <v>68</v>
          </cell>
          <cell r="E1169">
            <v>1</v>
          </cell>
          <cell r="F1169" t="str">
            <v xml:space="preserve">B </v>
          </cell>
          <cell r="G1169">
            <v>7</v>
          </cell>
          <cell r="H1169">
            <v>31</v>
          </cell>
          <cell r="I1169">
            <v>10468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210666</v>
          </cell>
          <cell r="P1169">
            <v>0</v>
          </cell>
          <cell r="Q1169">
            <v>0</v>
          </cell>
          <cell r="R1169">
            <v>1943</v>
          </cell>
          <cell r="S1169">
            <v>0</v>
          </cell>
          <cell r="T1169">
            <v>160</v>
          </cell>
          <cell r="U1169">
            <v>42153</v>
          </cell>
          <cell r="V1169">
            <v>0</v>
          </cell>
          <cell r="W1169">
            <v>0</v>
          </cell>
          <cell r="X1169">
            <v>0</v>
          </cell>
          <cell r="Y1169">
            <v>11780</v>
          </cell>
          <cell r="Z1169">
            <v>210666</v>
          </cell>
          <cell r="AA1169">
            <v>224549</v>
          </cell>
          <cell r="AB1169" t="str">
            <v>ERBD</v>
          </cell>
          <cell r="AC1169">
            <v>1101</v>
          </cell>
          <cell r="AD1169">
            <v>2</v>
          </cell>
          <cell r="AE1169">
            <v>10468</v>
          </cell>
        </row>
        <row r="1170">
          <cell r="A1170" t="str">
            <v>SMA</v>
          </cell>
          <cell r="B1170">
            <v>6</v>
          </cell>
          <cell r="C1170" t="str">
            <v>DRAG</v>
          </cell>
          <cell r="D1170">
            <v>68</v>
          </cell>
          <cell r="E1170">
            <v>1</v>
          </cell>
          <cell r="F1170" t="str">
            <v xml:space="preserve">B </v>
          </cell>
          <cell r="G1170">
            <v>8</v>
          </cell>
          <cell r="H1170">
            <v>8</v>
          </cell>
          <cell r="I1170">
            <v>2941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59183</v>
          </cell>
          <cell r="P1170">
            <v>0</v>
          </cell>
          <cell r="Q1170">
            <v>0</v>
          </cell>
          <cell r="R1170">
            <v>397</v>
          </cell>
          <cell r="S1170">
            <v>0</v>
          </cell>
          <cell r="T1170">
            <v>295</v>
          </cell>
          <cell r="U1170">
            <v>11841</v>
          </cell>
          <cell r="V1170">
            <v>0</v>
          </cell>
          <cell r="W1170">
            <v>0</v>
          </cell>
          <cell r="X1170">
            <v>0</v>
          </cell>
          <cell r="Y1170">
            <v>589</v>
          </cell>
          <cell r="Z1170">
            <v>59183</v>
          </cell>
          <cell r="AA1170">
            <v>60464</v>
          </cell>
          <cell r="AB1170" t="str">
            <v>ERBD</v>
          </cell>
          <cell r="AC1170">
            <v>1101</v>
          </cell>
          <cell r="AD1170">
            <v>2</v>
          </cell>
          <cell r="AE1170">
            <v>2941</v>
          </cell>
        </row>
        <row r="1171">
          <cell r="A1171" t="str">
            <v>SMA</v>
          </cell>
          <cell r="B1171">
            <v>6</v>
          </cell>
          <cell r="C1171" t="str">
            <v>DRAG</v>
          </cell>
          <cell r="D1171">
            <v>68</v>
          </cell>
          <cell r="E1171">
            <v>1</v>
          </cell>
          <cell r="F1171" t="str">
            <v xml:space="preserve">B </v>
          </cell>
          <cell r="G1171">
            <v>9</v>
          </cell>
          <cell r="H1171">
            <v>10</v>
          </cell>
          <cell r="I1171">
            <v>6524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140022</v>
          </cell>
          <cell r="P1171">
            <v>0</v>
          </cell>
          <cell r="Q1171">
            <v>0</v>
          </cell>
          <cell r="R1171">
            <v>1094</v>
          </cell>
          <cell r="S1171">
            <v>0</v>
          </cell>
          <cell r="T1171">
            <v>32</v>
          </cell>
          <cell r="U1171">
            <v>35013</v>
          </cell>
          <cell r="V1171">
            <v>0</v>
          </cell>
          <cell r="W1171">
            <v>0</v>
          </cell>
          <cell r="X1171">
            <v>0</v>
          </cell>
          <cell r="Y1171">
            <v>5298</v>
          </cell>
          <cell r="Z1171">
            <v>140022</v>
          </cell>
          <cell r="AA1171">
            <v>146446</v>
          </cell>
          <cell r="AB1171" t="str">
            <v>ERBD</v>
          </cell>
          <cell r="AC1171">
            <v>1101</v>
          </cell>
          <cell r="AD1171">
            <v>2</v>
          </cell>
          <cell r="AE1171">
            <v>6524</v>
          </cell>
        </row>
        <row r="1172">
          <cell r="A1172" t="str">
            <v>SMA</v>
          </cell>
          <cell r="B1172">
            <v>6</v>
          </cell>
          <cell r="C1172" t="str">
            <v>DRAG</v>
          </cell>
          <cell r="D1172">
            <v>68</v>
          </cell>
          <cell r="E1172">
            <v>1</v>
          </cell>
          <cell r="F1172" t="str">
            <v xml:space="preserve">B </v>
          </cell>
          <cell r="G1172">
            <v>10</v>
          </cell>
          <cell r="H1172">
            <v>6</v>
          </cell>
          <cell r="I1172">
            <v>11054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237231</v>
          </cell>
          <cell r="P1172">
            <v>0</v>
          </cell>
          <cell r="Q1172">
            <v>0</v>
          </cell>
          <cell r="R1172">
            <v>105</v>
          </cell>
          <cell r="S1172">
            <v>0</v>
          </cell>
          <cell r="T1172">
            <v>50064</v>
          </cell>
          <cell r="U1172">
            <v>59316</v>
          </cell>
          <cell r="V1172">
            <v>0</v>
          </cell>
          <cell r="W1172">
            <v>0</v>
          </cell>
          <cell r="X1172">
            <v>0</v>
          </cell>
          <cell r="Y1172">
            <v>4908</v>
          </cell>
          <cell r="Z1172">
            <v>237231</v>
          </cell>
          <cell r="AA1172">
            <v>292308</v>
          </cell>
          <cell r="AB1172" t="str">
            <v>ERBD</v>
          </cell>
          <cell r="AC1172">
            <v>1101</v>
          </cell>
          <cell r="AD1172">
            <v>2</v>
          </cell>
          <cell r="AE1172">
            <v>11054</v>
          </cell>
        </row>
        <row r="1173">
          <cell r="A1173" t="str">
            <v>SMA</v>
          </cell>
          <cell r="B1173">
            <v>6</v>
          </cell>
          <cell r="C1173" t="str">
            <v>DRAG</v>
          </cell>
          <cell r="D1173">
            <v>68</v>
          </cell>
          <cell r="E1173">
            <v>1</v>
          </cell>
          <cell r="F1173" t="str">
            <v xml:space="preserve">B </v>
          </cell>
          <cell r="G1173">
            <v>11</v>
          </cell>
          <cell r="H1173">
            <v>578</v>
          </cell>
          <cell r="I1173">
            <v>12138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68395</v>
          </cell>
          <cell r="P1173">
            <v>0</v>
          </cell>
          <cell r="Q1173">
            <v>0</v>
          </cell>
          <cell r="R1173">
            <v>1462</v>
          </cell>
          <cell r="S1173">
            <v>0</v>
          </cell>
          <cell r="T1173">
            <v>917</v>
          </cell>
          <cell r="U1173">
            <v>0</v>
          </cell>
          <cell r="V1173">
            <v>1128</v>
          </cell>
          <cell r="W1173">
            <v>0</v>
          </cell>
          <cell r="X1173">
            <v>0</v>
          </cell>
          <cell r="Y1173">
            <v>4158</v>
          </cell>
          <cell r="Z1173">
            <v>68395</v>
          </cell>
          <cell r="AA1173">
            <v>76060</v>
          </cell>
          <cell r="AB1173" t="str">
            <v>ERBD</v>
          </cell>
          <cell r="AC1173">
            <v>1101</v>
          </cell>
          <cell r="AD1173">
            <v>2</v>
          </cell>
          <cell r="AE1173">
            <v>8152</v>
          </cell>
        </row>
        <row r="1174">
          <cell r="A1174" t="str">
            <v>SMA</v>
          </cell>
          <cell r="B1174">
            <v>6</v>
          </cell>
          <cell r="C1174" t="str">
            <v>DRAG</v>
          </cell>
          <cell r="D1174">
            <v>68</v>
          </cell>
          <cell r="E1174">
            <v>1</v>
          </cell>
          <cell r="F1174" t="str">
            <v xml:space="preserve">B </v>
          </cell>
          <cell r="G1174">
            <v>12</v>
          </cell>
          <cell r="H1174">
            <v>185</v>
          </cell>
          <cell r="I1174">
            <v>9126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79330</v>
          </cell>
          <cell r="P1174">
            <v>0</v>
          </cell>
          <cell r="Q1174">
            <v>0</v>
          </cell>
          <cell r="R1174">
            <v>1043</v>
          </cell>
          <cell r="S1174">
            <v>0</v>
          </cell>
          <cell r="T1174">
            <v>0</v>
          </cell>
          <cell r="U1174">
            <v>13482</v>
          </cell>
          <cell r="V1174">
            <v>376</v>
          </cell>
          <cell r="W1174">
            <v>0</v>
          </cell>
          <cell r="X1174">
            <v>0</v>
          </cell>
          <cell r="Y1174">
            <v>4963</v>
          </cell>
          <cell r="Z1174">
            <v>79330</v>
          </cell>
          <cell r="AA1174">
            <v>85712</v>
          </cell>
          <cell r="AB1174" t="str">
            <v>ERBD</v>
          </cell>
          <cell r="AC1174">
            <v>1101</v>
          </cell>
          <cell r="AD1174">
            <v>2</v>
          </cell>
          <cell r="AE1174">
            <v>9126</v>
          </cell>
        </row>
        <row r="1175">
          <cell r="A1175" t="str">
            <v>SMA</v>
          </cell>
          <cell r="B1175">
            <v>6</v>
          </cell>
          <cell r="C1175" t="str">
            <v>DRAG</v>
          </cell>
          <cell r="D1175">
            <v>68</v>
          </cell>
          <cell r="E1175">
            <v>1</v>
          </cell>
          <cell r="F1175" t="str">
            <v xml:space="preserve">B </v>
          </cell>
          <cell r="G1175">
            <v>13</v>
          </cell>
          <cell r="H1175">
            <v>13</v>
          </cell>
          <cell r="I1175">
            <v>1556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22608</v>
          </cell>
          <cell r="P1175">
            <v>0</v>
          </cell>
          <cell r="Q1175">
            <v>0</v>
          </cell>
          <cell r="R1175">
            <v>188</v>
          </cell>
          <cell r="S1175">
            <v>0</v>
          </cell>
          <cell r="T1175">
            <v>0</v>
          </cell>
          <cell r="U1175">
            <v>3844</v>
          </cell>
          <cell r="V1175">
            <v>0</v>
          </cell>
          <cell r="W1175">
            <v>0</v>
          </cell>
          <cell r="X1175">
            <v>0</v>
          </cell>
          <cell r="Y1175">
            <v>1120</v>
          </cell>
          <cell r="Z1175">
            <v>22608</v>
          </cell>
          <cell r="AA1175">
            <v>23916</v>
          </cell>
          <cell r="AB1175" t="str">
            <v>ERBD</v>
          </cell>
          <cell r="AC1175">
            <v>1101</v>
          </cell>
          <cell r="AD1175">
            <v>2</v>
          </cell>
          <cell r="AE1175">
            <v>1556</v>
          </cell>
        </row>
        <row r="1176">
          <cell r="A1176" t="str">
            <v>SMA</v>
          </cell>
          <cell r="B1176">
            <v>6</v>
          </cell>
          <cell r="C1176" t="str">
            <v>DRAG</v>
          </cell>
          <cell r="D1176">
            <v>68</v>
          </cell>
          <cell r="E1176">
            <v>1</v>
          </cell>
          <cell r="F1176" t="str">
            <v xml:space="preserve">B </v>
          </cell>
          <cell r="G1176">
            <v>14</v>
          </cell>
          <cell r="H1176">
            <v>1</v>
          </cell>
          <cell r="I1176">
            <v>144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1793</v>
          </cell>
          <cell r="P1176">
            <v>0</v>
          </cell>
          <cell r="Q1176">
            <v>0</v>
          </cell>
          <cell r="R1176">
            <v>8</v>
          </cell>
          <cell r="S1176">
            <v>0</v>
          </cell>
          <cell r="T1176">
            <v>0</v>
          </cell>
          <cell r="U1176">
            <v>305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1793</v>
          </cell>
          <cell r="AA1176">
            <v>1801</v>
          </cell>
          <cell r="AB1176" t="str">
            <v>ERBD</v>
          </cell>
          <cell r="AC1176">
            <v>1101</v>
          </cell>
          <cell r="AD1176">
            <v>2</v>
          </cell>
          <cell r="AE1176">
            <v>144</v>
          </cell>
        </row>
        <row r="1177">
          <cell r="A1177" t="str">
            <v>SMA</v>
          </cell>
          <cell r="B1177">
            <v>6</v>
          </cell>
          <cell r="C1177" t="str">
            <v>DRAG</v>
          </cell>
          <cell r="D1177">
            <v>68</v>
          </cell>
          <cell r="E1177">
            <v>1</v>
          </cell>
          <cell r="F1177" t="str">
            <v xml:space="preserve">B </v>
          </cell>
          <cell r="G1177">
            <v>15</v>
          </cell>
          <cell r="H1177">
            <v>2</v>
          </cell>
          <cell r="I1177">
            <v>1956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40972</v>
          </cell>
          <cell r="P1177">
            <v>0</v>
          </cell>
          <cell r="Q1177">
            <v>0</v>
          </cell>
          <cell r="R1177">
            <v>6</v>
          </cell>
          <cell r="S1177">
            <v>0</v>
          </cell>
          <cell r="T1177">
            <v>0</v>
          </cell>
          <cell r="U1177">
            <v>10321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40972</v>
          </cell>
          <cell r="AA1177">
            <v>40978</v>
          </cell>
          <cell r="AB1177" t="str">
            <v>ERBD</v>
          </cell>
          <cell r="AC1177">
            <v>1101</v>
          </cell>
          <cell r="AD1177">
            <v>2</v>
          </cell>
          <cell r="AE1177">
            <v>1956</v>
          </cell>
        </row>
        <row r="1178">
          <cell r="A1178" t="str">
            <v>SMA</v>
          </cell>
          <cell r="B1178">
            <v>6</v>
          </cell>
          <cell r="C1178" t="str">
            <v>DRAG</v>
          </cell>
          <cell r="D1178">
            <v>68</v>
          </cell>
          <cell r="E1178">
            <v>2</v>
          </cell>
          <cell r="F1178" t="str">
            <v xml:space="preserve">B </v>
          </cell>
          <cell r="G1178">
            <v>0</v>
          </cell>
          <cell r="H1178">
            <v>75</v>
          </cell>
          <cell r="I1178">
            <v>12707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265060</v>
          </cell>
          <cell r="P1178">
            <v>0</v>
          </cell>
          <cell r="Q1178">
            <v>0</v>
          </cell>
          <cell r="R1178">
            <v>4607</v>
          </cell>
          <cell r="S1178">
            <v>0</v>
          </cell>
          <cell r="T1178">
            <v>14519</v>
          </cell>
          <cell r="U1178">
            <v>65950</v>
          </cell>
          <cell r="V1178">
            <v>0</v>
          </cell>
          <cell r="W1178">
            <v>0</v>
          </cell>
          <cell r="X1178">
            <v>0</v>
          </cell>
          <cell r="Y1178">
            <v>21284</v>
          </cell>
          <cell r="Z1178">
            <v>265060</v>
          </cell>
          <cell r="AA1178">
            <v>305470</v>
          </cell>
          <cell r="AB1178" t="str">
            <v>ERBD</v>
          </cell>
          <cell r="AC1178">
            <v>1101</v>
          </cell>
          <cell r="AD1178">
            <v>2</v>
          </cell>
          <cell r="AE1178">
            <v>11737</v>
          </cell>
        </row>
        <row r="1179">
          <cell r="A1179" t="str">
            <v>SMA</v>
          </cell>
          <cell r="B1179">
            <v>6</v>
          </cell>
          <cell r="C1179" t="str">
            <v>DRAG</v>
          </cell>
          <cell r="D1179">
            <v>68</v>
          </cell>
          <cell r="E1179">
            <v>3</v>
          </cell>
          <cell r="F1179" t="str">
            <v>A4</v>
          </cell>
          <cell r="G1179">
            <v>20</v>
          </cell>
          <cell r="H1179">
            <v>3</v>
          </cell>
          <cell r="I1179">
            <v>13633</v>
          </cell>
          <cell r="J1179">
            <v>0</v>
          </cell>
          <cell r="K1179">
            <v>0</v>
          </cell>
          <cell r="L1179">
            <v>84</v>
          </cell>
          <cell r="M1179">
            <v>0</v>
          </cell>
          <cell r="N1179">
            <v>0</v>
          </cell>
          <cell r="O1179">
            <v>156433</v>
          </cell>
          <cell r="P1179">
            <v>65743</v>
          </cell>
          <cell r="Q1179">
            <v>11004</v>
          </cell>
          <cell r="R1179">
            <v>4838</v>
          </cell>
          <cell r="S1179">
            <v>0</v>
          </cell>
          <cell r="T1179">
            <v>0</v>
          </cell>
          <cell r="U1179">
            <v>59078</v>
          </cell>
          <cell r="V1179">
            <v>0</v>
          </cell>
          <cell r="W1179">
            <v>3131</v>
          </cell>
          <cell r="X1179">
            <v>0</v>
          </cell>
          <cell r="Y1179">
            <v>7362</v>
          </cell>
          <cell r="Z1179">
            <v>236311</v>
          </cell>
          <cell r="AA1179">
            <v>248511</v>
          </cell>
          <cell r="AB1179" t="str">
            <v>ERBD</v>
          </cell>
          <cell r="AC1179">
            <v>1101</v>
          </cell>
          <cell r="AD1179">
            <v>2</v>
          </cell>
          <cell r="AE1179">
            <v>13633</v>
          </cell>
        </row>
        <row r="1180">
          <cell r="A1180" t="str">
            <v>SMA</v>
          </cell>
          <cell r="B1180">
            <v>6</v>
          </cell>
          <cell r="C1180" t="str">
            <v>DRAG</v>
          </cell>
          <cell r="D1180">
            <v>68</v>
          </cell>
          <cell r="E1180">
            <v>3</v>
          </cell>
          <cell r="F1180" t="str">
            <v xml:space="preserve">B </v>
          </cell>
          <cell r="G1180">
            <v>0</v>
          </cell>
          <cell r="H1180">
            <v>713</v>
          </cell>
          <cell r="I1180">
            <v>88635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1843193</v>
          </cell>
          <cell r="P1180">
            <v>0</v>
          </cell>
          <cell r="Q1180">
            <v>0</v>
          </cell>
          <cell r="R1180">
            <v>21968</v>
          </cell>
          <cell r="S1180">
            <v>0</v>
          </cell>
          <cell r="T1180">
            <v>95642</v>
          </cell>
          <cell r="U1180">
            <v>445344</v>
          </cell>
          <cell r="V1180">
            <v>94</v>
          </cell>
          <cell r="W1180">
            <v>0</v>
          </cell>
          <cell r="X1180">
            <v>0</v>
          </cell>
          <cell r="Y1180">
            <v>145920</v>
          </cell>
          <cell r="Z1180">
            <v>1843193</v>
          </cell>
          <cell r="AA1180">
            <v>2106817</v>
          </cell>
          <cell r="AB1180" t="str">
            <v>ERBD</v>
          </cell>
          <cell r="AC1180">
            <v>1101</v>
          </cell>
          <cell r="AD1180">
            <v>2</v>
          </cell>
          <cell r="AE1180">
            <v>81010</v>
          </cell>
        </row>
        <row r="1181">
          <cell r="A1181" t="str">
            <v>SMA</v>
          </cell>
          <cell r="B1181">
            <v>6</v>
          </cell>
          <cell r="C1181" t="str">
            <v>DRAG</v>
          </cell>
          <cell r="D1181">
            <v>68</v>
          </cell>
          <cell r="E1181">
            <v>4</v>
          </cell>
          <cell r="F1181" t="str">
            <v xml:space="preserve">B </v>
          </cell>
          <cell r="G1181">
            <v>0</v>
          </cell>
          <cell r="H1181">
            <v>914</v>
          </cell>
          <cell r="I1181">
            <v>207919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2037123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61689</v>
          </cell>
          <cell r="U1181">
            <v>0</v>
          </cell>
          <cell r="V1181">
            <v>85035</v>
          </cell>
          <cell r="W1181">
            <v>0</v>
          </cell>
          <cell r="X1181">
            <v>0</v>
          </cell>
          <cell r="Y1181">
            <v>0</v>
          </cell>
          <cell r="Z1181">
            <v>2037123</v>
          </cell>
          <cell r="AA1181">
            <v>2183847</v>
          </cell>
          <cell r="AB1181" t="str">
            <v>ERBD</v>
          </cell>
          <cell r="AC1181">
            <v>1101</v>
          </cell>
          <cell r="AD1181">
            <v>2</v>
          </cell>
          <cell r="AE1181">
            <v>198339</v>
          </cell>
        </row>
        <row r="1182">
          <cell r="A1182" t="str">
            <v>SMA</v>
          </cell>
          <cell r="B1182">
            <v>6</v>
          </cell>
          <cell r="C1182" t="str">
            <v>DRAG</v>
          </cell>
          <cell r="D1182">
            <v>68</v>
          </cell>
          <cell r="E1182">
            <v>5</v>
          </cell>
          <cell r="F1182" t="str">
            <v>A4</v>
          </cell>
          <cell r="G1182">
            <v>20</v>
          </cell>
          <cell r="H1182">
            <v>1</v>
          </cell>
          <cell r="I1182">
            <v>3844</v>
          </cell>
          <cell r="J1182">
            <v>0</v>
          </cell>
          <cell r="K1182">
            <v>0</v>
          </cell>
          <cell r="L1182">
            <v>22</v>
          </cell>
          <cell r="M1182">
            <v>0</v>
          </cell>
          <cell r="N1182">
            <v>0</v>
          </cell>
          <cell r="O1182">
            <v>44108</v>
          </cell>
          <cell r="P1182">
            <v>17219</v>
          </cell>
          <cell r="Q1182">
            <v>1951</v>
          </cell>
          <cell r="R1182">
            <v>0</v>
          </cell>
          <cell r="S1182">
            <v>0</v>
          </cell>
          <cell r="T1182">
            <v>0</v>
          </cell>
          <cell r="U1182">
            <v>16015</v>
          </cell>
          <cell r="V1182">
            <v>0</v>
          </cell>
          <cell r="W1182">
            <v>783</v>
          </cell>
          <cell r="X1182">
            <v>0</v>
          </cell>
          <cell r="Y1182">
            <v>0</v>
          </cell>
          <cell r="Z1182">
            <v>64061</v>
          </cell>
          <cell r="AA1182">
            <v>64061</v>
          </cell>
          <cell r="AB1182" t="str">
            <v>ERBD</v>
          </cell>
          <cell r="AC1182">
            <v>1101</v>
          </cell>
          <cell r="AD1182">
            <v>2</v>
          </cell>
          <cell r="AE1182">
            <v>3844</v>
          </cell>
        </row>
        <row r="1183">
          <cell r="A1183" t="str">
            <v>SMA</v>
          </cell>
          <cell r="B1183">
            <v>6</v>
          </cell>
          <cell r="C1183" t="str">
            <v>DRAG</v>
          </cell>
          <cell r="D1183">
            <v>68</v>
          </cell>
          <cell r="E1183">
            <v>5</v>
          </cell>
          <cell r="F1183" t="str">
            <v xml:space="preserve">B </v>
          </cell>
          <cell r="G1183">
            <v>0</v>
          </cell>
          <cell r="H1183">
            <v>182</v>
          </cell>
          <cell r="I1183">
            <v>24577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492441</v>
          </cell>
          <cell r="P1183">
            <v>0</v>
          </cell>
          <cell r="Q1183">
            <v>0</v>
          </cell>
          <cell r="R1183">
            <v>2710</v>
          </cell>
          <cell r="S1183">
            <v>0</v>
          </cell>
          <cell r="T1183">
            <v>0</v>
          </cell>
          <cell r="U1183">
            <v>108749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492441</v>
          </cell>
          <cell r="AA1183">
            <v>495151</v>
          </cell>
          <cell r="AB1183" t="str">
            <v>ERBD</v>
          </cell>
          <cell r="AC1183">
            <v>1101</v>
          </cell>
          <cell r="AD1183">
            <v>2</v>
          </cell>
          <cell r="AE1183">
            <v>23105</v>
          </cell>
        </row>
        <row r="1184">
          <cell r="A1184" t="str">
            <v>SMA</v>
          </cell>
          <cell r="B1184">
            <v>6</v>
          </cell>
          <cell r="C1184" t="str">
            <v>DRAG</v>
          </cell>
          <cell r="D1184">
            <v>68</v>
          </cell>
          <cell r="E1184">
            <v>6</v>
          </cell>
          <cell r="F1184" t="str">
            <v xml:space="preserve">B </v>
          </cell>
          <cell r="G1184">
            <v>0</v>
          </cell>
          <cell r="H1184">
            <v>30</v>
          </cell>
          <cell r="I1184">
            <v>70792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833462</v>
          </cell>
          <cell r="P1184">
            <v>0</v>
          </cell>
          <cell r="Q1184">
            <v>0</v>
          </cell>
          <cell r="R1184">
            <v>14051</v>
          </cell>
          <cell r="S1184">
            <v>0</v>
          </cell>
          <cell r="T1184">
            <v>0</v>
          </cell>
          <cell r="U1184">
            <v>208365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833462</v>
          </cell>
          <cell r="AA1184">
            <v>847513</v>
          </cell>
          <cell r="AB1184" t="str">
            <v>ERBD</v>
          </cell>
          <cell r="AC1184">
            <v>1101</v>
          </cell>
          <cell r="AD1184">
            <v>2</v>
          </cell>
          <cell r="AE1184">
            <v>70792</v>
          </cell>
        </row>
        <row r="1185">
          <cell r="A1185" t="str">
            <v>SMA</v>
          </cell>
          <cell r="B1185">
            <v>6</v>
          </cell>
          <cell r="C1185" t="str">
            <v>DRAG</v>
          </cell>
          <cell r="D1185">
            <v>68</v>
          </cell>
          <cell r="E1185">
            <v>7</v>
          </cell>
          <cell r="F1185" t="str">
            <v>A4</v>
          </cell>
          <cell r="G1185">
            <v>20</v>
          </cell>
          <cell r="H1185">
            <v>1</v>
          </cell>
          <cell r="I1185">
            <v>19895</v>
          </cell>
          <cell r="J1185">
            <v>0</v>
          </cell>
          <cell r="K1185">
            <v>0</v>
          </cell>
          <cell r="L1185">
            <v>32</v>
          </cell>
          <cell r="M1185">
            <v>0</v>
          </cell>
          <cell r="N1185">
            <v>0</v>
          </cell>
          <cell r="O1185">
            <v>194043</v>
          </cell>
          <cell r="P1185">
            <v>21248</v>
          </cell>
          <cell r="Q1185">
            <v>11148</v>
          </cell>
          <cell r="R1185">
            <v>0</v>
          </cell>
          <cell r="S1185">
            <v>0</v>
          </cell>
          <cell r="T1185">
            <v>0</v>
          </cell>
          <cell r="U1185">
            <v>56942</v>
          </cell>
          <cell r="V1185">
            <v>0</v>
          </cell>
          <cell r="W1185">
            <v>1328</v>
          </cell>
          <cell r="X1185">
            <v>0</v>
          </cell>
          <cell r="Y1185">
            <v>0</v>
          </cell>
          <cell r="Z1185">
            <v>227767</v>
          </cell>
          <cell r="AA1185">
            <v>227767</v>
          </cell>
          <cell r="AB1185" t="str">
            <v>ERBD</v>
          </cell>
          <cell r="AC1185">
            <v>1101</v>
          </cell>
          <cell r="AD1185">
            <v>2</v>
          </cell>
          <cell r="AE1185">
            <v>19895</v>
          </cell>
        </row>
        <row r="1186">
          <cell r="A1186" t="str">
            <v>SMA</v>
          </cell>
          <cell r="B1186">
            <v>6</v>
          </cell>
          <cell r="C1186" t="str">
            <v>DRAG</v>
          </cell>
          <cell r="D1186">
            <v>68</v>
          </cell>
          <cell r="E1186">
            <v>7</v>
          </cell>
          <cell r="F1186" t="str">
            <v xml:space="preserve">B </v>
          </cell>
          <cell r="G1186">
            <v>0</v>
          </cell>
          <cell r="H1186">
            <v>8</v>
          </cell>
          <cell r="I1186">
            <v>1861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32928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8231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32928</v>
          </cell>
          <cell r="AA1186">
            <v>32928</v>
          </cell>
          <cell r="AB1186" t="str">
            <v>ERBD</v>
          </cell>
          <cell r="AC1186">
            <v>1101</v>
          </cell>
          <cell r="AD1186">
            <v>2</v>
          </cell>
          <cell r="AE1186">
            <v>1742</v>
          </cell>
        </row>
        <row r="1187">
          <cell r="A1187" t="str">
            <v>SMA</v>
          </cell>
          <cell r="B1187">
            <v>6</v>
          </cell>
          <cell r="C1187" t="str">
            <v>DRAG</v>
          </cell>
          <cell r="D1187">
            <v>68</v>
          </cell>
          <cell r="E1187">
            <v>8</v>
          </cell>
          <cell r="F1187" t="str">
            <v xml:space="preserve">B </v>
          </cell>
          <cell r="G1187">
            <v>0</v>
          </cell>
          <cell r="H1187">
            <v>1</v>
          </cell>
          <cell r="I1187">
            <v>885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18424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4606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18424</v>
          </cell>
          <cell r="AA1187">
            <v>18424</v>
          </cell>
          <cell r="AB1187" t="str">
            <v>ERBD</v>
          </cell>
          <cell r="AC1187">
            <v>1101</v>
          </cell>
          <cell r="AD1187">
            <v>2</v>
          </cell>
          <cell r="AE1187">
            <v>885</v>
          </cell>
        </row>
        <row r="1188">
          <cell r="A1188" t="str">
            <v>SMA</v>
          </cell>
          <cell r="B1188">
            <v>6</v>
          </cell>
          <cell r="C1188" t="str">
            <v>DRAG</v>
          </cell>
          <cell r="D1188">
            <v>68</v>
          </cell>
          <cell r="E1188">
            <v>90</v>
          </cell>
          <cell r="F1188" t="str">
            <v>A4</v>
          </cell>
          <cell r="G1188">
            <v>20</v>
          </cell>
          <cell r="H1188">
            <v>1</v>
          </cell>
          <cell r="I1188">
            <v>8880</v>
          </cell>
          <cell r="J1188">
            <v>0</v>
          </cell>
          <cell r="K1188">
            <v>0</v>
          </cell>
          <cell r="L1188">
            <v>36</v>
          </cell>
          <cell r="M1188">
            <v>0</v>
          </cell>
          <cell r="N1188">
            <v>0</v>
          </cell>
          <cell r="O1188">
            <v>23585</v>
          </cell>
          <cell r="P1188">
            <v>30924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54509</v>
          </cell>
          <cell r="AA1188">
            <v>54509</v>
          </cell>
          <cell r="AB1188" t="str">
            <v>ERBD</v>
          </cell>
          <cell r="AC1188">
            <v>1101</v>
          </cell>
          <cell r="AD1188">
            <v>2</v>
          </cell>
          <cell r="AE1188">
            <v>8880</v>
          </cell>
        </row>
        <row r="1189">
          <cell r="A1189" t="str">
            <v>SML</v>
          </cell>
          <cell r="B1189">
            <v>7</v>
          </cell>
          <cell r="C1189" t="str">
            <v>DMCN</v>
          </cell>
          <cell r="D1189">
            <v>71</v>
          </cell>
          <cell r="E1189">
            <v>1</v>
          </cell>
          <cell r="F1189" t="str">
            <v>A4</v>
          </cell>
          <cell r="G1189">
            <v>20</v>
          </cell>
          <cell r="H1189">
            <v>9</v>
          </cell>
          <cell r="I1189">
            <v>40007</v>
          </cell>
          <cell r="J1189">
            <v>0</v>
          </cell>
          <cell r="K1189">
            <v>0</v>
          </cell>
          <cell r="L1189">
            <v>116</v>
          </cell>
          <cell r="M1189">
            <v>0</v>
          </cell>
          <cell r="N1189">
            <v>0</v>
          </cell>
          <cell r="O1189">
            <v>459072</v>
          </cell>
          <cell r="P1189">
            <v>90790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137466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549862</v>
          </cell>
          <cell r="AA1189">
            <v>549862</v>
          </cell>
          <cell r="AB1189" t="str">
            <v>EMBV</v>
          </cell>
          <cell r="AC1189">
            <v>1101</v>
          </cell>
          <cell r="AD1189">
            <v>2</v>
          </cell>
          <cell r="AE1189">
            <v>40007</v>
          </cell>
        </row>
        <row r="1190">
          <cell r="A1190" t="str">
            <v>SML</v>
          </cell>
          <cell r="B1190">
            <v>7</v>
          </cell>
          <cell r="C1190" t="str">
            <v>DMCN</v>
          </cell>
          <cell r="D1190">
            <v>71</v>
          </cell>
          <cell r="E1190">
            <v>1</v>
          </cell>
          <cell r="F1190" t="str">
            <v xml:space="preserve">B </v>
          </cell>
          <cell r="G1190">
            <v>1</v>
          </cell>
          <cell r="H1190">
            <v>3225</v>
          </cell>
          <cell r="I1190">
            <v>79247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1282198</v>
          </cell>
          <cell r="P1190">
            <v>0</v>
          </cell>
          <cell r="Q1190">
            <v>0</v>
          </cell>
          <cell r="R1190">
            <v>28176</v>
          </cell>
          <cell r="S1190">
            <v>0</v>
          </cell>
          <cell r="T1190">
            <v>819887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1282198</v>
          </cell>
          <cell r="AA1190">
            <v>2130261</v>
          </cell>
          <cell r="AB1190" t="str">
            <v>EMBV</v>
          </cell>
          <cell r="AC1190">
            <v>1101</v>
          </cell>
          <cell r="AD1190">
            <v>2</v>
          </cell>
          <cell r="AE1190">
            <v>46318</v>
          </cell>
        </row>
        <row r="1191">
          <cell r="A1191" t="str">
            <v>SML</v>
          </cell>
          <cell r="B1191">
            <v>7</v>
          </cell>
          <cell r="C1191" t="str">
            <v>DMCN</v>
          </cell>
          <cell r="D1191">
            <v>71</v>
          </cell>
          <cell r="E1191">
            <v>1</v>
          </cell>
          <cell r="F1191" t="str">
            <v xml:space="preserve">B </v>
          </cell>
          <cell r="G1191">
            <v>2</v>
          </cell>
          <cell r="H1191">
            <v>1560</v>
          </cell>
          <cell r="I1191">
            <v>64666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1253661</v>
          </cell>
          <cell r="P1191">
            <v>0</v>
          </cell>
          <cell r="Q1191">
            <v>0</v>
          </cell>
          <cell r="R1191">
            <v>11108</v>
          </cell>
          <cell r="S1191">
            <v>0</v>
          </cell>
          <cell r="T1191">
            <v>65407</v>
          </cell>
          <cell r="U1191">
            <v>213072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1253661</v>
          </cell>
          <cell r="AA1191">
            <v>1330176</v>
          </cell>
          <cell r="AB1191" t="str">
            <v>EMBV</v>
          </cell>
          <cell r="AC1191">
            <v>1101</v>
          </cell>
          <cell r="AD1191">
            <v>2</v>
          </cell>
          <cell r="AE1191">
            <v>64507</v>
          </cell>
        </row>
        <row r="1192">
          <cell r="A1192" t="str">
            <v>SML</v>
          </cell>
          <cell r="B1192">
            <v>7</v>
          </cell>
          <cell r="C1192" t="str">
            <v>DMCN</v>
          </cell>
          <cell r="D1192">
            <v>71</v>
          </cell>
          <cell r="E1192">
            <v>1</v>
          </cell>
          <cell r="F1192" t="str">
            <v xml:space="preserve">B </v>
          </cell>
          <cell r="G1192">
            <v>3</v>
          </cell>
          <cell r="H1192">
            <v>5851</v>
          </cell>
          <cell r="I1192">
            <v>446763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8660536</v>
          </cell>
          <cell r="P1192">
            <v>0</v>
          </cell>
          <cell r="Q1192">
            <v>0</v>
          </cell>
          <cell r="R1192">
            <v>74657</v>
          </cell>
          <cell r="S1192">
            <v>0</v>
          </cell>
          <cell r="T1192">
            <v>391903</v>
          </cell>
          <cell r="U1192">
            <v>1472328</v>
          </cell>
          <cell r="V1192">
            <v>0</v>
          </cell>
          <cell r="W1192">
            <v>0</v>
          </cell>
          <cell r="X1192">
            <v>0</v>
          </cell>
          <cell r="Y1192">
            <v>865837</v>
          </cell>
          <cell r="Z1192">
            <v>8660536</v>
          </cell>
          <cell r="AA1192">
            <v>9992933</v>
          </cell>
          <cell r="AB1192" t="str">
            <v>EMBV</v>
          </cell>
          <cell r="AC1192">
            <v>1101</v>
          </cell>
          <cell r="AD1192">
            <v>2</v>
          </cell>
          <cell r="AE1192">
            <v>441905</v>
          </cell>
        </row>
        <row r="1193">
          <cell r="A1193" t="str">
            <v>SML</v>
          </cell>
          <cell r="B1193">
            <v>7</v>
          </cell>
          <cell r="C1193" t="str">
            <v>DMCN</v>
          </cell>
          <cell r="D1193">
            <v>71</v>
          </cell>
          <cell r="E1193">
            <v>1</v>
          </cell>
          <cell r="F1193" t="str">
            <v xml:space="preserve">B </v>
          </cell>
          <cell r="G1193">
            <v>4</v>
          </cell>
          <cell r="H1193">
            <v>4173</v>
          </cell>
          <cell r="I1193">
            <v>511827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9919568</v>
          </cell>
          <cell r="P1193">
            <v>0</v>
          </cell>
          <cell r="Q1193">
            <v>0</v>
          </cell>
          <cell r="R1193">
            <v>104072</v>
          </cell>
          <cell r="S1193">
            <v>0</v>
          </cell>
          <cell r="T1193">
            <v>356401</v>
          </cell>
          <cell r="U1193">
            <v>1686351</v>
          </cell>
          <cell r="V1193">
            <v>0</v>
          </cell>
          <cell r="W1193">
            <v>0</v>
          </cell>
          <cell r="X1193">
            <v>0</v>
          </cell>
          <cell r="Y1193">
            <v>1001192</v>
          </cell>
          <cell r="Z1193">
            <v>9919568</v>
          </cell>
          <cell r="AA1193">
            <v>11381233</v>
          </cell>
          <cell r="AB1193" t="str">
            <v>EMBV</v>
          </cell>
          <cell r="AC1193">
            <v>1101</v>
          </cell>
          <cell r="AD1193">
            <v>2</v>
          </cell>
          <cell r="AE1193">
            <v>511827</v>
          </cell>
        </row>
        <row r="1194">
          <cell r="A1194" t="str">
            <v>SML</v>
          </cell>
          <cell r="B1194">
            <v>7</v>
          </cell>
          <cell r="C1194" t="str">
            <v>DMCN</v>
          </cell>
          <cell r="D1194">
            <v>71</v>
          </cell>
          <cell r="E1194">
            <v>1</v>
          </cell>
          <cell r="F1194" t="str">
            <v xml:space="preserve">B </v>
          </cell>
          <cell r="G1194">
            <v>5</v>
          </cell>
          <cell r="H1194">
            <v>2438</v>
          </cell>
          <cell r="I1194">
            <v>422990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8200315</v>
          </cell>
          <cell r="P1194">
            <v>0</v>
          </cell>
          <cell r="Q1194">
            <v>0</v>
          </cell>
          <cell r="R1194">
            <v>84369</v>
          </cell>
          <cell r="S1194">
            <v>0</v>
          </cell>
          <cell r="T1194">
            <v>240485</v>
          </cell>
          <cell r="U1194">
            <v>1394112</v>
          </cell>
          <cell r="V1194">
            <v>0</v>
          </cell>
          <cell r="W1194">
            <v>0</v>
          </cell>
          <cell r="X1194">
            <v>0</v>
          </cell>
          <cell r="Y1194">
            <v>584822</v>
          </cell>
          <cell r="Z1194">
            <v>8200315</v>
          </cell>
          <cell r="AA1194">
            <v>9109991</v>
          </cell>
          <cell r="AB1194" t="str">
            <v>EMBV</v>
          </cell>
          <cell r="AC1194">
            <v>1101</v>
          </cell>
          <cell r="AD1194">
            <v>2</v>
          </cell>
          <cell r="AE1194">
            <v>422990</v>
          </cell>
        </row>
        <row r="1195">
          <cell r="A1195" t="str">
            <v>SML</v>
          </cell>
          <cell r="B1195">
            <v>7</v>
          </cell>
          <cell r="C1195" t="str">
            <v>DMCN</v>
          </cell>
          <cell r="D1195">
            <v>71</v>
          </cell>
          <cell r="E1195">
            <v>1</v>
          </cell>
          <cell r="F1195" t="str">
            <v xml:space="preserve">B </v>
          </cell>
          <cell r="G1195">
            <v>6</v>
          </cell>
          <cell r="H1195">
            <v>2150</v>
          </cell>
          <cell r="I1195">
            <v>521038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10098921</v>
          </cell>
          <cell r="P1195">
            <v>0</v>
          </cell>
          <cell r="Q1195">
            <v>0</v>
          </cell>
          <cell r="R1195">
            <v>104470</v>
          </cell>
          <cell r="S1195">
            <v>1689</v>
          </cell>
          <cell r="T1195">
            <v>259252</v>
          </cell>
          <cell r="U1195">
            <v>1717243</v>
          </cell>
          <cell r="V1195">
            <v>0</v>
          </cell>
          <cell r="W1195">
            <v>0</v>
          </cell>
          <cell r="X1195">
            <v>0</v>
          </cell>
          <cell r="Y1195">
            <v>503755</v>
          </cell>
          <cell r="Z1195">
            <v>10098921</v>
          </cell>
          <cell r="AA1195">
            <v>10968087</v>
          </cell>
          <cell r="AB1195" t="str">
            <v>EMBV</v>
          </cell>
          <cell r="AC1195">
            <v>1101</v>
          </cell>
          <cell r="AD1195">
            <v>2</v>
          </cell>
          <cell r="AE1195">
            <v>521038</v>
          </cell>
        </row>
        <row r="1196">
          <cell r="A1196" t="str">
            <v>SML</v>
          </cell>
          <cell r="B1196">
            <v>7</v>
          </cell>
          <cell r="C1196" t="str">
            <v>DMCN</v>
          </cell>
          <cell r="D1196">
            <v>71</v>
          </cell>
          <cell r="E1196">
            <v>1</v>
          </cell>
          <cell r="F1196" t="str">
            <v xml:space="preserve">B </v>
          </cell>
          <cell r="G1196">
            <v>7</v>
          </cell>
          <cell r="H1196">
            <v>792</v>
          </cell>
          <cell r="I1196">
            <v>271708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5462533</v>
          </cell>
          <cell r="P1196">
            <v>0</v>
          </cell>
          <cell r="Q1196">
            <v>0</v>
          </cell>
          <cell r="R1196">
            <v>48682</v>
          </cell>
          <cell r="S1196">
            <v>0</v>
          </cell>
          <cell r="T1196">
            <v>115444</v>
          </cell>
          <cell r="U1196">
            <v>1092792</v>
          </cell>
          <cell r="V1196">
            <v>0</v>
          </cell>
          <cell r="W1196">
            <v>0</v>
          </cell>
          <cell r="X1196">
            <v>0</v>
          </cell>
          <cell r="Y1196">
            <v>184667</v>
          </cell>
          <cell r="Z1196">
            <v>5462533</v>
          </cell>
          <cell r="AA1196">
            <v>5811326</v>
          </cell>
          <cell r="AB1196" t="str">
            <v>EMBV</v>
          </cell>
          <cell r="AC1196">
            <v>1101</v>
          </cell>
          <cell r="AD1196">
            <v>2</v>
          </cell>
          <cell r="AE1196">
            <v>271708</v>
          </cell>
        </row>
        <row r="1197">
          <cell r="A1197" t="str">
            <v>SML</v>
          </cell>
          <cell r="B1197">
            <v>7</v>
          </cell>
          <cell r="C1197" t="str">
            <v>DMCN</v>
          </cell>
          <cell r="D1197">
            <v>71</v>
          </cell>
          <cell r="E1197">
            <v>1</v>
          </cell>
          <cell r="F1197" t="str">
            <v xml:space="preserve">B </v>
          </cell>
          <cell r="G1197">
            <v>8</v>
          </cell>
          <cell r="H1197">
            <v>357</v>
          </cell>
          <cell r="I1197">
            <v>157279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3161177</v>
          </cell>
          <cell r="P1197">
            <v>0</v>
          </cell>
          <cell r="Q1197">
            <v>0</v>
          </cell>
          <cell r="R1197">
            <v>28458</v>
          </cell>
          <cell r="S1197">
            <v>0</v>
          </cell>
          <cell r="T1197">
            <v>39496</v>
          </cell>
          <cell r="U1197">
            <v>632343</v>
          </cell>
          <cell r="V1197">
            <v>0</v>
          </cell>
          <cell r="W1197">
            <v>0</v>
          </cell>
          <cell r="X1197">
            <v>0</v>
          </cell>
          <cell r="Y1197">
            <v>83139</v>
          </cell>
          <cell r="Z1197">
            <v>3161177</v>
          </cell>
          <cell r="AA1197">
            <v>3312270</v>
          </cell>
          <cell r="AB1197" t="str">
            <v>EMBV</v>
          </cell>
          <cell r="AC1197">
            <v>1101</v>
          </cell>
          <cell r="AD1197">
            <v>2</v>
          </cell>
          <cell r="AE1197">
            <v>157279</v>
          </cell>
        </row>
        <row r="1198">
          <cell r="A1198" t="str">
            <v>SML</v>
          </cell>
          <cell r="B1198">
            <v>7</v>
          </cell>
          <cell r="C1198" t="str">
            <v>DMCN</v>
          </cell>
          <cell r="D1198">
            <v>71</v>
          </cell>
          <cell r="E1198">
            <v>1</v>
          </cell>
          <cell r="F1198" t="str">
            <v xml:space="preserve">B </v>
          </cell>
          <cell r="G1198">
            <v>9</v>
          </cell>
          <cell r="H1198">
            <v>445</v>
          </cell>
          <cell r="I1198">
            <v>291104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6208790</v>
          </cell>
          <cell r="P1198">
            <v>0</v>
          </cell>
          <cell r="Q1198">
            <v>0</v>
          </cell>
          <cell r="R1198">
            <v>55651</v>
          </cell>
          <cell r="S1198">
            <v>0</v>
          </cell>
          <cell r="T1198">
            <v>196909</v>
          </cell>
          <cell r="U1198">
            <v>1552373</v>
          </cell>
          <cell r="V1198">
            <v>0</v>
          </cell>
          <cell r="W1198">
            <v>0</v>
          </cell>
          <cell r="X1198">
            <v>0</v>
          </cell>
          <cell r="Y1198">
            <v>89096</v>
          </cell>
          <cell r="Z1198">
            <v>6208790</v>
          </cell>
          <cell r="AA1198">
            <v>6550446</v>
          </cell>
          <cell r="AB1198" t="str">
            <v>EMBV</v>
          </cell>
          <cell r="AC1198">
            <v>1101</v>
          </cell>
          <cell r="AD1198">
            <v>2</v>
          </cell>
          <cell r="AE1198">
            <v>291104</v>
          </cell>
        </row>
        <row r="1199">
          <cell r="A1199" t="str">
            <v>SML</v>
          </cell>
          <cell r="B1199">
            <v>7</v>
          </cell>
          <cell r="C1199" t="str">
            <v>DMCN</v>
          </cell>
          <cell r="D1199">
            <v>71</v>
          </cell>
          <cell r="E1199">
            <v>1</v>
          </cell>
          <cell r="F1199" t="str">
            <v xml:space="preserve">B </v>
          </cell>
          <cell r="G1199">
            <v>10</v>
          </cell>
          <cell r="H1199">
            <v>178</v>
          </cell>
          <cell r="I1199">
            <v>424168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8895353</v>
          </cell>
          <cell r="P1199">
            <v>0</v>
          </cell>
          <cell r="Q1199">
            <v>0</v>
          </cell>
          <cell r="R1199">
            <v>55977</v>
          </cell>
          <cell r="S1199">
            <v>0</v>
          </cell>
          <cell r="T1199">
            <v>128385</v>
          </cell>
          <cell r="U1199">
            <v>2223841</v>
          </cell>
          <cell r="V1199">
            <v>0</v>
          </cell>
          <cell r="W1199">
            <v>0</v>
          </cell>
          <cell r="X1199">
            <v>0</v>
          </cell>
          <cell r="Y1199">
            <v>13986</v>
          </cell>
          <cell r="Z1199">
            <v>8895353</v>
          </cell>
          <cell r="AA1199">
            <v>9093701</v>
          </cell>
          <cell r="AB1199" t="str">
            <v>EMBV</v>
          </cell>
          <cell r="AC1199">
            <v>1101</v>
          </cell>
          <cell r="AD1199">
            <v>2</v>
          </cell>
          <cell r="AE1199">
            <v>424168</v>
          </cell>
        </row>
        <row r="1200">
          <cell r="A1200" t="str">
            <v>SML</v>
          </cell>
          <cell r="B1200">
            <v>7</v>
          </cell>
          <cell r="C1200" t="str">
            <v>DMCN</v>
          </cell>
          <cell r="D1200">
            <v>71</v>
          </cell>
          <cell r="E1200">
            <v>1</v>
          </cell>
          <cell r="F1200" t="str">
            <v xml:space="preserve">B </v>
          </cell>
          <cell r="G1200">
            <v>11</v>
          </cell>
          <cell r="H1200">
            <v>891</v>
          </cell>
          <cell r="I1200">
            <v>22567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127293</v>
          </cell>
          <cell r="P1200">
            <v>0</v>
          </cell>
          <cell r="Q1200">
            <v>0</v>
          </cell>
          <cell r="R1200">
            <v>3707</v>
          </cell>
          <cell r="S1200">
            <v>0</v>
          </cell>
          <cell r="T1200">
            <v>31400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127293</v>
          </cell>
          <cell r="AA1200">
            <v>162400</v>
          </cell>
          <cell r="AB1200" t="str">
            <v>EMBV</v>
          </cell>
          <cell r="AC1200">
            <v>1101</v>
          </cell>
          <cell r="AD1200">
            <v>2</v>
          </cell>
          <cell r="AE1200">
            <v>15593</v>
          </cell>
        </row>
        <row r="1201">
          <cell r="A1201" t="str">
            <v>SML</v>
          </cell>
          <cell r="B1201">
            <v>7</v>
          </cell>
          <cell r="C1201" t="str">
            <v>DMCN</v>
          </cell>
          <cell r="D1201">
            <v>71</v>
          </cell>
          <cell r="E1201">
            <v>1</v>
          </cell>
          <cell r="F1201" t="str">
            <v xml:space="preserve">B </v>
          </cell>
          <cell r="G1201">
            <v>12</v>
          </cell>
          <cell r="H1201">
            <v>1001</v>
          </cell>
          <cell r="I1201">
            <v>64505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616745</v>
          </cell>
          <cell r="P1201">
            <v>0</v>
          </cell>
          <cell r="Q1201">
            <v>0</v>
          </cell>
          <cell r="R1201">
            <v>13654</v>
          </cell>
          <cell r="S1201">
            <v>0</v>
          </cell>
          <cell r="T1201">
            <v>30960</v>
          </cell>
          <cell r="U1201">
            <v>104872</v>
          </cell>
          <cell r="V1201">
            <v>0</v>
          </cell>
          <cell r="W1201">
            <v>0</v>
          </cell>
          <cell r="X1201">
            <v>0</v>
          </cell>
          <cell r="Y1201">
            <v>95312</v>
          </cell>
          <cell r="Z1201">
            <v>616745</v>
          </cell>
          <cell r="AA1201">
            <v>756671</v>
          </cell>
          <cell r="AB1201" t="str">
            <v>EMBV</v>
          </cell>
          <cell r="AC1201">
            <v>1101</v>
          </cell>
          <cell r="AD1201">
            <v>2</v>
          </cell>
          <cell r="AE1201">
            <v>64505</v>
          </cell>
        </row>
        <row r="1202">
          <cell r="A1202" t="str">
            <v>SML</v>
          </cell>
          <cell r="B1202">
            <v>7</v>
          </cell>
          <cell r="C1202" t="str">
            <v>DMCN</v>
          </cell>
          <cell r="D1202">
            <v>71</v>
          </cell>
          <cell r="E1202">
            <v>1</v>
          </cell>
          <cell r="F1202" t="str">
            <v xml:space="preserve">B </v>
          </cell>
          <cell r="G1202">
            <v>13</v>
          </cell>
          <cell r="H1202">
            <v>252</v>
          </cell>
          <cell r="I1202">
            <v>29611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400471</v>
          </cell>
          <cell r="P1202">
            <v>0</v>
          </cell>
          <cell r="Q1202">
            <v>0</v>
          </cell>
          <cell r="R1202">
            <v>4519</v>
          </cell>
          <cell r="S1202">
            <v>0</v>
          </cell>
          <cell r="T1202">
            <v>9109</v>
          </cell>
          <cell r="U1202">
            <v>68091</v>
          </cell>
          <cell r="V1202">
            <v>0</v>
          </cell>
          <cell r="W1202">
            <v>0</v>
          </cell>
          <cell r="X1202">
            <v>0</v>
          </cell>
          <cell r="Y1202">
            <v>63714</v>
          </cell>
          <cell r="Z1202">
            <v>400471</v>
          </cell>
          <cell r="AA1202">
            <v>477813</v>
          </cell>
          <cell r="AB1202" t="str">
            <v>EMBV</v>
          </cell>
          <cell r="AC1202">
            <v>1101</v>
          </cell>
          <cell r="AD1202">
            <v>2</v>
          </cell>
          <cell r="AE1202">
            <v>29611</v>
          </cell>
        </row>
        <row r="1203">
          <cell r="A1203" t="str">
            <v>SML</v>
          </cell>
          <cell r="B1203">
            <v>7</v>
          </cell>
          <cell r="C1203" t="str">
            <v>DMCN</v>
          </cell>
          <cell r="D1203">
            <v>71</v>
          </cell>
          <cell r="E1203">
            <v>1</v>
          </cell>
          <cell r="F1203" t="str">
            <v xml:space="preserve">B </v>
          </cell>
          <cell r="G1203">
            <v>14</v>
          </cell>
          <cell r="H1203">
            <v>37</v>
          </cell>
          <cell r="I1203">
            <v>5632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81257</v>
          </cell>
          <cell r="P1203">
            <v>0</v>
          </cell>
          <cell r="Q1203">
            <v>0</v>
          </cell>
          <cell r="R1203">
            <v>6134</v>
          </cell>
          <cell r="S1203">
            <v>0</v>
          </cell>
          <cell r="T1203">
            <v>0</v>
          </cell>
          <cell r="U1203">
            <v>13817</v>
          </cell>
          <cell r="V1203">
            <v>0</v>
          </cell>
          <cell r="W1203">
            <v>0</v>
          </cell>
          <cell r="X1203">
            <v>0</v>
          </cell>
          <cell r="Y1203">
            <v>6734</v>
          </cell>
          <cell r="Z1203">
            <v>81257</v>
          </cell>
          <cell r="AA1203">
            <v>94125</v>
          </cell>
          <cell r="AB1203" t="str">
            <v>EMBV</v>
          </cell>
          <cell r="AC1203">
            <v>1101</v>
          </cell>
          <cell r="AD1203">
            <v>2</v>
          </cell>
          <cell r="AE1203">
            <v>5632</v>
          </cell>
        </row>
        <row r="1204">
          <cell r="A1204" t="str">
            <v>SML</v>
          </cell>
          <cell r="B1204">
            <v>7</v>
          </cell>
          <cell r="C1204" t="str">
            <v>DMCN</v>
          </cell>
          <cell r="D1204">
            <v>71</v>
          </cell>
          <cell r="E1204">
            <v>1</v>
          </cell>
          <cell r="F1204" t="str">
            <v xml:space="preserve">B </v>
          </cell>
          <cell r="G1204">
            <v>15</v>
          </cell>
          <cell r="H1204">
            <v>43</v>
          </cell>
          <cell r="I1204">
            <v>9190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138974</v>
          </cell>
          <cell r="P1204">
            <v>0</v>
          </cell>
          <cell r="Q1204">
            <v>0</v>
          </cell>
          <cell r="R1204">
            <v>1405</v>
          </cell>
          <cell r="S1204">
            <v>0</v>
          </cell>
          <cell r="T1204">
            <v>7258</v>
          </cell>
          <cell r="U1204">
            <v>25060</v>
          </cell>
          <cell r="V1204">
            <v>0</v>
          </cell>
          <cell r="W1204">
            <v>0</v>
          </cell>
          <cell r="X1204">
            <v>0</v>
          </cell>
          <cell r="Y1204">
            <v>9324</v>
          </cell>
          <cell r="Z1204">
            <v>138974</v>
          </cell>
          <cell r="AA1204">
            <v>156961</v>
          </cell>
          <cell r="AB1204" t="str">
            <v>EMBV</v>
          </cell>
          <cell r="AC1204">
            <v>1101</v>
          </cell>
          <cell r="AD1204">
            <v>2</v>
          </cell>
          <cell r="AE1204">
            <v>9190</v>
          </cell>
        </row>
        <row r="1205">
          <cell r="A1205" t="str">
            <v>SML</v>
          </cell>
          <cell r="B1205">
            <v>7</v>
          </cell>
          <cell r="C1205" t="str">
            <v>DMCN</v>
          </cell>
          <cell r="D1205">
            <v>71</v>
          </cell>
          <cell r="E1205">
            <v>2</v>
          </cell>
          <cell r="F1205" t="str">
            <v>A3</v>
          </cell>
          <cell r="G1205">
            <v>26</v>
          </cell>
          <cell r="H1205">
            <v>1</v>
          </cell>
          <cell r="I1205">
            <v>1866616</v>
          </cell>
          <cell r="J1205">
            <v>103543</v>
          </cell>
          <cell r="K1205">
            <v>1763073</v>
          </cell>
          <cell r="L1205">
            <v>3200</v>
          </cell>
          <cell r="M1205">
            <v>3200</v>
          </cell>
          <cell r="N1205">
            <v>2800</v>
          </cell>
          <cell r="O1205">
            <v>10676785</v>
          </cell>
          <cell r="P1205">
            <v>7887220</v>
          </cell>
          <cell r="Q1205">
            <v>119071</v>
          </cell>
          <cell r="R1205">
            <v>322293</v>
          </cell>
          <cell r="S1205">
            <v>0</v>
          </cell>
          <cell r="T1205">
            <v>0</v>
          </cell>
          <cell r="U1205">
            <v>4670770</v>
          </cell>
          <cell r="V1205">
            <v>0</v>
          </cell>
          <cell r="W1205">
            <v>0</v>
          </cell>
          <cell r="X1205">
            <v>0</v>
          </cell>
          <cell r="Y1205">
            <v>519</v>
          </cell>
          <cell r="Z1205">
            <v>18683076</v>
          </cell>
          <cell r="AA1205">
            <v>19005888</v>
          </cell>
          <cell r="AB1205" t="str">
            <v>EMBV</v>
          </cell>
          <cell r="AC1205">
            <v>1101</v>
          </cell>
          <cell r="AD1205">
            <v>2</v>
          </cell>
          <cell r="AE1205">
            <v>1866616</v>
          </cell>
        </row>
        <row r="1206">
          <cell r="A1206" t="str">
            <v>SML</v>
          </cell>
          <cell r="B1206">
            <v>7</v>
          </cell>
          <cell r="C1206" t="str">
            <v>DMCN</v>
          </cell>
          <cell r="D1206">
            <v>71</v>
          </cell>
          <cell r="E1206">
            <v>2</v>
          </cell>
          <cell r="F1206" t="str">
            <v>A4</v>
          </cell>
          <cell r="G1206">
            <v>22</v>
          </cell>
          <cell r="H1206">
            <v>3</v>
          </cell>
          <cell r="I1206">
            <v>2174362</v>
          </cell>
          <cell r="J1206">
            <v>211914</v>
          </cell>
          <cell r="K1206">
            <v>1962448</v>
          </cell>
          <cell r="L1206">
            <v>9145</v>
          </cell>
          <cell r="M1206">
            <v>4563</v>
          </cell>
          <cell r="N1206">
            <v>4550</v>
          </cell>
          <cell r="O1206">
            <v>15550539</v>
          </cell>
          <cell r="P1206">
            <v>12705611</v>
          </cell>
          <cell r="Q1206">
            <v>102532</v>
          </cell>
          <cell r="R1206">
            <v>0</v>
          </cell>
          <cell r="S1206">
            <v>0</v>
          </cell>
          <cell r="T1206">
            <v>0</v>
          </cell>
          <cell r="U1206">
            <v>7092778</v>
          </cell>
          <cell r="V1206">
            <v>0</v>
          </cell>
          <cell r="W1206">
            <v>12432</v>
          </cell>
          <cell r="X1206">
            <v>0</v>
          </cell>
          <cell r="Y1206">
            <v>1557</v>
          </cell>
          <cell r="Z1206">
            <v>28371114</v>
          </cell>
          <cell r="AA1206">
            <v>28372671</v>
          </cell>
          <cell r="AB1206" t="str">
            <v>EMBV</v>
          </cell>
          <cell r="AC1206">
            <v>1101</v>
          </cell>
          <cell r="AD1206">
            <v>2</v>
          </cell>
          <cell r="AE1206">
            <v>2174362</v>
          </cell>
        </row>
        <row r="1207">
          <cell r="A1207" t="str">
            <v>SML</v>
          </cell>
          <cell r="B1207">
            <v>7</v>
          </cell>
          <cell r="C1207" t="str">
            <v>DMCN</v>
          </cell>
          <cell r="D1207">
            <v>71</v>
          </cell>
          <cell r="E1207">
            <v>2</v>
          </cell>
          <cell r="F1207" t="str">
            <v>A4</v>
          </cell>
          <cell r="G1207">
            <v>21</v>
          </cell>
          <cell r="H1207">
            <v>4</v>
          </cell>
          <cell r="I1207">
            <v>335278</v>
          </cell>
          <cell r="J1207">
            <v>27514</v>
          </cell>
          <cell r="K1207">
            <v>307764</v>
          </cell>
          <cell r="L1207">
            <v>1120</v>
          </cell>
          <cell r="M1207">
            <v>1120</v>
          </cell>
          <cell r="N1207">
            <v>0</v>
          </cell>
          <cell r="O1207">
            <v>3678678</v>
          </cell>
          <cell r="P1207">
            <v>773546</v>
          </cell>
          <cell r="Q1207">
            <v>65749</v>
          </cell>
          <cell r="R1207">
            <v>1688</v>
          </cell>
          <cell r="S1207">
            <v>0</v>
          </cell>
          <cell r="T1207">
            <v>3703</v>
          </cell>
          <cell r="U1207">
            <v>1132948</v>
          </cell>
          <cell r="V1207">
            <v>0</v>
          </cell>
          <cell r="W1207">
            <v>13813</v>
          </cell>
          <cell r="X1207">
            <v>0</v>
          </cell>
          <cell r="Y1207">
            <v>2076</v>
          </cell>
          <cell r="Z1207">
            <v>4531786</v>
          </cell>
          <cell r="AA1207">
            <v>4539253</v>
          </cell>
          <cell r="AB1207" t="str">
            <v>EMBV</v>
          </cell>
          <cell r="AC1207">
            <v>1101</v>
          </cell>
          <cell r="AD1207">
            <v>2</v>
          </cell>
          <cell r="AE1207">
            <v>335278</v>
          </cell>
        </row>
        <row r="1208">
          <cell r="A1208" t="str">
            <v>SML</v>
          </cell>
          <cell r="B1208">
            <v>7</v>
          </cell>
          <cell r="C1208" t="str">
            <v>DMCN</v>
          </cell>
          <cell r="D1208">
            <v>71</v>
          </cell>
          <cell r="E1208">
            <v>2</v>
          </cell>
          <cell r="F1208" t="str">
            <v>A4</v>
          </cell>
          <cell r="G1208">
            <v>20</v>
          </cell>
          <cell r="H1208">
            <v>29</v>
          </cell>
          <cell r="I1208">
            <v>633229</v>
          </cell>
          <cell r="J1208">
            <v>0</v>
          </cell>
          <cell r="K1208">
            <v>0</v>
          </cell>
          <cell r="L1208">
            <v>2489</v>
          </cell>
          <cell r="M1208">
            <v>0</v>
          </cell>
          <cell r="N1208">
            <v>0</v>
          </cell>
          <cell r="O1208">
            <v>7266087</v>
          </cell>
          <cell r="P1208">
            <v>1948058</v>
          </cell>
          <cell r="Q1208">
            <v>379377</v>
          </cell>
          <cell r="R1208">
            <v>118237</v>
          </cell>
          <cell r="S1208">
            <v>0</v>
          </cell>
          <cell r="T1208">
            <v>-3703</v>
          </cell>
          <cell r="U1208">
            <v>2433016</v>
          </cell>
          <cell r="V1208">
            <v>0</v>
          </cell>
          <cell r="W1208">
            <v>138530</v>
          </cell>
          <cell r="X1208">
            <v>0</v>
          </cell>
          <cell r="Y1208">
            <v>14532</v>
          </cell>
          <cell r="Z1208">
            <v>9732052</v>
          </cell>
          <cell r="AA1208">
            <v>9861118</v>
          </cell>
          <cell r="AB1208" t="str">
            <v>EMBV</v>
          </cell>
          <cell r="AC1208">
            <v>1101</v>
          </cell>
          <cell r="AD1208">
            <v>2</v>
          </cell>
          <cell r="AE1208">
            <v>633229</v>
          </cell>
        </row>
        <row r="1209">
          <cell r="A1209" t="str">
            <v>SML</v>
          </cell>
          <cell r="B1209">
            <v>7</v>
          </cell>
          <cell r="C1209" t="str">
            <v>DMCN</v>
          </cell>
          <cell r="D1209">
            <v>71</v>
          </cell>
          <cell r="E1209">
            <v>2</v>
          </cell>
          <cell r="F1209" t="str">
            <v xml:space="preserve">B </v>
          </cell>
          <cell r="G1209">
            <v>0</v>
          </cell>
          <cell r="H1209">
            <v>213</v>
          </cell>
          <cell r="I1209">
            <v>206399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4296913</v>
          </cell>
          <cell r="P1209">
            <v>0</v>
          </cell>
          <cell r="Q1209">
            <v>0</v>
          </cell>
          <cell r="R1209">
            <v>43177</v>
          </cell>
          <cell r="S1209">
            <v>0</v>
          </cell>
          <cell r="T1209">
            <v>276046</v>
          </cell>
          <cell r="U1209">
            <v>1072225</v>
          </cell>
          <cell r="V1209">
            <v>0</v>
          </cell>
          <cell r="W1209">
            <v>0</v>
          </cell>
          <cell r="X1209">
            <v>0</v>
          </cell>
          <cell r="Y1209">
            <v>102762</v>
          </cell>
          <cell r="Z1209">
            <v>4296913</v>
          </cell>
          <cell r="AA1209">
            <v>4718898</v>
          </cell>
          <cell r="AB1209" t="str">
            <v>EMBV</v>
          </cell>
          <cell r="AC1209">
            <v>1101</v>
          </cell>
          <cell r="AD1209">
            <v>2</v>
          </cell>
          <cell r="AE1209">
            <v>203450</v>
          </cell>
        </row>
        <row r="1210">
          <cell r="A1210" t="str">
            <v>SML</v>
          </cell>
          <cell r="B1210">
            <v>7</v>
          </cell>
          <cell r="C1210" t="str">
            <v>DMCN</v>
          </cell>
          <cell r="D1210">
            <v>71</v>
          </cell>
          <cell r="E1210">
            <v>3</v>
          </cell>
          <cell r="F1210" t="str">
            <v>A4</v>
          </cell>
          <cell r="G1210">
            <v>22</v>
          </cell>
          <cell r="H1210">
            <v>8</v>
          </cell>
          <cell r="I1210">
            <v>964559</v>
          </cell>
          <cell r="J1210">
            <v>135955</v>
          </cell>
          <cell r="K1210">
            <v>828604</v>
          </cell>
          <cell r="L1210">
            <v>7942</v>
          </cell>
          <cell r="M1210">
            <v>4776</v>
          </cell>
          <cell r="N1210">
            <v>3996</v>
          </cell>
          <cell r="O1210">
            <v>7197203</v>
          </cell>
          <cell r="P1210">
            <v>11573006</v>
          </cell>
          <cell r="Q1210">
            <v>150507</v>
          </cell>
          <cell r="R1210">
            <v>0</v>
          </cell>
          <cell r="S1210">
            <v>0</v>
          </cell>
          <cell r="T1210">
            <v>0</v>
          </cell>
          <cell r="U1210">
            <v>4771257</v>
          </cell>
          <cell r="V1210">
            <v>0</v>
          </cell>
          <cell r="W1210">
            <v>164308</v>
          </cell>
          <cell r="X1210">
            <v>0</v>
          </cell>
          <cell r="Y1210">
            <v>4152</v>
          </cell>
          <cell r="Z1210">
            <v>19085024</v>
          </cell>
          <cell r="AA1210">
            <v>19089176</v>
          </cell>
          <cell r="AB1210" t="str">
            <v>EMBV</v>
          </cell>
          <cell r="AC1210">
            <v>1101</v>
          </cell>
          <cell r="AD1210">
            <v>2</v>
          </cell>
          <cell r="AE1210">
            <v>964559</v>
          </cell>
        </row>
        <row r="1211">
          <cell r="A1211" t="str">
            <v>SML</v>
          </cell>
          <cell r="B1211">
            <v>7</v>
          </cell>
          <cell r="C1211" t="str">
            <v>DMCN</v>
          </cell>
          <cell r="D1211">
            <v>71</v>
          </cell>
          <cell r="E1211">
            <v>3</v>
          </cell>
          <cell r="F1211" t="str">
            <v>A4</v>
          </cell>
          <cell r="G1211">
            <v>21</v>
          </cell>
          <cell r="H1211">
            <v>26</v>
          </cell>
          <cell r="I1211">
            <v>2056674</v>
          </cell>
          <cell r="J1211">
            <v>119726</v>
          </cell>
          <cell r="K1211">
            <v>1936948</v>
          </cell>
          <cell r="L1211">
            <v>9144</v>
          </cell>
          <cell r="M1211">
            <v>8902</v>
          </cell>
          <cell r="N1211">
            <v>0</v>
          </cell>
          <cell r="O1211">
            <v>19867319</v>
          </cell>
          <cell r="P1211">
            <v>6649417</v>
          </cell>
          <cell r="Q1211">
            <v>688175</v>
          </cell>
          <cell r="R1211">
            <v>116706</v>
          </cell>
          <cell r="S1211">
            <v>0</v>
          </cell>
          <cell r="T1211">
            <v>221127</v>
          </cell>
          <cell r="U1211">
            <v>6812973</v>
          </cell>
          <cell r="V1211">
            <v>0</v>
          </cell>
          <cell r="W1211">
            <v>46966</v>
          </cell>
          <cell r="X1211">
            <v>0</v>
          </cell>
          <cell r="Y1211">
            <v>13494</v>
          </cell>
          <cell r="Z1211">
            <v>27251877</v>
          </cell>
          <cell r="AA1211">
            <v>27603204</v>
          </cell>
          <cell r="AB1211" t="str">
            <v>EMBV</v>
          </cell>
          <cell r="AC1211">
            <v>1101</v>
          </cell>
          <cell r="AD1211">
            <v>2</v>
          </cell>
          <cell r="AE1211">
            <v>2056674</v>
          </cell>
        </row>
        <row r="1212">
          <cell r="A1212" t="str">
            <v>SML</v>
          </cell>
          <cell r="B1212">
            <v>7</v>
          </cell>
          <cell r="C1212" t="str">
            <v>DMCN</v>
          </cell>
          <cell r="D1212">
            <v>71</v>
          </cell>
          <cell r="E1212">
            <v>3</v>
          </cell>
          <cell r="F1212" t="str">
            <v>A4</v>
          </cell>
          <cell r="G1212">
            <v>20</v>
          </cell>
          <cell r="H1212">
            <v>289</v>
          </cell>
          <cell r="I1212">
            <v>4771786</v>
          </cell>
          <cell r="J1212">
            <v>0</v>
          </cell>
          <cell r="K1212">
            <v>0</v>
          </cell>
          <cell r="L1212">
            <v>21651</v>
          </cell>
          <cell r="M1212">
            <v>0</v>
          </cell>
          <cell r="N1212">
            <v>0</v>
          </cell>
          <cell r="O1212">
            <v>54776251</v>
          </cell>
          <cell r="P1212">
            <v>16936905</v>
          </cell>
          <cell r="Q1212">
            <v>1881206</v>
          </cell>
          <cell r="R1212">
            <v>367601</v>
          </cell>
          <cell r="S1212">
            <v>0</v>
          </cell>
          <cell r="T1212">
            <v>87406</v>
          </cell>
          <cell r="U1212">
            <v>18510619</v>
          </cell>
          <cell r="V1212">
            <v>0</v>
          </cell>
          <cell r="W1212">
            <v>599525</v>
          </cell>
          <cell r="X1212">
            <v>0</v>
          </cell>
          <cell r="Y1212">
            <v>136497</v>
          </cell>
          <cell r="Z1212">
            <v>74193887</v>
          </cell>
          <cell r="AA1212">
            <v>74785391</v>
          </cell>
          <cell r="AB1212" t="str">
            <v>EMBV</v>
          </cell>
          <cell r="AC1212">
            <v>1101</v>
          </cell>
          <cell r="AD1212">
            <v>2</v>
          </cell>
          <cell r="AE1212">
            <v>4771786</v>
          </cell>
        </row>
        <row r="1213">
          <cell r="A1213" t="str">
            <v>SML</v>
          </cell>
          <cell r="B1213">
            <v>7</v>
          </cell>
          <cell r="C1213" t="str">
            <v>DMCN</v>
          </cell>
          <cell r="D1213">
            <v>71</v>
          </cell>
          <cell r="E1213">
            <v>3</v>
          </cell>
          <cell r="F1213" t="str">
            <v xml:space="preserve">B </v>
          </cell>
          <cell r="G1213">
            <v>0</v>
          </cell>
          <cell r="H1213">
            <v>13837</v>
          </cell>
          <cell r="I1213">
            <v>6220669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129544658</v>
          </cell>
          <cell r="P1213">
            <v>0</v>
          </cell>
          <cell r="Q1213">
            <v>0</v>
          </cell>
          <cell r="R1213">
            <v>1046719</v>
          </cell>
          <cell r="S1213">
            <v>43</v>
          </cell>
          <cell r="T1213">
            <v>5555927</v>
          </cell>
          <cell r="U1213">
            <v>32152079</v>
          </cell>
          <cell r="V1213">
            <v>0</v>
          </cell>
          <cell r="W1213">
            <v>0</v>
          </cell>
          <cell r="X1213">
            <v>0</v>
          </cell>
          <cell r="Y1213">
            <v>6618190</v>
          </cell>
          <cell r="Z1213">
            <v>129544658</v>
          </cell>
          <cell r="AA1213">
            <v>142765537</v>
          </cell>
          <cell r="AB1213" t="str">
            <v>EMBV</v>
          </cell>
          <cell r="AC1213">
            <v>1101</v>
          </cell>
          <cell r="AD1213">
            <v>2</v>
          </cell>
          <cell r="AE1213">
            <v>6108580</v>
          </cell>
        </row>
        <row r="1214">
          <cell r="A1214" t="str">
            <v>SML</v>
          </cell>
          <cell r="B1214">
            <v>7</v>
          </cell>
          <cell r="C1214" t="str">
            <v>DMCN</v>
          </cell>
          <cell r="D1214">
            <v>71</v>
          </cell>
          <cell r="E1214">
            <v>4</v>
          </cell>
          <cell r="F1214" t="str">
            <v xml:space="preserve">B </v>
          </cell>
          <cell r="G1214">
            <v>0</v>
          </cell>
          <cell r="H1214">
            <v>16</v>
          </cell>
          <cell r="I1214">
            <v>480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4704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220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4704</v>
          </cell>
          <cell r="AA1214">
            <v>4924</v>
          </cell>
          <cell r="AB1214" t="str">
            <v>EMBV</v>
          </cell>
          <cell r="AC1214">
            <v>1101</v>
          </cell>
          <cell r="AD1214">
            <v>2</v>
          </cell>
          <cell r="AE1214">
            <v>0</v>
          </cell>
        </row>
        <row r="1215">
          <cell r="A1215" t="str">
            <v>SML</v>
          </cell>
          <cell r="B1215">
            <v>7</v>
          </cell>
          <cell r="C1215" t="str">
            <v>DMCN</v>
          </cell>
          <cell r="D1215">
            <v>71</v>
          </cell>
          <cell r="E1215">
            <v>5</v>
          </cell>
          <cell r="F1215" t="str">
            <v>A4</v>
          </cell>
          <cell r="G1215">
            <v>22</v>
          </cell>
          <cell r="H1215">
            <v>2</v>
          </cell>
          <cell r="I1215">
            <v>138851</v>
          </cell>
          <cell r="J1215">
            <v>5060</v>
          </cell>
          <cell r="K1215">
            <v>133791</v>
          </cell>
          <cell r="L1215">
            <v>1417</v>
          </cell>
          <cell r="M1215">
            <v>806</v>
          </cell>
          <cell r="N1215">
            <v>611</v>
          </cell>
          <cell r="O1215">
            <v>748899</v>
          </cell>
          <cell r="P1215">
            <v>1411796</v>
          </cell>
          <cell r="Q1215">
            <v>15257</v>
          </cell>
          <cell r="R1215">
            <v>70626</v>
          </cell>
          <cell r="S1215">
            <v>0</v>
          </cell>
          <cell r="T1215">
            <v>0</v>
          </cell>
          <cell r="U1215">
            <v>94809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2175952</v>
          </cell>
          <cell r="AA1215">
            <v>2246578</v>
          </cell>
          <cell r="AB1215" t="str">
            <v>EMBV</v>
          </cell>
          <cell r="AC1215">
            <v>1101</v>
          </cell>
          <cell r="AD1215">
            <v>2</v>
          </cell>
          <cell r="AE1215">
            <v>138851</v>
          </cell>
        </row>
        <row r="1216">
          <cell r="A1216" t="str">
            <v>SML</v>
          </cell>
          <cell r="B1216">
            <v>7</v>
          </cell>
          <cell r="C1216" t="str">
            <v>DMCN</v>
          </cell>
          <cell r="D1216">
            <v>71</v>
          </cell>
          <cell r="E1216">
            <v>5</v>
          </cell>
          <cell r="F1216" t="str">
            <v>A4</v>
          </cell>
          <cell r="G1216">
            <v>21</v>
          </cell>
          <cell r="H1216">
            <v>23</v>
          </cell>
          <cell r="I1216">
            <v>2049936</v>
          </cell>
          <cell r="J1216">
            <v>95564</v>
          </cell>
          <cell r="K1216">
            <v>1954372</v>
          </cell>
          <cell r="L1216">
            <v>10100</v>
          </cell>
          <cell r="M1216">
            <v>9767</v>
          </cell>
          <cell r="N1216">
            <v>0</v>
          </cell>
          <cell r="O1216">
            <v>17538704</v>
          </cell>
          <cell r="P1216">
            <v>7176274</v>
          </cell>
          <cell r="Q1216">
            <v>526845</v>
          </cell>
          <cell r="R1216">
            <v>55097</v>
          </cell>
          <cell r="S1216">
            <v>0</v>
          </cell>
          <cell r="T1216">
            <v>245955</v>
          </cell>
          <cell r="U1216">
            <v>5463281</v>
          </cell>
          <cell r="V1216">
            <v>0</v>
          </cell>
          <cell r="W1216">
            <v>147457</v>
          </cell>
          <cell r="X1216">
            <v>0</v>
          </cell>
          <cell r="Y1216">
            <v>0</v>
          </cell>
          <cell r="Z1216">
            <v>25389280</v>
          </cell>
          <cell r="AA1216">
            <v>25690332</v>
          </cell>
          <cell r="AB1216" t="str">
            <v>EMBV</v>
          </cell>
          <cell r="AC1216">
            <v>1101</v>
          </cell>
          <cell r="AD1216">
            <v>2</v>
          </cell>
          <cell r="AE1216">
            <v>2049936</v>
          </cell>
        </row>
        <row r="1217">
          <cell r="A1217" t="str">
            <v>SML</v>
          </cell>
          <cell r="B1217">
            <v>7</v>
          </cell>
          <cell r="C1217" t="str">
            <v>DMCN</v>
          </cell>
          <cell r="D1217">
            <v>71</v>
          </cell>
          <cell r="E1217">
            <v>5</v>
          </cell>
          <cell r="F1217" t="str">
            <v>A4</v>
          </cell>
          <cell r="G1217">
            <v>20</v>
          </cell>
          <cell r="H1217">
            <v>90</v>
          </cell>
          <cell r="I1217">
            <v>1937899</v>
          </cell>
          <cell r="J1217">
            <v>0</v>
          </cell>
          <cell r="K1217">
            <v>0</v>
          </cell>
          <cell r="L1217">
            <v>11321</v>
          </cell>
          <cell r="M1217">
            <v>0</v>
          </cell>
          <cell r="N1217">
            <v>0</v>
          </cell>
          <cell r="O1217">
            <v>19061396</v>
          </cell>
          <cell r="P1217">
            <v>7479946</v>
          </cell>
          <cell r="Q1217">
            <v>1039312</v>
          </cell>
          <cell r="R1217">
            <v>228907</v>
          </cell>
          <cell r="S1217">
            <v>0</v>
          </cell>
          <cell r="T1217">
            <v>192269</v>
          </cell>
          <cell r="U1217">
            <v>3377664</v>
          </cell>
          <cell r="V1217">
            <v>0</v>
          </cell>
          <cell r="W1217">
            <v>403465</v>
          </cell>
          <cell r="X1217">
            <v>0</v>
          </cell>
          <cell r="Y1217">
            <v>0</v>
          </cell>
          <cell r="Z1217">
            <v>27984119</v>
          </cell>
          <cell r="AA1217">
            <v>28405295</v>
          </cell>
          <cell r="AB1217" t="str">
            <v>EMBV</v>
          </cell>
          <cell r="AC1217">
            <v>1101</v>
          </cell>
          <cell r="AD1217">
            <v>2</v>
          </cell>
          <cell r="AE1217">
            <v>1937899</v>
          </cell>
        </row>
        <row r="1218">
          <cell r="A1218" t="str">
            <v>SML</v>
          </cell>
          <cell r="B1218">
            <v>7</v>
          </cell>
          <cell r="C1218" t="str">
            <v>DMCN</v>
          </cell>
          <cell r="D1218">
            <v>71</v>
          </cell>
          <cell r="E1218">
            <v>5</v>
          </cell>
          <cell r="F1218" t="str">
            <v xml:space="preserve">B </v>
          </cell>
          <cell r="G1218">
            <v>0</v>
          </cell>
          <cell r="H1218">
            <v>314</v>
          </cell>
          <cell r="I1218">
            <v>498353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9111452</v>
          </cell>
          <cell r="P1218">
            <v>0</v>
          </cell>
          <cell r="Q1218">
            <v>0</v>
          </cell>
          <cell r="R1218">
            <v>59549</v>
          </cell>
          <cell r="S1218">
            <v>0</v>
          </cell>
          <cell r="T1218">
            <v>9552</v>
          </cell>
          <cell r="U1218">
            <v>1329041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9111452</v>
          </cell>
          <cell r="AA1218">
            <v>9180553</v>
          </cell>
          <cell r="AB1218" t="str">
            <v>EMBV</v>
          </cell>
          <cell r="AC1218">
            <v>1101</v>
          </cell>
          <cell r="AD1218">
            <v>2</v>
          </cell>
          <cell r="AE1218">
            <v>496411</v>
          </cell>
        </row>
        <row r="1219">
          <cell r="A1219" t="str">
            <v>SML</v>
          </cell>
          <cell r="B1219">
            <v>7</v>
          </cell>
          <cell r="C1219" t="str">
            <v>DMCN</v>
          </cell>
          <cell r="D1219">
            <v>71</v>
          </cell>
          <cell r="E1219">
            <v>6</v>
          </cell>
          <cell r="F1219" t="str">
            <v xml:space="preserve">B </v>
          </cell>
          <cell r="G1219">
            <v>0</v>
          </cell>
          <cell r="H1219">
            <v>1</v>
          </cell>
          <cell r="I1219">
            <v>8434610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90463981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22615995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90463981</v>
          </cell>
          <cell r="AA1219">
            <v>90463981</v>
          </cell>
          <cell r="AB1219" t="str">
            <v>EMBV</v>
          </cell>
          <cell r="AC1219">
            <v>1101</v>
          </cell>
          <cell r="AD1219">
            <v>2</v>
          </cell>
          <cell r="AE1219">
            <v>8434610</v>
          </cell>
        </row>
        <row r="1220">
          <cell r="A1220" t="str">
            <v>SML</v>
          </cell>
          <cell r="B1220">
            <v>7</v>
          </cell>
          <cell r="C1220" t="str">
            <v>DMCN</v>
          </cell>
          <cell r="D1220">
            <v>71</v>
          </cell>
          <cell r="E1220">
            <v>7</v>
          </cell>
          <cell r="F1220" t="str">
            <v>A3</v>
          </cell>
          <cell r="G1220">
            <v>26</v>
          </cell>
          <cell r="H1220">
            <v>1</v>
          </cell>
          <cell r="I1220">
            <v>2452142</v>
          </cell>
          <cell r="J1220">
            <v>246270</v>
          </cell>
          <cell r="K1220">
            <v>2205872</v>
          </cell>
          <cell r="L1220">
            <v>14625</v>
          </cell>
          <cell r="M1220">
            <v>7625</v>
          </cell>
          <cell r="N1220">
            <v>7000</v>
          </cell>
          <cell r="O1220">
            <v>14303881</v>
          </cell>
          <cell r="P1220">
            <v>15533000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7459220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29836881</v>
          </cell>
          <cell r="AA1220">
            <v>29836881</v>
          </cell>
          <cell r="AB1220" t="str">
            <v>EMBV</v>
          </cell>
          <cell r="AC1220">
            <v>1101</v>
          </cell>
          <cell r="AD1220">
            <v>2</v>
          </cell>
          <cell r="AE1220">
            <v>2452142</v>
          </cell>
        </row>
        <row r="1221">
          <cell r="A1221" t="str">
            <v>SML</v>
          </cell>
          <cell r="B1221">
            <v>7</v>
          </cell>
          <cell r="C1221" t="str">
            <v>DMCN</v>
          </cell>
          <cell r="D1221">
            <v>71</v>
          </cell>
          <cell r="E1221">
            <v>7</v>
          </cell>
          <cell r="F1221" t="str">
            <v>A4</v>
          </cell>
          <cell r="G1221">
            <v>20</v>
          </cell>
          <cell r="H1221">
            <v>6</v>
          </cell>
          <cell r="I1221">
            <v>34547</v>
          </cell>
          <cell r="J1221">
            <v>0</v>
          </cell>
          <cell r="K1221">
            <v>0</v>
          </cell>
          <cell r="L1221">
            <v>262</v>
          </cell>
          <cell r="M1221">
            <v>0</v>
          </cell>
          <cell r="N1221">
            <v>0</v>
          </cell>
          <cell r="O1221">
            <v>336947</v>
          </cell>
          <cell r="P1221">
            <v>173968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127728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510915</v>
          </cell>
          <cell r="AA1221">
            <v>510915</v>
          </cell>
          <cell r="AB1221" t="str">
            <v>EMBV</v>
          </cell>
          <cell r="AC1221">
            <v>1101</v>
          </cell>
          <cell r="AD1221">
            <v>2</v>
          </cell>
          <cell r="AE1221">
            <v>34547</v>
          </cell>
        </row>
        <row r="1222">
          <cell r="A1222" t="str">
            <v>SML</v>
          </cell>
          <cell r="B1222">
            <v>7</v>
          </cell>
          <cell r="C1222" t="str">
            <v>DMCN</v>
          </cell>
          <cell r="D1222">
            <v>71</v>
          </cell>
          <cell r="E1222">
            <v>7</v>
          </cell>
          <cell r="F1222" t="str">
            <v xml:space="preserve">B </v>
          </cell>
          <cell r="G1222">
            <v>0</v>
          </cell>
          <cell r="H1222">
            <v>1</v>
          </cell>
          <cell r="I1222">
            <v>1100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19464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4866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19464</v>
          </cell>
          <cell r="AA1222">
            <v>19464</v>
          </cell>
          <cell r="AB1222" t="str">
            <v>EMBV</v>
          </cell>
          <cell r="AC1222">
            <v>1101</v>
          </cell>
          <cell r="AD1222">
            <v>2</v>
          </cell>
          <cell r="AE1222">
            <v>1100</v>
          </cell>
        </row>
        <row r="1223">
          <cell r="A1223" t="str">
            <v>SML</v>
          </cell>
          <cell r="B1223">
            <v>7</v>
          </cell>
          <cell r="C1223" t="str">
            <v>DMCN</v>
          </cell>
          <cell r="D1223">
            <v>71</v>
          </cell>
          <cell r="E1223">
            <v>8</v>
          </cell>
          <cell r="F1223" t="str">
            <v>A4</v>
          </cell>
          <cell r="G1223">
            <v>20</v>
          </cell>
          <cell r="H1223">
            <v>1</v>
          </cell>
          <cell r="I1223">
            <v>247200</v>
          </cell>
          <cell r="J1223">
            <v>0</v>
          </cell>
          <cell r="K1223">
            <v>0</v>
          </cell>
          <cell r="L1223">
            <v>960</v>
          </cell>
          <cell r="M1223">
            <v>0</v>
          </cell>
          <cell r="N1223">
            <v>0</v>
          </cell>
          <cell r="O1223">
            <v>2836537</v>
          </cell>
          <cell r="P1223">
            <v>751360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896974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3587897</v>
          </cell>
          <cell r="AA1223">
            <v>3587897</v>
          </cell>
          <cell r="AB1223" t="str">
            <v>EMBV</v>
          </cell>
          <cell r="AC1223">
            <v>1101</v>
          </cell>
          <cell r="AD1223">
            <v>2</v>
          </cell>
          <cell r="AE1223">
            <v>247200</v>
          </cell>
        </row>
        <row r="1224">
          <cell r="A1224" t="str">
            <v>SML</v>
          </cell>
          <cell r="B1224">
            <v>7</v>
          </cell>
          <cell r="C1224" t="str">
            <v>DMCN</v>
          </cell>
          <cell r="D1224">
            <v>71</v>
          </cell>
          <cell r="E1224">
            <v>8</v>
          </cell>
          <cell r="F1224" t="str">
            <v xml:space="preserve">B </v>
          </cell>
          <cell r="G1224">
            <v>0</v>
          </cell>
          <cell r="H1224">
            <v>6</v>
          </cell>
          <cell r="I1224">
            <v>18106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376943</v>
          </cell>
          <cell r="P1224">
            <v>0</v>
          </cell>
          <cell r="Q1224">
            <v>0</v>
          </cell>
          <cell r="R1224">
            <v>105</v>
          </cell>
          <cell r="S1224">
            <v>0</v>
          </cell>
          <cell r="T1224">
            <v>0</v>
          </cell>
          <cell r="U1224">
            <v>94236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376943</v>
          </cell>
          <cell r="AA1224">
            <v>377048</v>
          </cell>
          <cell r="AB1224" t="str">
            <v>EMBV</v>
          </cell>
          <cell r="AC1224">
            <v>1101</v>
          </cell>
          <cell r="AD1224">
            <v>2</v>
          </cell>
          <cell r="AE1224">
            <v>18076</v>
          </cell>
        </row>
        <row r="1225">
          <cell r="A1225" t="str">
            <v>SML</v>
          </cell>
          <cell r="B1225">
            <v>7</v>
          </cell>
          <cell r="C1225" t="str">
            <v>DMCN</v>
          </cell>
          <cell r="D1225">
            <v>72</v>
          </cell>
          <cell r="E1225">
            <v>1</v>
          </cell>
          <cell r="F1225" t="str">
            <v>A4</v>
          </cell>
          <cell r="G1225">
            <v>20</v>
          </cell>
          <cell r="H1225">
            <v>4</v>
          </cell>
          <cell r="I1225">
            <v>26486</v>
          </cell>
          <cell r="J1225">
            <v>0</v>
          </cell>
          <cell r="K1225">
            <v>0</v>
          </cell>
          <cell r="L1225">
            <v>119</v>
          </cell>
          <cell r="M1225">
            <v>0</v>
          </cell>
          <cell r="N1225">
            <v>0</v>
          </cell>
          <cell r="O1225">
            <v>303918</v>
          </cell>
          <cell r="P1225">
            <v>93138</v>
          </cell>
          <cell r="Q1225">
            <v>49719</v>
          </cell>
          <cell r="R1225">
            <v>3592</v>
          </cell>
          <cell r="S1225">
            <v>0</v>
          </cell>
          <cell r="T1225">
            <v>0</v>
          </cell>
          <cell r="U1225">
            <v>115411</v>
          </cell>
          <cell r="V1225">
            <v>0</v>
          </cell>
          <cell r="W1225">
            <v>14870</v>
          </cell>
          <cell r="X1225">
            <v>0</v>
          </cell>
          <cell r="Y1225">
            <v>259</v>
          </cell>
          <cell r="Z1225">
            <v>461645</v>
          </cell>
          <cell r="AA1225">
            <v>465496</v>
          </cell>
          <cell r="AB1225" t="str">
            <v>EMDL</v>
          </cell>
          <cell r="AC1225">
            <v>1101</v>
          </cell>
          <cell r="AD1225">
            <v>2</v>
          </cell>
          <cell r="AE1225">
            <v>26486</v>
          </cell>
        </row>
        <row r="1226">
          <cell r="A1226" t="str">
            <v>SML</v>
          </cell>
          <cell r="B1226">
            <v>7</v>
          </cell>
          <cell r="C1226" t="str">
            <v>DMCN</v>
          </cell>
          <cell r="D1226">
            <v>72</v>
          </cell>
          <cell r="E1226">
            <v>1</v>
          </cell>
          <cell r="F1226" t="str">
            <v xml:space="preserve">B </v>
          </cell>
          <cell r="G1226">
            <v>1</v>
          </cell>
          <cell r="H1226">
            <v>6167</v>
          </cell>
          <cell r="I1226">
            <v>152108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2461545</v>
          </cell>
          <cell r="P1226">
            <v>0</v>
          </cell>
          <cell r="Q1226">
            <v>0</v>
          </cell>
          <cell r="R1226">
            <v>71291</v>
          </cell>
          <cell r="S1226">
            <v>0</v>
          </cell>
          <cell r="T1226">
            <v>2116664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2461545</v>
          </cell>
          <cell r="AA1226">
            <v>4649500</v>
          </cell>
          <cell r="AB1226" t="str">
            <v>EMDL</v>
          </cell>
          <cell r="AC1226">
            <v>1101</v>
          </cell>
          <cell r="AD1226">
            <v>2</v>
          </cell>
          <cell r="AE1226">
            <v>74375</v>
          </cell>
        </row>
        <row r="1227">
          <cell r="A1227" t="str">
            <v>SML</v>
          </cell>
          <cell r="B1227">
            <v>7</v>
          </cell>
          <cell r="C1227" t="str">
            <v>DMCN</v>
          </cell>
          <cell r="D1227">
            <v>72</v>
          </cell>
          <cell r="E1227">
            <v>1</v>
          </cell>
          <cell r="F1227" t="str">
            <v xml:space="preserve">B </v>
          </cell>
          <cell r="G1227">
            <v>2</v>
          </cell>
          <cell r="H1227">
            <v>3132</v>
          </cell>
          <cell r="I1227">
            <v>129352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2505996</v>
          </cell>
          <cell r="P1227">
            <v>0</v>
          </cell>
          <cell r="Q1227">
            <v>0</v>
          </cell>
          <cell r="R1227">
            <v>52230</v>
          </cell>
          <cell r="S1227">
            <v>0</v>
          </cell>
          <cell r="T1227">
            <v>264467</v>
          </cell>
          <cell r="U1227">
            <v>425909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2505996</v>
          </cell>
          <cell r="AA1227">
            <v>2822693</v>
          </cell>
          <cell r="AB1227" t="str">
            <v>EMDL</v>
          </cell>
          <cell r="AC1227">
            <v>1101</v>
          </cell>
          <cell r="AD1227">
            <v>2</v>
          </cell>
          <cell r="AE1227">
            <v>129021</v>
          </cell>
        </row>
        <row r="1228">
          <cell r="A1228" t="str">
            <v>SML</v>
          </cell>
          <cell r="B1228">
            <v>7</v>
          </cell>
          <cell r="C1228" t="str">
            <v>DMCN</v>
          </cell>
          <cell r="D1228">
            <v>72</v>
          </cell>
          <cell r="E1228">
            <v>1</v>
          </cell>
          <cell r="F1228" t="str">
            <v xml:space="preserve">B </v>
          </cell>
          <cell r="G1228">
            <v>3</v>
          </cell>
          <cell r="H1228">
            <v>13464</v>
          </cell>
          <cell r="I1228">
            <v>1046965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20295325</v>
          </cell>
          <cell r="P1228">
            <v>0</v>
          </cell>
          <cell r="Q1228">
            <v>0</v>
          </cell>
          <cell r="R1228">
            <v>229986</v>
          </cell>
          <cell r="S1228">
            <v>0</v>
          </cell>
          <cell r="T1228">
            <v>1081729</v>
          </cell>
          <cell r="U1228">
            <v>3450290</v>
          </cell>
          <cell r="V1228">
            <v>0</v>
          </cell>
          <cell r="W1228">
            <v>0</v>
          </cell>
          <cell r="X1228">
            <v>0</v>
          </cell>
          <cell r="Y1228">
            <v>2046877</v>
          </cell>
          <cell r="Z1228">
            <v>20295325</v>
          </cell>
          <cell r="AA1228">
            <v>23653917</v>
          </cell>
          <cell r="AB1228" t="str">
            <v>EMDL</v>
          </cell>
          <cell r="AC1228">
            <v>1101</v>
          </cell>
          <cell r="AD1228">
            <v>2</v>
          </cell>
          <cell r="AE1228">
            <v>1030290</v>
          </cell>
        </row>
        <row r="1229">
          <cell r="A1229" t="str">
            <v>SML</v>
          </cell>
          <cell r="B1229">
            <v>7</v>
          </cell>
          <cell r="C1229" t="str">
            <v>DMCN</v>
          </cell>
          <cell r="D1229">
            <v>72</v>
          </cell>
          <cell r="E1229">
            <v>1</v>
          </cell>
          <cell r="F1229" t="str">
            <v xml:space="preserve">B </v>
          </cell>
          <cell r="G1229">
            <v>4</v>
          </cell>
          <cell r="H1229">
            <v>11302</v>
          </cell>
          <cell r="I1229">
            <v>1398983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27116481</v>
          </cell>
          <cell r="P1229">
            <v>0</v>
          </cell>
          <cell r="Q1229">
            <v>0</v>
          </cell>
          <cell r="R1229">
            <v>344655</v>
          </cell>
          <cell r="S1229">
            <v>0</v>
          </cell>
          <cell r="T1229">
            <v>1134865</v>
          </cell>
          <cell r="U1229">
            <v>4609788</v>
          </cell>
          <cell r="V1229">
            <v>0</v>
          </cell>
          <cell r="W1229">
            <v>0</v>
          </cell>
          <cell r="X1229">
            <v>0</v>
          </cell>
          <cell r="Y1229">
            <v>2632217</v>
          </cell>
          <cell r="Z1229">
            <v>27116481</v>
          </cell>
          <cell r="AA1229">
            <v>31228218</v>
          </cell>
          <cell r="AB1229" t="str">
            <v>EMDL</v>
          </cell>
          <cell r="AC1229">
            <v>1101</v>
          </cell>
          <cell r="AD1229">
            <v>2</v>
          </cell>
          <cell r="AE1229">
            <v>1398983</v>
          </cell>
        </row>
        <row r="1230">
          <cell r="A1230" t="str">
            <v>SML</v>
          </cell>
          <cell r="B1230">
            <v>7</v>
          </cell>
          <cell r="C1230" t="str">
            <v>DMCN</v>
          </cell>
          <cell r="D1230">
            <v>72</v>
          </cell>
          <cell r="E1230">
            <v>1</v>
          </cell>
          <cell r="F1230" t="str">
            <v xml:space="preserve">B </v>
          </cell>
          <cell r="G1230">
            <v>5</v>
          </cell>
          <cell r="H1230">
            <v>7328</v>
          </cell>
          <cell r="I1230">
            <v>1272585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24672330</v>
          </cell>
          <cell r="P1230">
            <v>0</v>
          </cell>
          <cell r="Q1230">
            <v>1900</v>
          </cell>
          <cell r="R1230">
            <v>256267</v>
          </cell>
          <cell r="S1230">
            <v>282</v>
          </cell>
          <cell r="T1230">
            <v>845747</v>
          </cell>
          <cell r="U1230">
            <v>4194772</v>
          </cell>
          <cell r="V1230">
            <v>0</v>
          </cell>
          <cell r="W1230">
            <v>0</v>
          </cell>
          <cell r="X1230">
            <v>0</v>
          </cell>
          <cell r="Y1230">
            <v>1709141</v>
          </cell>
          <cell r="Z1230">
            <v>24674230</v>
          </cell>
          <cell r="AA1230">
            <v>27485667</v>
          </cell>
          <cell r="AB1230" t="str">
            <v>EMDL</v>
          </cell>
          <cell r="AC1230">
            <v>1101</v>
          </cell>
          <cell r="AD1230">
            <v>2</v>
          </cell>
          <cell r="AE1230">
            <v>1272585</v>
          </cell>
        </row>
        <row r="1231">
          <cell r="A1231" t="str">
            <v>SML</v>
          </cell>
          <cell r="B1231">
            <v>7</v>
          </cell>
          <cell r="C1231" t="str">
            <v>DMCN</v>
          </cell>
          <cell r="D1231">
            <v>72</v>
          </cell>
          <cell r="E1231">
            <v>1</v>
          </cell>
          <cell r="F1231" t="str">
            <v xml:space="preserve">B </v>
          </cell>
          <cell r="G1231">
            <v>6</v>
          </cell>
          <cell r="H1231">
            <v>7801</v>
          </cell>
          <cell r="I1231">
            <v>1901005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36853778</v>
          </cell>
          <cell r="P1231">
            <v>0</v>
          </cell>
          <cell r="Q1231">
            <v>3593</v>
          </cell>
          <cell r="R1231">
            <v>392738</v>
          </cell>
          <cell r="S1231">
            <v>166</v>
          </cell>
          <cell r="T1231">
            <v>896958</v>
          </cell>
          <cell r="U1231">
            <v>6267584</v>
          </cell>
          <cell r="V1231">
            <v>0</v>
          </cell>
          <cell r="W1231">
            <v>0</v>
          </cell>
          <cell r="X1231">
            <v>0</v>
          </cell>
          <cell r="Y1231">
            <v>1842008</v>
          </cell>
          <cell r="Z1231">
            <v>36857371</v>
          </cell>
          <cell r="AA1231">
            <v>39989241</v>
          </cell>
          <cell r="AB1231" t="str">
            <v>EMDL</v>
          </cell>
          <cell r="AC1231">
            <v>1101</v>
          </cell>
          <cell r="AD1231">
            <v>2</v>
          </cell>
          <cell r="AE1231">
            <v>1901005</v>
          </cell>
        </row>
        <row r="1232">
          <cell r="A1232" t="str">
            <v>SML</v>
          </cell>
          <cell r="B1232">
            <v>7</v>
          </cell>
          <cell r="C1232" t="str">
            <v>DMCN</v>
          </cell>
          <cell r="D1232">
            <v>72</v>
          </cell>
          <cell r="E1232">
            <v>1</v>
          </cell>
          <cell r="F1232" t="str">
            <v xml:space="preserve">B </v>
          </cell>
          <cell r="G1232">
            <v>7</v>
          </cell>
          <cell r="H1232">
            <v>3403</v>
          </cell>
          <cell r="I1232">
            <v>1165755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23447330</v>
          </cell>
          <cell r="P1232">
            <v>0</v>
          </cell>
          <cell r="Q1232">
            <v>13526</v>
          </cell>
          <cell r="R1232">
            <v>190527</v>
          </cell>
          <cell r="S1232">
            <v>0</v>
          </cell>
          <cell r="T1232">
            <v>416098</v>
          </cell>
          <cell r="U1232">
            <v>4693259</v>
          </cell>
          <cell r="V1232">
            <v>0</v>
          </cell>
          <cell r="W1232">
            <v>0</v>
          </cell>
          <cell r="X1232">
            <v>0</v>
          </cell>
          <cell r="Y1232">
            <v>803936</v>
          </cell>
          <cell r="Z1232">
            <v>23460856</v>
          </cell>
          <cell r="AA1232">
            <v>24871417</v>
          </cell>
          <cell r="AB1232" t="str">
            <v>EMDL</v>
          </cell>
          <cell r="AC1232">
            <v>1101</v>
          </cell>
          <cell r="AD1232">
            <v>2</v>
          </cell>
          <cell r="AE1232">
            <v>1165755</v>
          </cell>
        </row>
        <row r="1233">
          <cell r="A1233" t="str">
            <v>SML</v>
          </cell>
          <cell r="B1233">
            <v>7</v>
          </cell>
          <cell r="C1233" t="str">
            <v>DMCN</v>
          </cell>
          <cell r="D1233">
            <v>72</v>
          </cell>
          <cell r="E1233">
            <v>1</v>
          </cell>
          <cell r="F1233" t="str">
            <v xml:space="preserve">B </v>
          </cell>
          <cell r="G1233">
            <v>8</v>
          </cell>
          <cell r="H1233">
            <v>1840</v>
          </cell>
          <cell r="I1233">
            <v>812623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16343364</v>
          </cell>
          <cell r="P1233">
            <v>0</v>
          </cell>
          <cell r="Q1233">
            <v>13507</v>
          </cell>
          <cell r="R1233">
            <v>173498</v>
          </cell>
          <cell r="S1233">
            <v>0</v>
          </cell>
          <cell r="T1233">
            <v>309249</v>
          </cell>
          <cell r="U1233">
            <v>3271861</v>
          </cell>
          <cell r="V1233">
            <v>0</v>
          </cell>
          <cell r="W1233">
            <v>0</v>
          </cell>
          <cell r="X1233">
            <v>0</v>
          </cell>
          <cell r="Y1233">
            <v>423724</v>
          </cell>
          <cell r="Z1233">
            <v>16356871</v>
          </cell>
          <cell r="AA1233">
            <v>17263342</v>
          </cell>
          <cell r="AB1233" t="str">
            <v>EMDL</v>
          </cell>
          <cell r="AC1233">
            <v>1101</v>
          </cell>
          <cell r="AD1233">
            <v>2</v>
          </cell>
          <cell r="AE1233">
            <v>812623</v>
          </cell>
        </row>
        <row r="1234">
          <cell r="A1234" t="str">
            <v>SML</v>
          </cell>
          <cell r="B1234">
            <v>7</v>
          </cell>
          <cell r="C1234" t="str">
            <v>DMCN</v>
          </cell>
          <cell r="D1234">
            <v>72</v>
          </cell>
          <cell r="E1234">
            <v>1</v>
          </cell>
          <cell r="F1234" t="str">
            <v xml:space="preserve">B </v>
          </cell>
          <cell r="G1234">
            <v>9</v>
          </cell>
          <cell r="H1234">
            <v>1917</v>
          </cell>
          <cell r="I1234">
            <v>1218073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26081901</v>
          </cell>
          <cell r="P1234">
            <v>0</v>
          </cell>
          <cell r="Q1234">
            <v>95204</v>
          </cell>
          <cell r="R1234">
            <v>183133</v>
          </cell>
          <cell r="S1234">
            <v>0</v>
          </cell>
          <cell r="T1234">
            <v>355976</v>
          </cell>
          <cell r="U1234">
            <v>6545024</v>
          </cell>
          <cell r="V1234">
            <v>0</v>
          </cell>
          <cell r="W1234">
            <v>0</v>
          </cell>
          <cell r="X1234">
            <v>0</v>
          </cell>
          <cell r="Y1234">
            <v>441595</v>
          </cell>
          <cell r="Z1234">
            <v>26177105</v>
          </cell>
          <cell r="AA1234">
            <v>27157809</v>
          </cell>
          <cell r="AB1234" t="str">
            <v>EMDL</v>
          </cell>
          <cell r="AC1234">
            <v>1101</v>
          </cell>
          <cell r="AD1234">
            <v>2</v>
          </cell>
          <cell r="AE1234">
            <v>1218073</v>
          </cell>
        </row>
        <row r="1235">
          <cell r="A1235" t="str">
            <v>SML</v>
          </cell>
          <cell r="B1235">
            <v>7</v>
          </cell>
          <cell r="C1235" t="str">
            <v>DMCN</v>
          </cell>
          <cell r="D1235">
            <v>72</v>
          </cell>
          <cell r="E1235">
            <v>1</v>
          </cell>
          <cell r="F1235" t="str">
            <v xml:space="preserve">B </v>
          </cell>
          <cell r="G1235">
            <v>10</v>
          </cell>
          <cell r="H1235">
            <v>321</v>
          </cell>
          <cell r="I1235">
            <v>556956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11760147</v>
          </cell>
          <cell r="P1235">
            <v>0</v>
          </cell>
          <cell r="Q1235">
            <v>97180</v>
          </cell>
          <cell r="R1235">
            <v>71701</v>
          </cell>
          <cell r="S1235">
            <v>0</v>
          </cell>
          <cell r="T1235">
            <v>239959</v>
          </cell>
          <cell r="U1235">
            <v>2947678</v>
          </cell>
          <cell r="V1235">
            <v>0</v>
          </cell>
          <cell r="W1235">
            <v>0</v>
          </cell>
          <cell r="X1235">
            <v>0</v>
          </cell>
          <cell r="Y1235">
            <v>36001</v>
          </cell>
          <cell r="Z1235">
            <v>11857327</v>
          </cell>
          <cell r="AA1235">
            <v>12204988</v>
          </cell>
          <cell r="AB1235" t="str">
            <v>EMDL</v>
          </cell>
          <cell r="AC1235">
            <v>1101</v>
          </cell>
          <cell r="AD1235">
            <v>2</v>
          </cell>
          <cell r="AE1235">
            <v>556956</v>
          </cell>
        </row>
        <row r="1236">
          <cell r="A1236" t="str">
            <v>SML</v>
          </cell>
          <cell r="B1236">
            <v>7</v>
          </cell>
          <cell r="C1236" t="str">
            <v>DMCN</v>
          </cell>
          <cell r="D1236">
            <v>72</v>
          </cell>
          <cell r="E1236">
            <v>1</v>
          </cell>
          <cell r="F1236" t="str">
            <v xml:space="preserve">B </v>
          </cell>
          <cell r="G1236">
            <v>11</v>
          </cell>
          <cell r="H1236">
            <v>3290</v>
          </cell>
          <cell r="I1236">
            <v>85744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484103</v>
          </cell>
          <cell r="P1236">
            <v>0</v>
          </cell>
          <cell r="Q1236">
            <v>0</v>
          </cell>
          <cell r="R1236">
            <v>27706</v>
          </cell>
          <cell r="S1236">
            <v>22</v>
          </cell>
          <cell r="T1236">
            <v>234836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484103</v>
          </cell>
          <cell r="AA1236">
            <v>746667</v>
          </cell>
          <cell r="AB1236" t="str">
            <v>EMDL</v>
          </cell>
          <cell r="AC1236">
            <v>1101</v>
          </cell>
          <cell r="AD1236">
            <v>2</v>
          </cell>
          <cell r="AE1236">
            <v>52051</v>
          </cell>
        </row>
        <row r="1237">
          <cell r="A1237" t="str">
            <v>SML</v>
          </cell>
          <cell r="B1237">
            <v>7</v>
          </cell>
          <cell r="C1237" t="str">
            <v>DMCN</v>
          </cell>
          <cell r="D1237">
            <v>72</v>
          </cell>
          <cell r="E1237">
            <v>1</v>
          </cell>
          <cell r="F1237" t="str">
            <v xml:space="preserve">B </v>
          </cell>
          <cell r="G1237">
            <v>12</v>
          </cell>
          <cell r="H1237">
            <v>4792</v>
          </cell>
          <cell r="I1237">
            <v>313287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3072258</v>
          </cell>
          <cell r="P1237">
            <v>0</v>
          </cell>
          <cell r="Q1237">
            <v>0</v>
          </cell>
          <cell r="R1237">
            <v>80155</v>
          </cell>
          <cell r="S1237">
            <v>8</v>
          </cell>
          <cell r="T1237">
            <v>156658</v>
          </cell>
          <cell r="U1237">
            <v>522443</v>
          </cell>
          <cell r="V1237">
            <v>0</v>
          </cell>
          <cell r="W1237">
            <v>0</v>
          </cell>
          <cell r="X1237">
            <v>0</v>
          </cell>
          <cell r="Y1237">
            <v>481481</v>
          </cell>
          <cell r="Z1237">
            <v>3072258</v>
          </cell>
          <cell r="AA1237">
            <v>3790560</v>
          </cell>
          <cell r="AB1237" t="str">
            <v>EMDL</v>
          </cell>
          <cell r="AC1237">
            <v>1101</v>
          </cell>
          <cell r="AD1237">
            <v>2</v>
          </cell>
          <cell r="AE1237">
            <v>313287</v>
          </cell>
        </row>
        <row r="1238">
          <cell r="A1238" t="str">
            <v>SML</v>
          </cell>
          <cell r="B1238">
            <v>7</v>
          </cell>
          <cell r="C1238" t="str">
            <v>DMCN</v>
          </cell>
          <cell r="D1238">
            <v>72</v>
          </cell>
          <cell r="E1238">
            <v>1</v>
          </cell>
          <cell r="F1238" t="str">
            <v xml:space="preserve">B </v>
          </cell>
          <cell r="G1238">
            <v>13</v>
          </cell>
          <cell r="H1238">
            <v>1202</v>
          </cell>
          <cell r="I1238">
            <v>140676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1921703</v>
          </cell>
          <cell r="P1238">
            <v>0</v>
          </cell>
          <cell r="Q1238">
            <v>0</v>
          </cell>
          <cell r="R1238">
            <v>43297</v>
          </cell>
          <cell r="S1238">
            <v>0</v>
          </cell>
          <cell r="T1238">
            <v>75433</v>
          </cell>
          <cell r="U1238">
            <v>326716</v>
          </cell>
          <cell r="V1238">
            <v>0</v>
          </cell>
          <cell r="W1238">
            <v>0</v>
          </cell>
          <cell r="X1238">
            <v>0</v>
          </cell>
          <cell r="Y1238">
            <v>285936</v>
          </cell>
          <cell r="Z1238">
            <v>1921703</v>
          </cell>
          <cell r="AA1238">
            <v>2326369</v>
          </cell>
          <cell r="AB1238" t="str">
            <v>EMDL</v>
          </cell>
          <cell r="AC1238">
            <v>1101</v>
          </cell>
          <cell r="AD1238">
            <v>2</v>
          </cell>
          <cell r="AE1238">
            <v>140676</v>
          </cell>
        </row>
        <row r="1239">
          <cell r="A1239" t="str">
            <v>SML</v>
          </cell>
          <cell r="B1239">
            <v>7</v>
          </cell>
          <cell r="C1239" t="str">
            <v>DMCN</v>
          </cell>
          <cell r="D1239">
            <v>72</v>
          </cell>
          <cell r="E1239">
            <v>1</v>
          </cell>
          <cell r="F1239" t="str">
            <v xml:space="preserve">B </v>
          </cell>
          <cell r="G1239">
            <v>14</v>
          </cell>
          <cell r="H1239">
            <v>141</v>
          </cell>
          <cell r="I1239">
            <v>21131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272719</v>
          </cell>
          <cell r="P1239">
            <v>0</v>
          </cell>
          <cell r="Q1239">
            <v>0</v>
          </cell>
          <cell r="R1239">
            <v>4774</v>
          </cell>
          <cell r="S1239">
            <v>0</v>
          </cell>
          <cell r="T1239">
            <v>17358</v>
          </cell>
          <cell r="U1239">
            <v>46372</v>
          </cell>
          <cell r="V1239">
            <v>0</v>
          </cell>
          <cell r="W1239">
            <v>0</v>
          </cell>
          <cell r="X1239">
            <v>0</v>
          </cell>
          <cell r="Y1239">
            <v>34188</v>
          </cell>
          <cell r="Z1239">
            <v>272719</v>
          </cell>
          <cell r="AA1239">
            <v>329039</v>
          </cell>
          <cell r="AB1239" t="str">
            <v>EMDL</v>
          </cell>
          <cell r="AC1239">
            <v>1101</v>
          </cell>
          <cell r="AD1239">
            <v>2</v>
          </cell>
          <cell r="AE1239">
            <v>21131</v>
          </cell>
        </row>
        <row r="1240">
          <cell r="A1240" t="str">
            <v>SML</v>
          </cell>
          <cell r="B1240">
            <v>7</v>
          </cell>
          <cell r="C1240" t="str">
            <v>DMCN</v>
          </cell>
          <cell r="D1240">
            <v>72</v>
          </cell>
          <cell r="E1240">
            <v>1</v>
          </cell>
          <cell r="F1240" t="str">
            <v xml:space="preserve">B </v>
          </cell>
          <cell r="G1240">
            <v>15</v>
          </cell>
          <cell r="H1240">
            <v>250</v>
          </cell>
          <cell r="I1240">
            <v>69997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1180286</v>
          </cell>
          <cell r="P1240">
            <v>0</v>
          </cell>
          <cell r="Q1240">
            <v>0</v>
          </cell>
          <cell r="R1240">
            <v>15183</v>
          </cell>
          <cell r="S1240">
            <v>0</v>
          </cell>
          <cell r="T1240">
            <v>22592</v>
          </cell>
          <cell r="U1240">
            <v>239918</v>
          </cell>
          <cell r="V1240">
            <v>0</v>
          </cell>
          <cell r="W1240">
            <v>0</v>
          </cell>
          <cell r="X1240">
            <v>0</v>
          </cell>
          <cell r="Y1240">
            <v>55167</v>
          </cell>
          <cell r="Z1240">
            <v>1180286</v>
          </cell>
          <cell r="AA1240">
            <v>1273228</v>
          </cell>
          <cell r="AB1240" t="str">
            <v>EMDL</v>
          </cell>
          <cell r="AC1240">
            <v>1101</v>
          </cell>
          <cell r="AD1240">
            <v>2</v>
          </cell>
          <cell r="AE1240">
            <v>69997</v>
          </cell>
        </row>
        <row r="1241">
          <cell r="A1241" t="str">
            <v>SML</v>
          </cell>
          <cell r="B1241">
            <v>7</v>
          </cell>
          <cell r="C1241" t="str">
            <v>DMCN</v>
          </cell>
          <cell r="D1241">
            <v>72</v>
          </cell>
          <cell r="E1241">
            <v>2</v>
          </cell>
          <cell r="F1241" t="str">
            <v>A3</v>
          </cell>
          <cell r="G1241">
            <v>26</v>
          </cell>
          <cell r="H1241">
            <v>1</v>
          </cell>
          <cell r="I1241">
            <v>3472301</v>
          </cell>
          <cell r="J1241">
            <v>296712</v>
          </cell>
          <cell r="K1241">
            <v>3175589</v>
          </cell>
          <cell r="L1241">
            <v>12000</v>
          </cell>
          <cell r="M1241">
            <v>6000</v>
          </cell>
          <cell r="N1241">
            <v>6000</v>
          </cell>
          <cell r="O1241">
            <v>20123550</v>
          </cell>
          <cell r="P1241">
            <v>13064000</v>
          </cell>
          <cell r="Q1241">
            <v>0</v>
          </cell>
          <cell r="R1241">
            <v>0</v>
          </cell>
          <cell r="S1241">
            <v>0</v>
          </cell>
          <cell r="T1241">
            <v>3703</v>
          </cell>
          <cell r="U1241">
            <v>8296888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33187550</v>
          </cell>
          <cell r="AA1241">
            <v>33191253</v>
          </cell>
          <cell r="AB1241" t="str">
            <v>EMDL</v>
          </cell>
          <cell r="AC1241">
            <v>1101</v>
          </cell>
          <cell r="AD1241">
            <v>2</v>
          </cell>
          <cell r="AE1241">
            <v>3472301</v>
          </cell>
        </row>
        <row r="1242">
          <cell r="A1242" t="str">
            <v>SML</v>
          </cell>
          <cell r="B1242">
            <v>7</v>
          </cell>
          <cell r="C1242" t="str">
            <v>DMCN</v>
          </cell>
          <cell r="D1242">
            <v>72</v>
          </cell>
          <cell r="E1242">
            <v>2</v>
          </cell>
          <cell r="F1242" t="str">
            <v>A4</v>
          </cell>
          <cell r="G1242">
            <v>22</v>
          </cell>
          <cell r="H1242">
            <v>4</v>
          </cell>
          <cell r="I1242">
            <v>608275</v>
          </cell>
          <cell r="J1242">
            <v>30562</v>
          </cell>
          <cell r="K1242">
            <v>577713</v>
          </cell>
          <cell r="L1242">
            <v>3913</v>
          </cell>
          <cell r="M1242">
            <v>2503</v>
          </cell>
          <cell r="N1242">
            <v>1490</v>
          </cell>
          <cell r="O1242">
            <v>3810875</v>
          </cell>
          <cell r="P1242">
            <v>4888608</v>
          </cell>
          <cell r="Q1242">
            <v>13007</v>
          </cell>
          <cell r="R1242">
            <v>0</v>
          </cell>
          <cell r="S1242">
            <v>0</v>
          </cell>
          <cell r="T1242">
            <v>0</v>
          </cell>
          <cell r="U1242">
            <v>2178123</v>
          </cell>
          <cell r="V1242">
            <v>0</v>
          </cell>
          <cell r="W1242">
            <v>0</v>
          </cell>
          <cell r="X1242">
            <v>0</v>
          </cell>
          <cell r="Y1242">
            <v>2076</v>
          </cell>
          <cell r="Z1242">
            <v>8712490</v>
          </cell>
          <cell r="AA1242">
            <v>8714566</v>
          </cell>
          <cell r="AB1242" t="str">
            <v>EMDL</v>
          </cell>
          <cell r="AC1242">
            <v>1101</v>
          </cell>
          <cell r="AD1242">
            <v>2</v>
          </cell>
          <cell r="AE1242">
            <v>608275</v>
          </cell>
        </row>
        <row r="1243">
          <cell r="A1243" t="str">
            <v>SML</v>
          </cell>
          <cell r="B1243">
            <v>7</v>
          </cell>
          <cell r="C1243" t="str">
            <v>DMCN</v>
          </cell>
          <cell r="D1243">
            <v>72</v>
          </cell>
          <cell r="E1243">
            <v>2</v>
          </cell>
          <cell r="F1243" t="str">
            <v>A4</v>
          </cell>
          <cell r="G1243">
            <v>21</v>
          </cell>
          <cell r="H1243">
            <v>1</v>
          </cell>
          <cell r="I1243">
            <v>143866</v>
          </cell>
          <cell r="J1243">
            <v>4343</v>
          </cell>
          <cell r="K1243">
            <v>139523</v>
          </cell>
          <cell r="L1243">
            <v>270</v>
          </cell>
          <cell r="M1243">
            <v>270</v>
          </cell>
          <cell r="N1243">
            <v>0</v>
          </cell>
          <cell r="O1243">
            <v>1167920</v>
          </cell>
          <cell r="P1243">
            <v>186480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338600</v>
          </cell>
          <cell r="V1243">
            <v>0</v>
          </cell>
          <cell r="W1243">
            <v>0</v>
          </cell>
          <cell r="X1243">
            <v>0</v>
          </cell>
          <cell r="Y1243">
            <v>519</v>
          </cell>
          <cell r="Z1243">
            <v>1354400</v>
          </cell>
          <cell r="AA1243">
            <v>1354919</v>
          </cell>
          <cell r="AB1243" t="str">
            <v>EMDL</v>
          </cell>
          <cell r="AC1243">
            <v>1101</v>
          </cell>
          <cell r="AD1243">
            <v>2</v>
          </cell>
          <cell r="AE1243">
            <v>143866</v>
          </cell>
        </row>
        <row r="1244">
          <cell r="A1244" t="str">
            <v>SML</v>
          </cell>
          <cell r="B1244">
            <v>7</v>
          </cell>
          <cell r="C1244" t="str">
            <v>DMCN</v>
          </cell>
          <cell r="D1244">
            <v>72</v>
          </cell>
          <cell r="E1244">
            <v>2</v>
          </cell>
          <cell r="F1244" t="str">
            <v>A4</v>
          </cell>
          <cell r="G1244">
            <v>20</v>
          </cell>
          <cell r="H1244">
            <v>18</v>
          </cell>
          <cell r="I1244">
            <v>77644</v>
          </cell>
          <cell r="J1244">
            <v>0</v>
          </cell>
          <cell r="K1244">
            <v>0</v>
          </cell>
          <cell r="L1244">
            <v>556</v>
          </cell>
          <cell r="M1244">
            <v>0</v>
          </cell>
          <cell r="N1244">
            <v>0</v>
          </cell>
          <cell r="O1244">
            <v>890939</v>
          </cell>
          <cell r="P1244">
            <v>435163</v>
          </cell>
          <cell r="Q1244">
            <v>115702</v>
          </cell>
          <cell r="R1244">
            <v>7353</v>
          </cell>
          <cell r="S1244">
            <v>0</v>
          </cell>
          <cell r="T1244">
            <v>0</v>
          </cell>
          <cell r="U1244">
            <v>376301</v>
          </cell>
          <cell r="V1244">
            <v>0</v>
          </cell>
          <cell r="W1244">
            <v>63398</v>
          </cell>
          <cell r="X1244">
            <v>0</v>
          </cell>
          <cell r="Y1244">
            <v>8823</v>
          </cell>
          <cell r="Z1244">
            <v>1505202</v>
          </cell>
          <cell r="AA1244">
            <v>1521378</v>
          </cell>
          <cell r="AB1244" t="str">
            <v>EMDL</v>
          </cell>
          <cell r="AC1244">
            <v>1101</v>
          </cell>
          <cell r="AD1244">
            <v>2</v>
          </cell>
          <cell r="AE1244">
            <v>77644</v>
          </cell>
        </row>
        <row r="1245">
          <cell r="A1245" t="str">
            <v>SML</v>
          </cell>
          <cell r="B1245">
            <v>7</v>
          </cell>
          <cell r="C1245" t="str">
            <v>DMCN</v>
          </cell>
          <cell r="D1245">
            <v>72</v>
          </cell>
          <cell r="E1245">
            <v>2</v>
          </cell>
          <cell r="F1245" t="str">
            <v xml:space="preserve">B </v>
          </cell>
          <cell r="G1245">
            <v>0</v>
          </cell>
          <cell r="H1245">
            <v>386</v>
          </cell>
          <cell r="I1245">
            <v>357785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7448548</v>
          </cell>
          <cell r="P1245">
            <v>0</v>
          </cell>
          <cell r="Q1245">
            <v>0</v>
          </cell>
          <cell r="R1245">
            <v>92466</v>
          </cell>
          <cell r="S1245">
            <v>0</v>
          </cell>
          <cell r="T1245">
            <v>717005</v>
          </cell>
          <cell r="U1245">
            <v>1860729</v>
          </cell>
          <cell r="V1245">
            <v>0</v>
          </cell>
          <cell r="W1245">
            <v>0</v>
          </cell>
          <cell r="X1245">
            <v>0</v>
          </cell>
          <cell r="Y1245">
            <v>184764</v>
          </cell>
          <cell r="Z1245">
            <v>7448548</v>
          </cell>
          <cell r="AA1245">
            <v>8442783</v>
          </cell>
          <cell r="AB1245" t="str">
            <v>EMDL</v>
          </cell>
          <cell r="AC1245">
            <v>1101</v>
          </cell>
          <cell r="AD1245">
            <v>2</v>
          </cell>
          <cell r="AE1245">
            <v>354249</v>
          </cell>
        </row>
        <row r="1246">
          <cell r="A1246" t="str">
            <v>SML</v>
          </cell>
          <cell r="B1246">
            <v>7</v>
          </cell>
          <cell r="C1246" t="str">
            <v>DMCN</v>
          </cell>
          <cell r="D1246">
            <v>72</v>
          </cell>
          <cell r="E1246">
            <v>3</v>
          </cell>
          <cell r="F1246" t="str">
            <v>A4</v>
          </cell>
          <cell r="G1246">
            <v>22</v>
          </cell>
          <cell r="H1246">
            <v>12</v>
          </cell>
          <cell r="I1246">
            <v>2577275</v>
          </cell>
          <cell r="J1246">
            <v>206979</v>
          </cell>
          <cell r="K1246">
            <v>2370296</v>
          </cell>
          <cell r="L1246">
            <v>12071</v>
          </cell>
          <cell r="M1246">
            <v>6680</v>
          </cell>
          <cell r="N1246">
            <v>5339</v>
          </cell>
          <cell r="O1246">
            <v>18117120</v>
          </cell>
          <cell r="P1246">
            <v>15867784</v>
          </cell>
          <cell r="Q1246">
            <v>268422</v>
          </cell>
          <cell r="R1246">
            <v>37565</v>
          </cell>
          <cell r="S1246">
            <v>0</v>
          </cell>
          <cell r="T1246">
            <v>3703</v>
          </cell>
          <cell r="U1246">
            <v>8568511</v>
          </cell>
          <cell r="V1246">
            <v>0</v>
          </cell>
          <cell r="W1246">
            <v>20708</v>
          </cell>
          <cell r="X1246">
            <v>0</v>
          </cell>
          <cell r="Y1246">
            <v>6228</v>
          </cell>
          <cell r="Z1246">
            <v>34274034</v>
          </cell>
          <cell r="AA1246">
            <v>34321530</v>
          </cell>
          <cell r="AB1246" t="str">
            <v>EMDL</v>
          </cell>
          <cell r="AC1246">
            <v>1101</v>
          </cell>
          <cell r="AD1246">
            <v>2</v>
          </cell>
          <cell r="AE1246">
            <v>2577275</v>
          </cell>
        </row>
        <row r="1247">
          <cell r="A1247" t="str">
            <v>SML</v>
          </cell>
          <cell r="B1247">
            <v>7</v>
          </cell>
          <cell r="C1247" t="str">
            <v>DMCN</v>
          </cell>
          <cell r="D1247">
            <v>72</v>
          </cell>
          <cell r="E1247">
            <v>3</v>
          </cell>
          <cell r="F1247" t="str">
            <v>A4</v>
          </cell>
          <cell r="G1247">
            <v>21</v>
          </cell>
          <cell r="H1247">
            <v>14</v>
          </cell>
          <cell r="I1247">
            <v>1549011</v>
          </cell>
          <cell r="J1247">
            <v>136575</v>
          </cell>
          <cell r="K1247">
            <v>1412436</v>
          </cell>
          <cell r="L1247">
            <v>4827</v>
          </cell>
          <cell r="M1247">
            <v>4638</v>
          </cell>
          <cell r="N1247">
            <v>0</v>
          </cell>
          <cell r="O1247">
            <v>17516107</v>
          </cell>
          <cell r="P1247">
            <v>3594667</v>
          </cell>
          <cell r="Q1247">
            <v>178284</v>
          </cell>
          <cell r="R1247">
            <v>22032</v>
          </cell>
          <cell r="S1247">
            <v>0</v>
          </cell>
          <cell r="T1247">
            <v>7406</v>
          </cell>
          <cell r="U1247">
            <v>5326582</v>
          </cell>
          <cell r="V1247">
            <v>0</v>
          </cell>
          <cell r="W1247">
            <v>17267</v>
          </cell>
          <cell r="X1247">
            <v>0</v>
          </cell>
          <cell r="Y1247">
            <v>6747</v>
          </cell>
          <cell r="Z1247">
            <v>21306325</v>
          </cell>
          <cell r="AA1247">
            <v>21342510</v>
          </cell>
          <cell r="AB1247" t="str">
            <v>EMDL</v>
          </cell>
          <cell r="AC1247">
            <v>1101</v>
          </cell>
          <cell r="AD1247">
            <v>2</v>
          </cell>
          <cell r="AE1247">
            <v>1549011</v>
          </cell>
        </row>
        <row r="1248">
          <cell r="A1248" t="str">
            <v>SML</v>
          </cell>
          <cell r="B1248">
            <v>7</v>
          </cell>
          <cell r="C1248" t="str">
            <v>DMCN</v>
          </cell>
          <cell r="D1248">
            <v>72</v>
          </cell>
          <cell r="E1248">
            <v>3</v>
          </cell>
          <cell r="F1248" t="str">
            <v>A4</v>
          </cell>
          <cell r="G1248">
            <v>20</v>
          </cell>
          <cell r="H1248">
            <v>105</v>
          </cell>
          <cell r="I1248">
            <v>1478331</v>
          </cell>
          <cell r="J1248">
            <v>0</v>
          </cell>
          <cell r="K1248">
            <v>0</v>
          </cell>
          <cell r="L1248">
            <v>6713</v>
          </cell>
          <cell r="M1248">
            <v>0</v>
          </cell>
          <cell r="N1248">
            <v>0</v>
          </cell>
          <cell r="O1248">
            <v>16963358</v>
          </cell>
          <cell r="P1248">
            <v>5254040</v>
          </cell>
          <cell r="Q1248">
            <v>443655</v>
          </cell>
          <cell r="R1248">
            <v>129006</v>
          </cell>
          <cell r="S1248">
            <v>0</v>
          </cell>
          <cell r="T1248">
            <v>132898</v>
          </cell>
          <cell r="U1248">
            <v>5699170</v>
          </cell>
          <cell r="V1248">
            <v>0</v>
          </cell>
          <cell r="W1248">
            <v>153404</v>
          </cell>
          <cell r="X1248">
            <v>0</v>
          </cell>
          <cell r="Y1248">
            <v>52938</v>
          </cell>
          <cell r="Z1248">
            <v>22814457</v>
          </cell>
          <cell r="AA1248">
            <v>23129299</v>
          </cell>
          <cell r="AB1248" t="str">
            <v>EMDL</v>
          </cell>
          <cell r="AC1248">
            <v>1101</v>
          </cell>
          <cell r="AD1248">
            <v>2</v>
          </cell>
          <cell r="AE1248">
            <v>1478331</v>
          </cell>
        </row>
        <row r="1249">
          <cell r="A1249" t="str">
            <v>SML</v>
          </cell>
          <cell r="B1249">
            <v>7</v>
          </cell>
          <cell r="C1249" t="str">
            <v>DMCN</v>
          </cell>
          <cell r="D1249">
            <v>72</v>
          </cell>
          <cell r="E1249">
            <v>3</v>
          </cell>
          <cell r="F1249" t="str">
            <v xml:space="preserve">B </v>
          </cell>
          <cell r="G1249">
            <v>0</v>
          </cell>
          <cell r="H1249">
            <v>6377</v>
          </cell>
          <cell r="I1249">
            <v>2818821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58692643</v>
          </cell>
          <cell r="P1249">
            <v>0</v>
          </cell>
          <cell r="Q1249">
            <v>0</v>
          </cell>
          <cell r="R1249">
            <v>656380</v>
          </cell>
          <cell r="S1249">
            <v>0</v>
          </cell>
          <cell r="T1249">
            <v>3636345</v>
          </cell>
          <cell r="U1249">
            <v>14533087</v>
          </cell>
          <cell r="V1249">
            <v>0</v>
          </cell>
          <cell r="W1249">
            <v>0</v>
          </cell>
          <cell r="X1249">
            <v>0</v>
          </cell>
          <cell r="Y1249">
            <v>2937540</v>
          </cell>
          <cell r="Z1249">
            <v>58692643</v>
          </cell>
          <cell r="AA1249">
            <v>65922908</v>
          </cell>
          <cell r="AB1249" t="str">
            <v>EMDL</v>
          </cell>
          <cell r="AC1249">
            <v>1101</v>
          </cell>
          <cell r="AD1249">
            <v>2</v>
          </cell>
          <cell r="AE1249">
            <v>2774977</v>
          </cell>
        </row>
        <row r="1250">
          <cell r="A1250" t="str">
            <v>SML</v>
          </cell>
          <cell r="B1250">
            <v>7</v>
          </cell>
          <cell r="C1250" t="str">
            <v>DMCN</v>
          </cell>
          <cell r="D1250">
            <v>72</v>
          </cell>
          <cell r="E1250">
            <v>4</v>
          </cell>
          <cell r="F1250" t="str">
            <v xml:space="preserve">B </v>
          </cell>
          <cell r="G1250">
            <v>0</v>
          </cell>
          <cell r="H1250">
            <v>3</v>
          </cell>
          <cell r="I1250">
            <v>8290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81142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16176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81142</v>
          </cell>
          <cell r="AA1250">
            <v>97318</v>
          </cell>
          <cell r="AB1250" t="str">
            <v>EMDL</v>
          </cell>
          <cell r="AC1250">
            <v>1101</v>
          </cell>
          <cell r="AD1250">
            <v>2</v>
          </cell>
          <cell r="AE1250">
            <v>8290</v>
          </cell>
        </row>
        <row r="1251">
          <cell r="A1251" t="str">
            <v>SML</v>
          </cell>
          <cell r="B1251">
            <v>7</v>
          </cell>
          <cell r="C1251" t="str">
            <v>DMCN</v>
          </cell>
          <cell r="D1251">
            <v>72</v>
          </cell>
          <cell r="E1251">
            <v>5</v>
          </cell>
          <cell r="F1251" t="str">
            <v>A4</v>
          </cell>
          <cell r="G1251">
            <v>22</v>
          </cell>
          <cell r="H1251">
            <v>7</v>
          </cell>
          <cell r="I1251">
            <v>1469065</v>
          </cell>
          <cell r="J1251">
            <v>109143</v>
          </cell>
          <cell r="K1251">
            <v>1359922</v>
          </cell>
          <cell r="L1251">
            <v>8455</v>
          </cell>
          <cell r="M1251">
            <v>5281</v>
          </cell>
          <cell r="N1251">
            <v>3906</v>
          </cell>
          <cell r="O1251">
            <v>9081097</v>
          </cell>
          <cell r="P1251">
            <v>10620855</v>
          </cell>
          <cell r="Q1251">
            <v>681449</v>
          </cell>
          <cell r="R1251">
            <v>96446</v>
          </cell>
          <cell r="S1251">
            <v>0</v>
          </cell>
          <cell r="T1251">
            <v>3703</v>
          </cell>
          <cell r="U1251">
            <v>3821807</v>
          </cell>
          <cell r="V1251">
            <v>0</v>
          </cell>
          <cell r="W1251">
            <v>1554</v>
          </cell>
          <cell r="X1251">
            <v>0</v>
          </cell>
          <cell r="Y1251">
            <v>0</v>
          </cell>
          <cell r="Z1251">
            <v>20384955</v>
          </cell>
          <cell r="AA1251">
            <v>20485104</v>
          </cell>
          <cell r="AB1251" t="str">
            <v>EMDL</v>
          </cell>
          <cell r="AC1251">
            <v>1101</v>
          </cell>
          <cell r="AD1251">
            <v>2</v>
          </cell>
          <cell r="AE1251">
            <v>1469065</v>
          </cell>
        </row>
        <row r="1252">
          <cell r="A1252" t="str">
            <v>SML</v>
          </cell>
          <cell r="B1252">
            <v>7</v>
          </cell>
          <cell r="C1252" t="str">
            <v>DMCN</v>
          </cell>
          <cell r="D1252">
            <v>72</v>
          </cell>
          <cell r="E1252">
            <v>5</v>
          </cell>
          <cell r="F1252" t="str">
            <v>A4</v>
          </cell>
          <cell r="G1252">
            <v>21</v>
          </cell>
          <cell r="H1252">
            <v>12</v>
          </cell>
          <cell r="I1252">
            <v>863909</v>
          </cell>
          <cell r="J1252">
            <v>59920</v>
          </cell>
          <cell r="K1252">
            <v>803989</v>
          </cell>
          <cell r="L1252">
            <v>4151</v>
          </cell>
          <cell r="M1252">
            <v>4063</v>
          </cell>
          <cell r="N1252">
            <v>0</v>
          </cell>
          <cell r="O1252">
            <v>8674424</v>
          </cell>
          <cell r="P1252">
            <v>2850266</v>
          </cell>
          <cell r="Q1252">
            <v>325807</v>
          </cell>
          <cell r="R1252">
            <v>0</v>
          </cell>
          <cell r="S1252">
            <v>0</v>
          </cell>
          <cell r="T1252">
            <v>0</v>
          </cell>
          <cell r="U1252">
            <v>2703111</v>
          </cell>
          <cell r="V1252">
            <v>0</v>
          </cell>
          <cell r="W1252">
            <v>2072</v>
          </cell>
          <cell r="X1252">
            <v>0</v>
          </cell>
          <cell r="Y1252">
            <v>0</v>
          </cell>
          <cell r="Z1252">
            <v>11852569</v>
          </cell>
          <cell r="AA1252">
            <v>11852569</v>
          </cell>
          <cell r="AB1252" t="str">
            <v>EMDL</v>
          </cell>
          <cell r="AC1252">
            <v>1101</v>
          </cell>
          <cell r="AD1252">
            <v>2</v>
          </cell>
          <cell r="AE1252">
            <v>863909</v>
          </cell>
        </row>
        <row r="1253">
          <cell r="A1253" t="str">
            <v>SML</v>
          </cell>
          <cell r="B1253">
            <v>7</v>
          </cell>
          <cell r="C1253" t="str">
            <v>DMCN</v>
          </cell>
          <cell r="D1253">
            <v>72</v>
          </cell>
          <cell r="E1253">
            <v>5</v>
          </cell>
          <cell r="F1253" t="str">
            <v>A4</v>
          </cell>
          <cell r="G1253">
            <v>20</v>
          </cell>
          <cell r="H1253">
            <v>68</v>
          </cell>
          <cell r="I1253">
            <v>1561412</v>
          </cell>
          <cell r="J1253">
            <v>0</v>
          </cell>
          <cell r="K1253">
            <v>0</v>
          </cell>
          <cell r="L1253">
            <v>7160</v>
          </cell>
          <cell r="M1253">
            <v>0</v>
          </cell>
          <cell r="N1253">
            <v>0</v>
          </cell>
          <cell r="O1253">
            <v>14890359</v>
          </cell>
          <cell r="P1253">
            <v>4799504</v>
          </cell>
          <cell r="Q1253">
            <v>1301676</v>
          </cell>
          <cell r="R1253">
            <v>78657</v>
          </cell>
          <cell r="S1253">
            <v>0</v>
          </cell>
          <cell r="T1253">
            <v>0</v>
          </cell>
          <cell r="U1253">
            <v>2241445</v>
          </cell>
          <cell r="V1253">
            <v>0</v>
          </cell>
          <cell r="W1253">
            <v>310522</v>
          </cell>
          <cell r="X1253">
            <v>0</v>
          </cell>
          <cell r="Y1253">
            <v>0</v>
          </cell>
          <cell r="Z1253">
            <v>21302061</v>
          </cell>
          <cell r="AA1253">
            <v>21380718</v>
          </cell>
          <cell r="AB1253" t="str">
            <v>EMDL</v>
          </cell>
          <cell r="AC1253">
            <v>1101</v>
          </cell>
          <cell r="AD1253">
            <v>2</v>
          </cell>
          <cell r="AE1253">
            <v>1561412</v>
          </cell>
        </row>
        <row r="1254">
          <cell r="A1254" t="str">
            <v>SML</v>
          </cell>
          <cell r="B1254">
            <v>7</v>
          </cell>
          <cell r="C1254" t="str">
            <v>DMCN</v>
          </cell>
          <cell r="D1254">
            <v>72</v>
          </cell>
          <cell r="E1254">
            <v>5</v>
          </cell>
          <cell r="F1254" t="str">
            <v xml:space="preserve">B </v>
          </cell>
          <cell r="G1254">
            <v>0</v>
          </cell>
          <cell r="H1254">
            <v>163</v>
          </cell>
          <cell r="I1254">
            <v>616026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10301335</v>
          </cell>
          <cell r="P1254">
            <v>0</v>
          </cell>
          <cell r="Q1254">
            <v>0</v>
          </cell>
          <cell r="R1254">
            <v>188808</v>
          </cell>
          <cell r="S1254">
            <v>0</v>
          </cell>
          <cell r="T1254">
            <v>10000</v>
          </cell>
          <cell r="U1254">
            <v>682710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10301335</v>
          </cell>
          <cell r="AA1254">
            <v>10500143</v>
          </cell>
          <cell r="AB1254" t="str">
            <v>EMDL</v>
          </cell>
          <cell r="AC1254">
            <v>1101</v>
          </cell>
          <cell r="AD1254">
            <v>2</v>
          </cell>
          <cell r="AE1254">
            <v>615501</v>
          </cell>
        </row>
        <row r="1255">
          <cell r="A1255" t="str">
            <v>SML</v>
          </cell>
          <cell r="B1255">
            <v>7</v>
          </cell>
          <cell r="C1255" t="str">
            <v>DMCN</v>
          </cell>
          <cell r="D1255">
            <v>72</v>
          </cell>
          <cell r="E1255">
            <v>7</v>
          </cell>
          <cell r="F1255" t="str">
            <v>A4</v>
          </cell>
          <cell r="G1255">
            <v>20</v>
          </cell>
          <cell r="H1255">
            <v>1</v>
          </cell>
          <cell r="I1255">
            <v>9676</v>
          </cell>
          <cell r="J1255">
            <v>0</v>
          </cell>
          <cell r="K1255">
            <v>0</v>
          </cell>
          <cell r="L1255">
            <v>23</v>
          </cell>
          <cell r="M1255">
            <v>0</v>
          </cell>
          <cell r="N1255">
            <v>0</v>
          </cell>
          <cell r="O1255">
            <v>94373</v>
          </cell>
          <cell r="P1255">
            <v>15272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27411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109645</v>
          </cell>
          <cell r="AA1255">
            <v>109645</v>
          </cell>
          <cell r="AB1255" t="str">
            <v>EMDL</v>
          </cell>
          <cell r="AC1255">
            <v>1101</v>
          </cell>
          <cell r="AD1255">
            <v>2</v>
          </cell>
          <cell r="AE1255">
            <v>9676</v>
          </cell>
        </row>
        <row r="1256">
          <cell r="A1256" t="str">
            <v>SML</v>
          </cell>
          <cell r="B1256">
            <v>7</v>
          </cell>
          <cell r="C1256" t="str">
            <v>DMCN</v>
          </cell>
          <cell r="D1256">
            <v>72</v>
          </cell>
          <cell r="E1256">
            <v>7</v>
          </cell>
          <cell r="F1256" t="str">
            <v xml:space="preserve">B </v>
          </cell>
          <cell r="G1256">
            <v>0</v>
          </cell>
          <cell r="H1256">
            <v>9</v>
          </cell>
          <cell r="I1256">
            <v>1283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22699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5673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22699</v>
          </cell>
          <cell r="AA1256">
            <v>22699</v>
          </cell>
          <cell r="AB1256" t="str">
            <v>EMDL</v>
          </cell>
          <cell r="AC1256">
            <v>1101</v>
          </cell>
          <cell r="AD1256">
            <v>2</v>
          </cell>
          <cell r="AE1256">
            <v>978</v>
          </cell>
        </row>
        <row r="1257">
          <cell r="A1257" t="str">
            <v>SML</v>
          </cell>
          <cell r="B1257">
            <v>7</v>
          </cell>
          <cell r="C1257" t="str">
            <v>DMCN</v>
          </cell>
          <cell r="D1257">
            <v>72</v>
          </cell>
          <cell r="E1257">
            <v>8</v>
          </cell>
          <cell r="F1257" t="str">
            <v xml:space="preserve">B </v>
          </cell>
          <cell r="G1257">
            <v>0</v>
          </cell>
          <cell r="H1257">
            <v>5</v>
          </cell>
          <cell r="I1257">
            <v>12298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256027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64007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256027</v>
          </cell>
          <cell r="AA1257">
            <v>256027</v>
          </cell>
          <cell r="AB1257" t="str">
            <v>EMDL</v>
          </cell>
          <cell r="AC1257">
            <v>1101</v>
          </cell>
          <cell r="AD1257">
            <v>2</v>
          </cell>
          <cell r="AE1257">
            <v>12298</v>
          </cell>
        </row>
        <row r="1258">
          <cell r="A1258" t="str">
            <v>SML</v>
          </cell>
          <cell r="B1258">
            <v>7</v>
          </cell>
          <cell r="C1258" t="str">
            <v>DMCN</v>
          </cell>
          <cell r="D1258">
            <v>73</v>
          </cell>
          <cell r="E1258">
            <v>1</v>
          </cell>
          <cell r="F1258" t="str">
            <v>A4</v>
          </cell>
          <cell r="G1258">
            <v>20</v>
          </cell>
          <cell r="H1258">
            <v>1</v>
          </cell>
          <cell r="I1258">
            <v>185</v>
          </cell>
          <cell r="J1258">
            <v>0</v>
          </cell>
          <cell r="K1258">
            <v>0</v>
          </cell>
          <cell r="L1258">
            <v>3</v>
          </cell>
          <cell r="M1258">
            <v>0</v>
          </cell>
          <cell r="N1258">
            <v>0</v>
          </cell>
          <cell r="O1258">
            <v>1918</v>
          </cell>
          <cell r="P1258">
            <v>2122</v>
          </cell>
          <cell r="Q1258">
            <v>373</v>
          </cell>
          <cell r="R1258">
            <v>231</v>
          </cell>
          <cell r="S1258">
            <v>0</v>
          </cell>
          <cell r="T1258">
            <v>0</v>
          </cell>
          <cell r="U1258">
            <v>870</v>
          </cell>
          <cell r="V1258">
            <v>0</v>
          </cell>
          <cell r="W1258">
            <v>707</v>
          </cell>
          <cell r="X1258">
            <v>0</v>
          </cell>
          <cell r="Y1258">
            <v>0</v>
          </cell>
          <cell r="Z1258">
            <v>5120</v>
          </cell>
          <cell r="AA1258">
            <v>5351</v>
          </cell>
          <cell r="AB1258" t="str">
            <v>EMCZ</v>
          </cell>
          <cell r="AC1258">
            <v>1101</v>
          </cell>
          <cell r="AD1258">
            <v>2</v>
          </cell>
          <cell r="AE1258">
            <v>185</v>
          </cell>
        </row>
        <row r="1259">
          <cell r="A1259" t="str">
            <v>SML</v>
          </cell>
          <cell r="B1259">
            <v>7</v>
          </cell>
          <cell r="C1259" t="str">
            <v>DMCN</v>
          </cell>
          <cell r="D1259">
            <v>73</v>
          </cell>
          <cell r="E1259">
            <v>1</v>
          </cell>
          <cell r="F1259" t="str">
            <v xml:space="preserve">B </v>
          </cell>
          <cell r="G1259">
            <v>1</v>
          </cell>
          <cell r="H1259">
            <v>2328</v>
          </cell>
          <cell r="I1259">
            <v>58992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958197</v>
          </cell>
          <cell r="P1259">
            <v>0</v>
          </cell>
          <cell r="Q1259">
            <v>0</v>
          </cell>
          <cell r="R1259">
            <v>22231</v>
          </cell>
          <cell r="S1259">
            <v>0</v>
          </cell>
          <cell r="T1259">
            <v>834552</v>
          </cell>
          <cell r="U1259">
            <v>660</v>
          </cell>
          <cell r="V1259">
            <v>0</v>
          </cell>
          <cell r="W1259">
            <v>0</v>
          </cell>
          <cell r="X1259">
            <v>0</v>
          </cell>
          <cell r="Y1259">
            <v>259</v>
          </cell>
          <cell r="Z1259">
            <v>958197</v>
          </cell>
          <cell r="AA1259">
            <v>1815239</v>
          </cell>
          <cell r="AB1259" t="str">
            <v>EMCZ</v>
          </cell>
          <cell r="AC1259">
            <v>1101</v>
          </cell>
          <cell r="AD1259">
            <v>2</v>
          </cell>
          <cell r="AE1259">
            <v>30813</v>
          </cell>
        </row>
        <row r="1260">
          <cell r="A1260" t="str">
            <v>SML</v>
          </cell>
          <cell r="B1260">
            <v>7</v>
          </cell>
          <cell r="C1260" t="str">
            <v>DMCN</v>
          </cell>
          <cell r="D1260">
            <v>73</v>
          </cell>
          <cell r="E1260">
            <v>1</v>
          </cell>
          <cell r="F1260" t="str">
            <v xml:space="preserve">B </v>
          </cell>
          <cell r="G1260">
            <v>2</v>
          </cell>
          <cell r="H1260">
            <v>1003</v>
          </cell>
          <cell r="I1260">
            <v>41298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800198</v>
          </cell>
          <cell r="P1260">
            <v>0</v>
          </cell>
          <cell r="Q1260">
            <v>0</v>
          </cell>
          <cell r="R1260">
            <v>9961</v>
          </cell>
          <cell r="S1260">
            <v>0</v>
          </cell>
          <cell r="T1260">
            <v>58672</v>
          </cell>
          <cell r="U1260">
            <v>136003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800198</v>
          </cell>
          <cell r="AA1260">
            <v>868831</v>
          </cell>
          <cell r="AB1260" t="str">
            <v>EMCZ</v>
          </cell>
          <cell r="AC1260">
            <v>1101</v>
          </cell>
          <cell r="AD1260">
            <v>2</v>
          </cell>
          <cell r="AE1260">
            <v>40980</v>
          </cell>
        </row>
        <row r="1261">
          <cell r="A1261" t="str">
            <v>SML</v>
          </cell>
          <cell r="B1261">
            <v>7</v>
          </cell>
          <cell r="C1261" t="str">
            <v>DMCN</v>
          </cell>
          <cell r="D1261">
            <v>73</v>
          </cell>
          <cell r="E1261">
            <v>1</v>
          </cell>
          <cell r="F1261" t="str">
            <v xml:space="preserve">B </v>
          </cell>
          <cell r="G1261">
            <v>3</v>
          </cell>
          <cell r="H1261">
            <v>4373</v>
          </cell>
          <cell r="I1261">
            <v>345866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6704562</v>
          </cell>
          <cell r="P1261">
            <v>0</v>
          </cell>
          <cell r="Q1261">
            <v>0</v>
          </cell>
          <cell r="R1261">
            <v>75190</v>
          </cell>
          <cell r="S1261">
            <v>0</v>
          </cell>
          <cell r="T1261">
            <v>310182</v>
          </cell>
          <cell r="U1261">
            <v>1139871</v>
          </cell>
          <cell r="V1261">
            <v>0</v>
          </cell>
          <cell r="W1261">
            <v>0</v>
          </cell>
          <cell r="X1261">
            <v>0</v>
          </cell>
          <cell r="Y1261">
            <v>630924</v>
          </cell>
          <cell r="Z1261">
            <v>6704562</v>
          </cell>
          <cell r="AA1261">
            <v>7720858</v>
          </cell>
          <cell r="AB1261" t="str">
            <v>EMCZ</v>
          </cell>
          <cell r="AC1261">
            <v>1101</v>
          </cell>
          <cell r="AD1261">
            <v>2</v>
          </cell>
          <cell r="AE1261">
            <v>322321</v>
          </cell>
        </row>
        <row r="1262">
          <cell r="A1262" t="str">
            <v>SML</v>
          </cell>
          <cell r="B1262">
            <v>7</v>
          </cell>
          <cell r="C1262" t="str">
            <v>DMCN</v>
          </cell>
          <cell r="D1262">
            <v>73</v>
          </cell>
          <cell r="E1262">
            <v>1</v>
          </cell>
          <cell r="F1262" t="str">
            <v xml:space="preserve">B </v>
          </cell>
          <cell r="G1262">
            <v>4</v>
          </cell>
          <cell r="H1262">
            <v>4127</v>
          </cell>
          <cell r="I1262">
            <v>515951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10000626</v>
          </cell>
          <cell r="P1262">
            <v>0</v>
          </cell>
          <cell r="Q1262">
            <v>0</v>
          </cell>
          <cell r="R1262">
            <v>103885</v>
          </cell>
          <cell r="S1262">
            <v>0</v>
          </cell>
          <cell r="T1262">
            <v>359610</v>
          </cell>
          <cell r="U1262">
            <v>1700102</v>
          </cell>
          <cell r="V1262">
            <v>0</v>
          </cell>
          <cell r="W1262">
            <v>0</v>
          </cell>
          <cell r="X1262">
            <v>0</v>
          </cell>
          <cell r="Y1262">
            <v>975912</v>
          </cell>
          <cell r="Z1262">
            <v>10000626</v>
          </cell>
          <cell r="AA1262">
            <v>11440033</v>
          </cell>
          <cell r="AB1262" t="str">
            <v>EMCZ</v>
          </cell>
          <cell r="AC1262">
            <v>1101</v>
          </cell>
          <cell r="AD1262">
            <v>2</v>
          </cell>
          <cell r="AE1262">
            <v>515951</v>
          </cell>
        </row>
        <row r="1263">
          <cell r="A1263" t="str">
            <v>SML</v>
          </cell>
          <cell r="B1263">
            <v>7</v>
          </cell>
          <cell r="C1263" t="str">
            <v>DMCN</v>
          </cell>
          <cell r="D1263">
            <v>73</v>
          </cell>
          <cell r="E1263">
            <v>1</v>
          </cell>
          <cell r="F1263" t="str">
            <v xml:space="preserve">B </v>
          </cell>
          <cell r="G1263">
            <v>5</v>
          </cell>
          <cell r="H1263">
            <v>3303</v>
          </cell>
          <cell r="I1263">
            <v>576636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11177197</v>
          </cell>
          <cell r="P1263">
            <v>0</v>
          </cell>
          <cell r="Q1263">
            <v>0</v>
          </cell>
          <cell r="R1263">
            <v>92485</v>
          </cell>
          <cell r="S1263">
            <v>0</v>
          </cell>
          <cell r="T1263">
            <v>287373</v>
          </cell>
          <cell r="U1263">
            <v>1900225</v>
          </cell>
          <cell r="V1263">
            <v>0</v>
          </cell>
          <cell r="W1263">
            <v>0</v>
          </cell>
          <cell r="X1263">
            <v>0</v>
          </cell>
          <cell r="Y1263">
            <v>790468</v>
          </cell>
          <cell r="Z1263">
            <v>11177197</v>
          </cell>
          <cell r="AA1263">
            <v>12347523</v>
          </cell>
          <cell r="AB1263" t="str">
            <v>EMCZ</v>
          </cell>
          <cell r="AC1263">
            <v>1101</v>
          </cell>
          <cell r="AD1263">
            <v>2</v>
          </cell>
          <cell r="AE1263">
            <v>576636</v>
          </cell>
        </row>
        <row r="1264">
          <cell r="A1264" t="str">
            <v>SML</v>
          </cell>
          <cell r="B1264">
            <v>7</v>
          </cell>
          <cell r="C1264" t="str">
            <v>DMCN</v>
          </cell>
          <cell r="D1264">
            <v>73</v>
          </cell>
          <cell r="E1264">
            <v>1</v>
          </cell>
          <cell r="F1264" t="str">
            <v xml:space="preserve">B </v>
          </cell>
          <cell r="G1264">
            <v>6</v>
          </cell>
          <cell r="H1264">
            <v>4702</v>
          </cell>
          <cell r="I1264">
            <v>1155223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22397869</v>
          </cell>
          <cell r="P1264">
            <v>0</v>
          </cell>
          <cell r="Q1264">
            <v>0</v>
          </cell>
          <cell r="R1264">
            <v>195637</v>
          </cell>
          <cell r="S1264">
            <v>0</v>
          </cell>
          <cell r="T1264">
            <v>409514</v>
          </cell>
          <cell r="U1264">
            <v>3808228</v>
          </cell>
          <cell r="V1264">
            <v>0</v>
          </cell>
          <cell r="W1264">
            <v>0</v>
          </cell>
          <cell r="X1264">
            <v>0</v>
          </cell>
          <cell r="Y1264">
            <v>1124837</v>
          </cell>
          <cell r="Z1264">
            <v>22397869</v>
          </cell>
          <cell r="AA1264">
            <v>24127857</v>
          </cell>
          <cell r="AB1264" t="str">
            <v>EMCZ</v>
          </cell>
          <cell r="AC1264">
            <v>1101</v>
          </cell>
          <cell r="AD1264">
            <v>2</v>
          </cell>
          <cell r="AE1264">
            <v>1155223</v>
          </cell>
        </row>
        <row r="1265">
          <cell r="A1265" t="str">
            <v>SML</v>
          </cell>
          <cell r="B1265">
            <v>7</v>
          </cell>
          <cell r="C1265" t="str">
            <v>DMCN</v>
          </cell>
          <cell r="D1265">
            <v>73</v>
          </cell>
          <cell r="E1265">
            <v>1</v>
          </cell>
          <cell r="F1265" t="str">
            <v xml:space="preserve">B </v>
          </cell>
          <cell r="G1265">
            <v>7</v>
          </cell>
          <cell r="H1265">
            <v>2628</v>
          </cell>
          <cell r="I1265">
            <v>907831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18263143</v>
          </cell>
          <cell r="P1265">
            <v>0</v>
          </cell>
          <cell r="Q1265">
            <v>0</v>
          </cell>
          <cell r="R1265">
            <v>162215</v>
          </cell>
          <cell r="S1265">
            <v>0</v>
          </cell>
          <cell r="T1265">
            <v>393874</v>
          </cell>
          <cell r="U1265">
            <v>3653320</v>
          </cell>
          <cell r="V1265">
            <v>0</v>
          </cell>
          <cell r="W1265">
            <v>0</v>
          </cell>
          <cell r="X1265">
            <v>0</v>
          </cell>
          <cell r="Y1265">
            <v>624190</v>
          </cell>
          <cell r="Z1265">
            <v>18263143</v>
          </cell>
          <cell r="AA1265">
            <v>19443422</v>
          </cell>
          <cell r="AB1265" t="str">
            <v>EMCZ</v>
          </cell>
          <cell r="AC1265">
            <v>1101</v>
          </cell>
          <cell r="AD1265">
            <v>2</v>
          </cell>
          <cell r="AE1265">
            <v>907831</v>
          </cell>
        </row>
        <row r="1266">
          <cell r="A1266" t="str">
            <v>SML</v>
          </cell>
          <cell r="B1266">
            <v>7</v>
          </cell>
          <cell r="C1266" t="str">
            <v>DMCN</v>
          </cell>
          <cell r="D1266">
            <v>73</v>
          </cell>
          <cell r="E1266">
            <v>1</v>
          </cell>
          <cell r="F1266" t="str">
            <v xml:space="preserve">B </v>
          </cell>
          <cell r="G1266">
            <v>8</v>
          </cell>
          <cell r="H1266">
            <v>1418</v>
          </cell>
          <cell r="I1266">
            <v>629603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12649153</v>
          </cell>
          <cell r="P1266">
            <v>0</v>
          </cell>
          <cell r="Q1266">
            <v>0</v>
          </cell>
          <cell r="R1266">
            <v>112060</v>
          </cell>
          <cell r="S1266">
            <v>0</v>
          </cell>
          <cell r="T1266">
            <v>176702</v>
          </cell>
          <cell r="U1266">
            <v>2530142</v>
          </cell>
          <cell r="V1266">
            <v>0</v>
          </cell>
          <cell r="W1266">
            <v>0</v>
          </cell>
          <cell r="X1266">
            <v>0</v>
          </cell>
          <cell r="Y1266">
            <v>337736</v>
          </cell>
          <cell r="Z1266">
            <v>12649153</v>
          </cell>
          <cell r="AA1266">
            <v>13275651</v>
          </cell>
          <cell r="AB1266" t="str">
            <v>EMCZ</v>
          </cell>
          <cell r="AC1266">
            <v>1101</v>
          </cell>
          <cell r="AD1266">
            <v>2</v>
          </cell>
          <cell r="AE1266">
            <v>629603</v>
          </cell>
        </row>
        <row r="1267">
          <cell r="A1267" t="str">
            <v>SML</v>
          </cell>
          <cell r="B1267">
            <v>7</v>
          </cell>
          <cell r="C1267" t="str">
            <v>DMCN</v>
          </cell>
          <cell r="D1267">
            <v>73</v>
          </cell>
          <cell r="E1267">
            <v>1</v>
          </cell>
          <cell r="F1267" t="str">
            <v xml:space="preserve">B </v>
          </cell>
          <cell r="G1267">
            <v>9</v>
          </cell>
          <cell r="H1267">
            <v>1875</v>
          </cell>
          <cell r="I1267">
            <v>1221343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26176844</v>
          </cell>
          <cell r="P1267">
            <v>0</v>
          </cell>
          <cell r="Q1267">
            <v>19237</v>
          </cell>
          <cell r="R1267">
            <v>191624</v>
          </cell>
          <cell r="S1267">
            <v>0</v>
          </cell>
          <cell r="T1267">
            <v>334246</v>
          </cell>
          <cell r="U1267">
            <v>6549666</v>
          </cell>
          <cell r="V1267">
            <v>0</v>
          </cell>
          <cell r="W1267">
            <v>0</v>
          </cell>
          <cell r="X1267">
            <v>0</v>
          </cell>
          <cell r="Y1267">
            <v>444185</v>
          </cell>
          <cell r="Z1267">
            <v>26196081</v>
          </cell>
          <cell r="AA1267">
            <v>27166136</v>
          </cell>
          <cell r="AB1267" t="str">
            <v>EMCZ</v>
          </cell>
          <cell r="AC1267">
            <v>1101</v>
          </cell>
          <cell r="AD1267">
            <v>2</v>
          </cell>
          <cell r="AE1267">
            <v>1221343</v>
          </cell>
        </row>
        <row r="1268">
          <cell r="A1268" t="str">
            <v>SML</v>
          </cell>
          <cell r="B1268">
            <v>7</v>
          </cell>
          <cell r="C1268" t="str">
            <v>DMCN</v>
          </cell>
          <cell r="D1268">
            <v>73</v>
          </cell>
          <cell r="E1268">
            <v>1</v>
          </cell>
          <cell r="F1268" t="str">
            <v xml:space="preserve">B </v>
          </cell>
          <cell r="G1268">
            <v>10</v>
          </cell>
          <cell r="H1268">
            <v>446</v>
          </cell>
          <cell r="I1268">
            <v>855824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18051357</v>
          </cell>
          <cell r="P1268">
            <v>0</v>
          </cell>
          <cell r="Q1268">
            <v>110356</v>
          </cell>
          <cell r="R1268">
            <v>78804</v>
          </cell>
          <cell r="S1268">
            <v>0</v>
          </cell>
          <cell r="T1268">
            <v>179067</v>
          </cell>
          <cell r="U1268">
            <v>4540533</v>
          </cell>
          <cell r="V1268">
            <v>0</v>
          </cell>
          <cell r="W1268">
            <v>0</v>
          </cell>
          <cell r="X1268">
            <v>0</v>
          </cell>
          <cell r="Y1268">
            <v>56462</v>
          </cell>
          <cell r="Z1268">
            <v>18161713</v>
          </cell>
          <cell r="AA1268">
            <v>18476046</v>
          </cell>
          <cell r="AB1268" t="str">
            <v>EMCZ</v>
          </cell>
          <cell r="AC1268">
            <v>1101</v>
          </cell>
          <cell r="AD1268">
            <v>2</v>
          </cell>
          <cell r="AE1268">
            <v>855824</v>
          </cell>
        </row>
        <row r="1269">
          <cell r="A1269" t="str">
            <v>SML</v>
          </cell>
          <cell r="B1269">
            <v>7</v>
          </cell>
          <cell r="C1269" t="str">
            <v>DMCN</v>
          </cell>
          <cell r="D1269">
            <v>73</v>
          </cell>
          <cell r="E1269">
            <v>1</v>
          </cell>
          <cell r="F1269" t="str">
            <v xml:space="preserve">B </v>
          </cell>
          <cell r="G1269">
            <v>11</v>
          </cell>
          <cell r="H1269">
            <v>1089</v>
          </cell>
          <cell r="I1269">
            <v>29570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166578</v>
          </cell>
          <cell r="P1269">
            <v>0</v>
          </cell>
          <cell r="Q1269">
            <v>0</v>
          </cell>
          <cell r="R1269">
            <v>3428</v>
          </cell>
          <cell r="S1269">
            <v>0</v>
          </cell>
          <cell r="T1269">
            <v>27372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166578</v>
          </cell>
          <cell r="AA1269">
            <v>197378</v>
          </cell>
          <cell r="AB1269" t="str">
            <v>EMCZ</v>
          </cell>
          <cell r="AC1269">
            <v>1101</v>
          </cell>
          <cell r="AD1269">
            <v>2</v>
          </cell>
          <cell r="AE1269">
            <v>20062</v>
          </cell>
        </row>
        <row r="1270">
          <cell r="A1270" t="str">
            <v>SML</v>
          </cell>
          <cell r="B1270">
            <v>7</v>
          </cell>
          <cell r="C1270" t="str">
            <v>DMCN</v>
          </cell>
          <cell r="D1270">
            <v>73</v>
          </cell>
          <cell r="E1270">
            <v>1</v>
          </cell>
          <cell r="F1270" t="str">
            <v xml:space="preserve">B </v>
          </cell>
          <cell r="G1270">
            <v>12</v>
          </cell>
          <cell r="H1270">
            <v>1086</v>
          </cell>
          <cell r="I1270">
            <v>69049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650592</v>
          </cell>
          <cell r="P1270">
            <v>0</v>
          </cell>
          <cell r="Q1270">
            <v>0</v>
          </cell>
          <cell r="R1270">
            <v>11697</v>
          </cell>
          <cell r="S1270">
            <v>0</v>
          </cell>
          <cell r="T1270">
            <v>25655</v>
          </cell>
          <cell r="U1270">
            <v>110616</v>
          </cell>
          <cell r="V1270">
            <v>0</v>
          </cell>
          <cell r="W1270">
            <v>0</v>
          </cell>
          <cell r="X1270">
            <v>0</v>
          </cell>
          <cell r="Y1270">
            <v>100233</v>
          </cell>
          <cell r="Z1270">
            <v>650592</v>
          </cell>
          <cell r="AA1270">
            <v>788177</v>
          </cell>
          <cell r="AB1270" t="str">
            <v>EMCZ</v>
          </cell>
          <cell r="AC1270">
            <v>1101</v>
          </cell>
          <cell r="AD1270">
            <v>2</v>
          </cell>
          <cell r="AE1270">
            <v>69049</v>
          </cell>
        </row>
        <row r="1271">
          <cell r="A1271" t="str">
            <v>SML</v>
          </cell>
          <cell r="B1271">
            <v>7</v>
          </cell>
          <cell r="C1271" t="str">
            <v>DMCN</v>
          </cell>
          <cell r="D1271">
            <v>73</v>
          </cell>
          <cell r="E1271">
            <v>1</v>
          </cell>
          <cell r="F1271" t="str">
            <v xml:space="preserve">B </v>
          </cell>
          <cell r="G1271">
            <v>13</v>
          </cell>
          <cell r="H1271">
            <v>302</v>
          </cell>
          <cell r="I1271">
            <v>36679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517204</v>
          </cell>
          <cell r="P1271">
            <v>0</v>
          </cell>
          <cell r="Q1271">
            <v>0</v>
          </cell>
          <cell r="R1271">
            <v>7497</v>
          </cell>
          <cell r="S1271">
            <v>0</v>
          </cell>
          <cell r="T1271">
            <v>12927</v>
          </cell>
          <cell r="U1271">
            <v>87941</v>
          </cell>
          <cell r="V1271">
            <v>0</v>
          </cell>
          <cell r="W1271">
            <v>0</v>
          </cell>
          <cell r="X1271">
            <v>0</v>
          </cell>
          <cell r="Y1271">
            <v>77147</v>
          </cell>
          <cell r="Z1271">
            <v>517204</v>
          </cell>
          <cell r="AA1271">
            <v>614775</v>
          </cell>
          <cell r="AB1271" t="str">
            <v>EMCZ</v>
          </cell>
          <cell r="AC1271">
            <v>1101</v>
          </cell>
          <cell r="AD1271">
            <v>2</v>
          </cell>
          <cell r="AE1271">
            <v>36679</v>
          </cell>
        </row>
        <row r="1272">
          <cell r="A1272" t="str">
            <v>SML</v>
          </cell>
          <cell r="B1272">
            <v>7</v>
          </cell>
          <cell r="C1272" t="str">
            <v>DMCN</v>
          </cell>
          <cell r="D1272">
            <v>73</v>
          </cell>
          <cell r="E1272">
            <v>1</v>
          </cell>
          <cell r="F1272" t="str">
            <v xml:space="preserve">B </v>
          </cell>
          <cell r="G1272">
            <v>14</v>
          </cell>
          <cell r="H1272">
            <v>31</v>
          </cell>
          <cell r="I1272">
            <v>4724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66637</v>
          </cell>
          <cell r="P1272">
            <v>0</v>
          </cell>
          <cell r="Q1272">
            <v>0</v>
          </cell>
          <cell r="R1272">
            <v>5774</v>
          </cell>
          <cell r="S1272">
            <v>0</v>
          </cell>
          <cell r="T1272">
            <v>1000</v>
          </cell>
          <cell r="U1272">
            <v>11328</v>
          </cell>
          <cell r="V1272">
            <v>0</v>
          </cell>
          <cell r="W1272">
            <v>0</v>
          </cell>
          <cell r="X1272">
            <v>0</v>
          </cell>
          <cell r="Y1272">
            <v>6475</v>
          </cell>
          <cell r="Z1272">
            <v>66637</v>
          </cell>
          <cell r="AA1272">
            <v>79886</v>
          </cell>
          <cell r="AB1272" t="str">
            <v>EMCZ</v>
          </cell>
          <cell r="AC1272">
            <v>1101</v>
          </cell>
          <cell r="AD1272">
            <v>2</v>
          </cell>
          <cell r="AE1272">
            <v>4724</v>
          </cell>
        </row>
        <row r="1273">
          <cell r="A1273" t="str">
            <v>SML</v>
          </cell>
          <cell r="B1273">
            <v>7</v>
          </cell>
          <cell r="C1273" t="str">
            <v>DMCN</v>
          </cell>
          <cell r="D1273">
            <v>73</v>
          </cell>
          <cell r="E1273">
            <v>1</v>
          </cell>
          <cell r="F1273" t="str">
            <v xml:space="preserve">B </v>
          </cell>
          <cell r="G1273">
            <v>15</v>
          </cell>
          <cell r="H1273">
            <v>55</v>
          </cell>
          <cell r="I1273">
            <v>12555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190084</v>
          </cell>
          <cell r="P1273">
            <v>0</v>
          </cell>
          <cell r="Q1273">
            <v>0</v>
          </cell>
          <cell r="R1273">
            <v>2365</v>
          </cell>
          <cell r="S1273">
            <v>0</v>
          </cell>
          <cell r="T1273">
            <v>1588</v>
          </cell>
          <cell r="U1273">
            <v>33619</v>
          </cell>
          <cell r="V1273">
            <v>0</v>
          </cell>
          <cell r="W1273">
            <v>0</v>
          </cell>
          <cell r="X1273">
            <v>0</v>
          </cell>
          <cell r="Y1273">
            <v>13986</v>
          </cell>
          <cell r="Z1273">
            <v>190084</v>
          </cell>
          <cell r="AA1273">
            <v>208023</v>
          </cell>
          <cell r="AB1273" t="str">
            <v>EMCZ</v>
          </cell>
          <cell r="AC1273">
            <v>1101</v>
          </cell>
          <cell r="AD1273">
            <v>2</v>
          </cell>
          <cell r="AE1273">
            <v>12555</v>
          </cell>
        </row>
        <row r="1274">
          <cell r="A1274" t="str">
            <v>SML</v>
          </cell>
          <cell r="B1274">
            <v>7</v>
          </cell>
          <cell r="C1274" t="str">
            <v>DMCN</v>
          </cell>
          <cell r="D1274">
            <v>73</v>
          </cell>
          <cell r="E1274">
            <v>2</v>
          </cell>
          <cell r="F1274" t="str">
            <v>A4</v>
          </cell>
          <cell r="G1274">
            <v>20</v>
          </cell>
          <cell r="H1274">
            <v>18</v>
          </cell>
          <cell r="I1274">
            <v>78526</v>
          </cell>
          <cell r="J1274">
            <v>0</v>
          </cell>
          <cell r="K1274">
            <v>0</v>
          </cell>
          <cell r="L1274">
            <v>395</v>
          </cell>
          <cell r="M1274">
            <v>0</v>
          </cell>
          <cell r="N1274">
            <v>0</v>
          </cell>
          <cell r="O1274">
            <v>901059</v>
          </cell>
          <cell r="P1274">
            <v>309156</v>
          </cell>
          <cell r="Q1274">
            <v>24864</v>
          </cell>
          <cell r="R1274">
            <v>4387</v>
          </cell>
          <cell r="S1274">
            <v>0</v>
          </cell>
          <cell r="T1274">
            <v>0</v>
          </cell>
          <cell r="U1274">
            <v>313078</v>
          </cell>
          <cell r="V1274">
            <v>0</v>
          </cell>
          <cell r="W1274">
            <v>17219</v>
          </cell>
          <cell r="X1274">
            <v>0</v>
          </cell>
          <cell r="Y1274">
            <v>9342</v>
          </cell>
          <cell r="Z1274">
            <v>1252298</v>
          </cell>
          <cell r="AA1274">
            <v>1266027</v>
          </cell>
          <cell r="AB1274" t="str">
            <v>EMCZ</v>
          </cell>
          <cell r="AC1274">
            <v>1101</v>
          </cell>
          <cell r="AD1274">
            <v>2</v>
          </cell>
          <cell r="AE1274">
            <v>78526</v>
          </cell>
        </row>
        <row r="1275">
          <cell r="A1275" t="str">
            <v>SML</v>
          </cell>
          <cell r="B1275">
            <v>7</v>
          </cell>
          <cell r="C1275" t="str">
            <v>DMCN</v>
          </cell>
          <cell r="D1275">
            <v>73</v>
          </cell>
          <cell r="E1275">
            <v>2</v>
          </cell>
          <cell r="F1275" t="str">
            <v xml:space="preserve">B </v>
          </cell>
          <cell r="G1275">
            <v>0</v>
          </cell>
          <cell r="H1275">
            <v>190</v>
          </cell>
          <cell r="I1275">
            <v>234800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4888183</v>
          </cell>
          <cell r="P1275">
            <v>0</v>
          </cell>
          <cell r="Q1275">
            <v>0</v>
          </cell>
          <cell r="R1275">
            <v>50300</v>
          </cell>
          <cell r="S1275">
            <v>0</v>
          </cell>
          <cell r="T1275">
            <v>127224</v>
          </cell>
          <cell r="U1275">
            <v>1221269</v>
          </cell>
          <cell r="V1275">
            <v>0</v>
          </cell>
          <cell r="W1275">
            <v>0</v>
          </cell>
          <cell r="X1275">
            <v>0</v>
          </cell>
          <cell r="Y1275">
            <v>92382</v>
          </cell>
          <cell r="Z1275">
            <v>4888183</v>
          </cell>
          <cell r="AA1275">
            <v>5158089</v>
          </cell>
          <cell r="AB1275" t="str">
            <v>EMCZ</v>
          </cell>
          <cell r="AC1275">
            <v>1101</v>
          </cell>
          <cell r="AD1275">
            <v>2</v>
          </cell>
          <cell r="AE1275">
            <v>233107</v>
          </cell>
        </row>
        <row r="1276">
          <cell r="A1276" t="str">
            <v>SML</v>
          </cell>
          <cell r="B1276">
            <v>7</v>
          </cell>
          <cell r="C1276" t="str">
            <v>DMCN</v>
          </cell>
          <cell r="D1276">
            <v>73</v>
          </cell>
          <cell r="E1276">
            <v>3</v>
          </cell>
          <cell r="F1276" t="str">
            <v>A4</v>
          </cell>
          <cell r="G1276">
            <v>22</v>
          </cell>
          <cell r="H1276">
            <v>5</v>
          </cell>
          <cell r="I1276">
            <v>1697396</v>
          </cell>
          <cell r="J1276">
            <v>125046</v>
          </cell>
          <cell r="K1276">
            <v>1572350</v>
          </cell>
          <cell r="L1276">
            <v>6977</v>
          </cell>
          <cell r="M1276">
            <v>4275</v>
          </cell>
          <cell r="N1276">
            <v>2661</v>
          </cell>
          <cell r="O1276">
            <v>11851645</v>
          </cell>
          <cell r="P1276">
            <v>8547541</v>
          </cell>
          <cell r="Q1276">
            <v>37517</v>
          </cell>
          <cell r="R1276">
            <v>0</v>
          </cell>
          <cell r="S1276">
            <v>0</v>
          </cell>
          <cell r="T1276">
            <v>3703</v>
          </cell>
          <cell r="U1276">
            <v>5109176</v>
          </cell>
          <cell r="V1276">
            <v>0</v>
          </cell>
          <cell r="W1276">
            <v>0</v>
          </cell>
          <cell r="X1276">
            <v>0</v>
          </cell>
          <cell r="Y1276">
            <v>2595</v>
          </cell>
          <cell r="Z1276">
            <v>20436703</v>
          </cell>
          <cell r="AA1276">
            <v>20443001</v>
          </cell>
          <cell r="AB1276" t="str">
            <v>EMCZ</v>
          </cell>
          <cell r="AC1276">
            <v>1101</v>
          </cell>
          <cell r="AD1276">
            <v>2</v>
          </cell>
          <cell r="AE1276">
            <v>1697396</v>
          </cell>
        </row>
        <row r="1277">
          <cell r="A1277" t="str">
            <v>SML</v>
          </cell>
          <cell r="B1277">
            <v>7</v>
          </cell>
          <cell r="C1277" t="str">
            <v>DMCN</v>
          </cell>
          <cell r="D1277">
            <v>73</v>
          </cell>
          <cell r="E1277">
            <v>3</v>
          </cell>
          <cell r="F1277" t="str">
            <v>A4</v>
          </cell>
          <cell r="G1277">
            <v>21</v>
          </cell>
          <cell r="H1277">
            <v>8</v>
          </cell>
          <cell r="I1277">
            <v>166305</v>
          </cell>
          <cell r="J1277">
            <v>12245</v>
          </cell>
          <cell r="K1277">
            <v>154060</v>
          </cell>
          <cell r="L1277">
            <v>1159</v>
          </cell>
          <cell r="M1277">
            <v>1159</v>
          </cell>
          <cell r="N1277">
            <v>0</v>
          </cell>
          <cell r="O1277">
            <v>1747538</v>
          </cell>
          <cell r="P1277">
            <v>800484</v>
          </cell>
          <cell r="Q1277">
            <v>56966</v>
          </cell>
          <cell r="R1277">
            <v>2336</v>
          </cell>
          <cell r="S1277">
            <v>0</v>
          </cell>
          <cell r="T1277">
            <v>0</v>
          </cell>
          <cell r="U1277">
            <v>654873</v>
          </cell>
          <cell r="V1277">
            <v>0</v>
          </cell>
          <cell r="W1277">
            <v>14504</v>
          </cell>
          <cell r="X1277">
            <v>0</v>
          </cell>
          <cell r="Y1277">
            <v>4152</v>
          </cell>
          <cell r="Z1277">
            <v>2619492</v>
          </cell>
          <cell r="AA1277">
            <v>2625980</v>
          </cell>
          <cell r="AB1277" t="str">
            <v>EMCZ</v>
          </cell>
          <cell r="AC1277">
            <v>1101</v>
          </cell>
          <cell r="AD1277">
            <v>2</v>
          </cell>
          <cell r="AE1277">
            <v>166305</v>
          </cell>
        </row>
        <row r="1278">
          <cell r="A1278" t="str">
            <v>SML</v>
          </cell>
          <cell r="B1278">
            <v>7</v>
          </cell>
          <cell r="C1278" t="str">
            <v>DMCN</v>
          </cell>
          <cell r="D1278">
            <v>73</v>
          </cell>
          <cell r="E1278">
            <v>3</v>
          </cell>
          <cell r="F1278" t="str">
            <v>A4</v>
          </cell>
          <cell r="G1278">
            <v>20</v>
          </cell>
          <cell r="H1278">
            <v>80</v>
          </cell>
          <cell r="I1278">
            <v>1363657</v>
          </cell>
          <cell r="J1278">
            <v>0</v>
          </cell>
          <cell r="K1278">
            <v>0</v>
          </cell>
          <cell r="L1278">
            <v>5597</v>
          </cell>
          <cell r="M1278">
            <v>0</v>
          </cell>
          <cell r="N1278">
            <v>0</v>
          </cell>
          <cell r="O1278">
            <v>15647508</v>
          </cell>
          <cell r="P1278">
            <v>4380589</v>
          </cell>
          <cell r="Q1278">
            <v>328897</v>
          </cell>
          <cell r="R1278">
            <v>177759</v>
          </cell>
          <cell r="S1278">
            <v>0</v>
          </cell>
          <cell r="T1278">
            <v>159437</v>
          </cell>
          <cell r="U1278">
            <v>5114695</v>
          </cell>
          <cell r="V1278">
            <v>0</v>
          </cell>
          <cell r="W1278">
            <v>101746</v>
          </cell>
          <cell r="X1278">
            <v>0</v>
          </cell>
          <cell r="Y1278">
            <v>40482</v>
          </cell>
          <cell r="Z1278">
            <v>20458740</v>
          </cell>
          <cell r="AA1278">
            <v>20836418</v>
          </cell>
          <cell r="AB1278" t="str">
            <v>EMCZ</v>
          </cell>
          <cell r="AC1278">
            <v>1101</v>
          </cell>
          <cell r="AD1278">
            <v>2</v>
          </cell>
          <cell r="AE1278">
            <v>1363657</v>
          </cell>
        </row>
        <row r="1279">
          <cell r="A1279" t="str">
            <v>SML</v>
          </cell>
          <cell r="B1279">
            <v>7</v>
          </cell>
          <cell r="C1279" t="str">
            <v>DMCN</v>
          </cell>
          <cell r="D1279">
            <v>73</v>
          </cell>
          <cell r="E1279">
            <v>3</v>
          </cell>
          <cell r="F1279" t="str">
            <v xml:space="preserve">B </v>
          </cell>
          <cell r="G1279">
            <v>0</v>
          </cell>
          <cell r="H1279">
            <v>3611</v>
          </cell>
          <cell r="I1279">
            <v>1718118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35772982</v>
          </cell>
          <cell r="P1279">
            <v>0</v>
          </cell>
          <cell r="Q1279">
            <v>0</v>
          </cell>
          <cell r="R1279">
            <v>324845</v>
          </cell>
          <cell r="S1279">
            <v>0</v>
          </cell>
          <cell r="T1279">
            <v>1312022</v>
          </cell>
          <cell r="U1279">
            <v>8912371</v>
          </cell>
          <cell r="V1279">
            <v>0</v>
          </cell>
          <cell r="W1279">
            <v>0</v>
          </cell>
          <cell r="X1279">
            <v>0</v>
          </cell>
          <cell r="Y1279">
            <v>1745171</v>
          </cell>
          <cell r="Z1279">
            <v>35772982</v>
          </cell>
          <cell r="AA1279">
            <v>39155020</v>
          </cell>
          <cell r="AB1279" t="str">
            <v>EMCZ</v>
          </cell>
          <cell r="AC1279">
            <v>1101</v>
          </cell>
          <cell r="AD1279">
            <v>2</v>
          </cell>
          <cell r="AE1279">
            <v>1691768</v>
          </cell>
        </row>
        <row r="1280">
          <cell r="A1280" t="str">
            <v>SML</v>
          </cell>
          <cell r="B1280">
            <v>7</v>
          </cell>
          <cell r="C1280" t="str">
            <v>DMCN</v>
          </cell>
          <cell r="D1280">
            <v>73</v>
          </cell>
          <cell r="E1280">
            <v>5</v>
          </cell>
          <cell r="F1280" t="str">
            <v>A4</v>
          </cell>
          <cell r="G1280">
            <v>22</v>
          </cell>
          <cell r="H1280">
            <v>1</v>
          </cell>
          <cell r="I1280">
            <v>195799</v>
          </cell>
          <cell r="J1280">
            <v>14278</v>
          </cell>
          <cell r="K1280">
            <v>181521</v>
          </cell>
          <cell r="L1280">
            <v>1048</v>
          </cell>
          <cell r="M1280">
            <v>600</v>
          </cell>
          <cell r="N1280">
            <v>448</v>
          </cell>
          <cell r="O1280">
            <v>1024556</v>
          </cell>
          <cell r="P1280">
            <v>1006544</v>
          </cell>
          <cell r="Q1280">
            <v>51357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2082457</v>
          </cell>
          <cell r="AA1280">
            <v>2082457</v>
          </cell>
          <cell r="AB1280" t="str">
            <v>EMCZ</v>
          </cell>
          <cell r="AC1280">
            <v>1101</v>
          </cell>
          <cell r="AD1280">
            <v>2</v>
          </cell>
          <cell r="AE1280">
            <v>195799</v>
          </cell>
        </row>
        <row r="1281">
          <cell r="A1281" t="str">
            <v>SML</v>
          </cell>
          <cell r="B1281">
            <v>7</v>
          </cell>
          <cell r="C1281" t="str">
            <v>DMCN</v>
          </cell>
          <cell r="D1281">
            <v>73</v>
          </cell>
          <cell r="E1281">
            <v>5</v>
          </cell>
          <cell r="F1281" t="str">
            <v>A4</v>
          </cell>
          <cell r="G1281">
            <v>21</v>
          </cell>
          <cell r="H1281">
            <v>2</v>
          </cell>
          <cell r="I1281">
            <v>18361</v>
          </cell>
          <cell r="J1281">
            <v>705</v>
          </cell>
          <cell r="K1281">
            <v>17656</v>
          </cell>
          <cell r="L1281">
            <v>118</v>
          </cell>
          <cell r="M1281">
            <v>118</v>
          </cell>
          <cell r="N1281">
            <v>0</v>
          </cell>
          <cell r="O1281">
            <v>157348</v>
          </cell>
          <cell r="P1281">
            <v>81498</v>
          </cell>
          <cell r="Q1281">
            <v>676</v>
          </cell>
          <cell r="R1281">
            <v>512</v>
          </cell>
          <cell r="S1281">
            <v>0</v>
          </cell>
          <cell r="T1281">
            <v>0</v>
          </cell>
          <cell r="U1281">
            <v>59880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239522</v>
          </cell>
          <cell r="AA1281">
            <v>240034</v>
          </cell>
          <cell r="AB1281" t="str">
            <v>EMCZ</v>
          </cell>
          <cell r="AC1281">
            <v>1101</v>
          </cell>
          <cell r="AD1281">
            <v>2</v>
          </cell>
          <cell r="AE1281">
            <v>18361</v>
          </cell>
        </row>
        <row r="1282">
          <cell r="A1282" t="str">
            <v>SML</v>
          </cell>
          <cell r="B1282">
            <v>7</v>
          </cell>
          <cell r="C1282" t="str">
            <v>DMCN</v>
          </cell>
          <cell r="D1282">
            <v>73</v>
          </cell>
          <cell r="E1282">
            <v>5</v>
          </cell>
          <cell r="F1282" t="str">
            <v>A4</v>
          </cell>
          <cell r="G1282">
            <v>20</v>
          </cell>
          <cell r="H1282">
            <v>37</v>
          </cell>
          <cell r="I1282">
            <v>665756</v>
          </cell>
          <cell r="J1282">
            <v>0</v>
          </cell>
          <cell r="K1282">
            <v>0</v>
          </cell>
          <cell r="L1282">
            <v>3777</v>
          </cell>
          <cell r="M1282">
            <v>0</v>
          </cell>
          <cell r="N1282">
            <v>0</v>
          </cell>
          <cell r="O1282">
            <v>6447955</v>
          </cell>
          <cell r="P1282">
            <v>2519797</v>
          </cell>
          <cell r="Q1282">
            <v>206404</v>
          </cell>
          <cell r="R1282">
            <v>36984</v>
          </cell>
          <cell r="S1282">
            <v>0</v>
          </cell>
          <cell r="T1282">
            <v>154888</v>
          </cell>
          <cell r="U1282">
            <v>1039391</v>
          </cell>
          <cell r="V1282">
            <v>0</v>
          </cell>
          <cell r="W1282">
            <v>90594</v>
          </cell>
          <cell r="X1282">
            <v>0</v>
          </cell>
          <cell r="Y1282">
            <v>0</v>
          </cell>
          <cell r="Z1282">
            <v>9264750</v>
          </cell>
          <cell r="AA1282">
            <v>9456622</v>
          </cell>
          <cell r="AB1282" t="str">
            <v>EMCZ</v>
          </cell>
          <cell r="AC1282">
            <v>1101</v>
          </cell>
          <cell r="AD1282">
            <v>2</v>
          </cell>
          <cell r="AE1282">
            <v>665756</v>
          </cell>
        </row>
        <row r="1283">
          <cell r="A1283" t="str">
            <v>SML</v>
          </cell>
          <cell r="B1283">
            <v>7</v>
          </cell>
          <cell r="C1283" t="str">
            <v>DMCN</v>
          </cell>
          <cell r="D1283">
            <v>73</v>
          </cell>
          <cell r="E1283">
            <v>5</v>
          </cell>
          <cell r="F1283" t="str">
            <v xml:space="preserve">B </v>
          </cell>
          <cell r="G1283">
            <v>0</v>
          </cell>
          <cell r="H1283">
            <v>112</v>
          </cell>
          <cell r="I1283">
            <v>185655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3510646</v>
          </cell>
          <cell r="P1283">
            <v>0</v>
          </cell>
          <cell r="Q1283">
            <v>0</v>
          </cell>
          <cell r="R1283">
            <v>4576</v>
          </cell>
          <cell r="S1283">
            <v>0</v>
          </cell>
          <cell r="T1283">
            <v>0</v>
          </cell>
          <cell r="U1283">
            <v>611841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3510646</v>
          </cell>
          <cell r="AA1283">
            <v>3515222</v>
          </cell>
          <cell r="AB1283" t="str">
            <v>EMCZ</v>
          </cell>
          <cell r="AC1283">
            <v>1101</v>
          </cell>
          <cell r="AD1283">
            <v>2</v>
          </cell>
          <cell r="AE1283">
            <v>185148</v>
          </cell>
        </row>
        <row r="1284">
          <cell r="A1284" t="str">
            <v>SML</v>
          </cell>
          <cell r="B1284">
            <v>7</v>
          </cell>
          <cell r="C1284" t="str">
            <v>DMCN</v>
          </cell>
          <cell r="D1284">
            <v>73</v>
          </cell>
          <cell r="E1284">
            <v>7</v>
          </cell>
          <cell r="F1284" t="str">
            <v>A4</v>
          </cell>
          <cell r="G1284">
            <v>20</v>
          </cell>
          <cell r="H1284">
            <v>3</v>
          </cell>
          <cell r="I1284">
            <v>12462</v>
          </cell>
          <cell r="J1284">
            <v>0</v>
          </cell>
          <cell r="K1284">
            <v>0</v>
          </cell>
          <cell r="L1284">
            <v>135</v>
          </cell>
          <cell r="M1284">
            <v>0</v>
          </cell>
          <cell r="N1284">
            <v>0</v>
          </cell>
          <cell r="O1284">
            <v>121546</v>
          </cell>
          <cell r="P1284">
            <v>89640</v>
          </cell>
          <cell r="Q1284">
            <v>4828</v>
          </cell>
          <cell r="R1284">
            <v>0</v>
          </cell>
          <cell r="S1284">
            <v>0</v>
          </cell>
          <cell r="T1284">
            <v>0</v>
          </cell>
          <cell r="U1284">
            <v>54336</v>
          </cell>
          <cell r="V1284">
            <v>0</v>
          </cell>
          <cell r="W1284">
            <v>1328</v>
          </cell>
          <cell r="X1284">
            <v>0</v>
          </cell>
          <cell r="Y1284">
            <v>0</v>
          </cell>
          <cell r="Z1284">
            <v>217342</v>
          </cell>
          <cell r="AA1284">
            <v>217342</v>
          </cell>
          <cell r="AB1284" t="str">
            <v>EMCZ</v>
          </cell>
          <cell r="AC1284">
            <v>1101</v>
          </cell>
          <cell r="AD1284">
            <v>2</v>
          </cell>
          <cell r="AE1284">
            <v>12462</v>
          </cell>
        </row>
        <row r="1285">
          <cell r="A1285" t="str">
            <v>SML</v>
          </cell>
          <cell r="B1285">
            <v>7</v>
          </cell>
          <cell r="C1285" t="str">
            <v>DMCN</v>
          </cell>
          <cell r="D1285">
            <v>73</v>
          </cell>
          <cell r="E1285">
            <v>7</v>
          </cell>
          <cell r="F1285" t="str">
            <v xml:space="preserve">B </v>
          </cell>
          <cell r="G1285">
            <v>0</v>
          </cell>
          <cell r="H1285">
            <v>4</v>
          </cell>
          <cell r="I1285">
            <v>3787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67009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16752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67009</v>
          </cell>
          <cell r="AA1285">
            <v>67009</v>
          </cell>
          <cell r="AB1285" t="str">
            <v>EMCZ</v>
          </cell>
          <cell r="AC1285">
            <v>1101</v>
          </cell>
          <cell r="AD1285">
            <v>2</v>
          </cell>
          <cell r="AE1285">
            <v>3687</v>
          </cell>
        </row>
        <row r="1286">
          <cell r="A1286" t="str">
            <v>SML</v>
          </cell>
          <cell r="B1286">
            <v>7</v>
          </cell>
          <cell r="C1286" t="str">
            <v>DMCN</v>
          </cell>
          <cell r="D1286">
            <v>73</v>
          </cell>
          <cell r="E1286">
            <v>8</v>
          </cell>
          <cell r="F1286" t="str">
            <v xml:space="preserve">B </v>
          </cell>
          <cell r="G1286">
            <v>0</v>
          </cell>
          <cell r="H1286">
            <v>2</v>
          </cell>
          <cell r="I1286">
            <v>1708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35557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8889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35557</v>
          </cell>
          <cell r="AA1286">
            <v>35557</v>
          </cell>
          <cell r="AB1286" t="str">
            <v>EMCZ</v>
          </cell>
          <cell r="AC1286">
            <v>1101</v>
          </cell>
          <cell r="AD1286">
            <v>2</v>
          </cell>
          <cell r="AE1286">
            <v>1616</v>
          </cell>
        </row>
        <row r="1287">
          <cell r="A1287" t="str">
            <v>SML</v>
          </cell>
          <cell r="B1287">
            <v>7</v>
          </cell>
          <cell r="C1287" t="str">
            <v>DMCN</v>
          </cell>
          <cell r="D1287">
            <v>74</v>
          </cell>
          <cell r="E1287">
            <v>1</v>
          </cell>
          <cell r="F1287" t="str">
            <v xml:space="preserve">B </v>
          </cell>
          <cell r="G1287">
            <v>1</v>
          </cell>
          <cell r="H1287">
            <v>3</v>
          </cell>
          <cell r="I1287">
            <v>53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854</v>
          </cell>
          <cell r="P1287">
            <v>0</v>
          </cell>
          <cell r="Q1287">
            <v>0</v>
          </cell>
          <cell r="R1287">
            <v>104</v>
          </cell>
          <cell r="S1287">
            <v>0</v>
          </cell>
          <cell r="T1287">
            <v>110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854</v>
          </cell>
          <cell r="AA1287">
            <v>1068</v>
          </cell>
          <cell r="AB1287" t="str">
            <v>ERFN</v>
          </cell>
          <cell r="AC1287">
            <v>1101</v>
          </cell>
          <cell r="AD1287">
            <v>2</v>
          </cell>
          <cell r="AE1287">
            <v>23</v>
          </cell>
        </row>
        <row r="1288">
          <cell r="A1288" t="str">
            <v>SML</v>
          </cell>
          <cell r="B1288">
            <v>7</v>
          </cell>
          <cell r="C1288" t="str">
            <v>DMCN</v>
          </cell>
          <cell r="D1288">
            <v>74</v>
          </cell>
          <cell r="E1288">
            <v>1</v>
          </cell>
          <cell r="F1288" t="str">
            <v xml:space="preserve">B </v>
          </cell>
          <cell r="G1288">
            <v>2</v>
          </cell>
          <cell r="H1288">
            <v>4</v>
          </cell>
          <cell r="I1288">
            <v>153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2463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2463</v>
          </cell>
          <cell r="AA1288">
            <v>2463</v>
          </cell>
          <cell r="AB1288" t="str">
            <v>ERFN</v>
          </cell>
          <cell r="AC1288">
            <v>1101</v>
          </cell>
          <cell r="AD1288">
            <v>2</v>
          </cell>
          <cell r="AE1288">
            <v>153</v>
          </cell>
        </row>
        <row r="1289">
          <cell r="A1289" t="str">
            <v>SML</v>
          </cell>
          <cell r="B1289">
            <v>7</v>
          </cell>
          <cell r="C1289" t="str">
            <v>DMCN</v>
          </cell>
          <cell r="D1289">
            <v>74</v>
          </cell>
          <cell r="E1289">
            <v>1</v>
          </cell>
          <cell r="F1289" t="str">
            <v xml:space="preserve">B </v>
          </cell>
          <cell r="G1289">
            <v>3</v>
          </cell>
          <cell r="H1289">
            <v>17</v>
          </cell>
          <cell r="I1289">
            <v>1338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21536</v>
          </cell>
          <cell r="P1289">
            <v>0</v>
          </cell>
          <cell r="Q1289">
            <v>0</v>
          </cell>
          <cell r="R1289">
            <v>225</v>
          </cell>
          <cell r="S1289">
            <v>0</v>
          </cell>
          <cell r="T1289">
            <v>2500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21536</v>
          </cell>
          <cell r="AA1289">
            <v>24261</v>
          </cell>
          <cell r="AB1289" t="str">
            <v>ERFN</v>
          </cell>
          <cell r="AC1289">
            <v>1101</v>
          </cell>
          <cell r="AD1289">
            <v>2</v>
          </cell>
          <cell r="AE1289">
            <v>1338</v>
          </cell>
        </row>
        <row r="1290">
          <cell r="A1290" t="str">
            <v>SML</v>
          </cell>
          <cell r="B1290">
            <v>7</v>
          </cell>
          <cell r="C1290" t="str">
            <v>DMCN</v>
          </cell>
          <cell r="D1290">
            <v>74</v>
          </cell>
          <cell r="E1290">
            <v>1</v>
          </cell>
          <cell r="F1290" t="str">
            <v xml:space="preserve">B </v>
          </cell>
          <cell r="G1290">
            <v>4</v>
          </cell>
          <cell r="H1290">
            <v>36</v>
          </cell>
          <cell r="I1290">
            <v>4747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92079</v>
          </cell>
          <cell r="P1290">
            <v>0</v>
          </cell>
          <cell r="Q1290">
            <v>0</v>
          </cell>
          <cell r="R1290">
            <v>1405</v>
          </cell>
          <cell r="S1290">
            <v>0</v>
          </cell>
          <cell r="T1290">
            <v>2160</v>
          </cell>
          <cell r="U1290">
            <v>15655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92079</v>
          </cell>
          <cell r="AA1290">
            <v>95644</v>
          </cell>
          <cell r="AB1290" t="str">
            <v>ERFN</v>
          </cell>
          <cell r="AC1290">
            <v>1101</v>
          </cell>
          <cell r="AD1290">
            <v>2</v>
          </cell>
          <cell r="AE1290">
            <v>4747</v>
          </cell>
        </row>
        <row r="1291">
          <cell r="A1291" t="str">
            <v>SML</v>
          </cell>
          <cell r="B1291">
            <v>7</v>
          </cell>
          <cell r="C1291" t="str">
            <v>DMCN</v>
          </cell>
          <cell r="D1291">
            <v>74</v>
          </cell>
          <cell r="E1291">
            <v>1</v>
          </cell>
          <cell r="F1291" t="str">
            <v xml:space="preserve">B </v>
          </cell>
          <cell r="G1291">
            <v>5</v>
          </cell>
          <cell r="H1291">
            <v>50</v>
          </cell>
          <cell r="I1291">
            <v>8703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168796</v>
          </cell>
          <cell r="P1291">
            <v>0</v>
          </cell>
          <cell r="Q1291">
            <v>0</v>
          </cell>
          <cell r="R1291">
            <v>1952</v>
          </cell>
          <cell r="S1291">
            <v>0</v>
          </cell>
          <cell r="T1291">
            <v>6720</v>
          </cell>
          <cell r="U1291">
            <v>28696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168796</v>
          </cell>
          <cell r="AA1291">
            <v>177468</v>
          </cell>
          <cell r="AB1291" t="str">
            <v>ERFN</v>
          </cell>
          <cell r="AC1291">
            <v>1101</v>
          </cell>
          <cell r="AD1291">
            <v>2</v>
          </cell>
          <cell r="AE1291">
            <v>8703</v>
          </cell>
        </row>
        <row r="1292">
          <cell r="A1292" t="str">
            <v>SML</v>
          </cell>
          <cell r="B1292">
            <v>7</v>
          </cell>
          <cell r="C1292" t="str">
            <v>DMCN</v>
          </cell>
          <cell r="D1292">
            <v>74</v>
          </cell>
          <cell r="E1292">
            <v>1</v>
          </cell>
          <cell r="F1292" t="str">
            <v xml:space="preserve">B </v>
          </cell>
          <cell r="G1292">
            <v>6</v>
          </cell>
          <cell r="H1292">
            <v>69</v>
          </cell>
          <cell r="I1292">
            <v>16744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324776</v>
          </cell>
          <cell r="P1292">
            <v>0</v>
          </cell>
          <cell r="Q1292">
            <v>0</v>
          </cell>
          <cell r="R1292">
            <v>2488</v>
          </cell>
          <cell r="S1292">
            <v>0</v>
          </cell>
          <cell r="T1292">
            <v>14610</v>
          </cell>
          <cell r="U1292">
            <v>55209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324776</v>
          </cell>
          <cell r="AA1292">
            <v>341874</v>
          </cell>
          <cell r="AB1292" t="str">
            <v>ERFN</v>
          </cell>
          <cell r="AC1292">
            <v>1101</v>
          </cell>
          <cell r="AD1292">
            <v>2</v>
          </cell>
          <cell r="AE1292">
            <v>16744</v>
          </cell>
        </row>
        <row r="1293">
          <cell r="A1293" t="str">
            <v>SML</v>
          </cell>
          <cell r="B1293">
            <v>7</v>
          </cell>
          <cell r="C1293" t="str">
            <v>DMCN</v>
          </cell>
          <cell r="D1293">
            <v>74</v>
          </cell>
          <cell r="E1293">
            <v>1</v>
          </cell>
          <cell r="F1293" t="str">
            <v xml:space="preserve">B </v>
          </cell>
          <cell r="G1293">
            <v>7</v>
          </cell>
          <cell r="H1293">
            <v>31</v>
          </cell>
          <cell r="I1293">
            <v>10705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215438</v>
          </cell>
          <cell r="P1293">
            <v>0</v>
          </cell>
          <cell r="Q1293">
            <v>0</v>
          </cell>
          <cell r="R1293">
            <v>1917</v>
          </cell>
          <cell r="S1293">
            <v>0</v>
          </cell>
          <cell r="T1293">
            <v>14500</v>
          </cell>
          <cell r="U1293">
            <v>43093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215438</v>
          </cell>
          <cell r="AA1293">
            <v>231855</v>
          </cell>
          <cell r="AB1293" t="str">
            <v>ERFN</v>
          </cell>
          <cell r="AC1293">
            <v>1101</v>
          </cell>
          <cell r="AD1293">
            <v>2</v>
          </cell>
          <cell r="AE1293">
            <v>10705</v>
          </cell>
        </row>
        <row r="1294">
          <cell r="A1294" t="str">
            <v>SML</v>
          </cell>
          <cell r="B1294">
            <v>7</v>
          </cell>
          <cell r="C1294" t="str">
            <v>DMCN</v>
          </cell>
          <cell r="D1294">
            <v>74</v>
          </cell>
          <cell r="E1294">
            <v>1</v>
          </cell>
          <cell r="F1294" t="str">
            <v xml:space="preserve">B </v>
          </cell>
          <cell r="G1294">
            <v>8</v>
          </cell>
          <cell r="H1294">
            <v>28</v>
          </cell>
          <cell r="I1294">
            <v>12528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252100</v>
          </cell>
          <cell r="P1294">
            <v>0</v>
          </cell>
          <cell r="Q1294">
            <v>0</v>
          </cell>
          <cell r="R1294">
            <v>2617</v>
          </cell>
          <cell r="S1294">
            <v>0</v>
          </cell>
          <cell r="T1294">
            <v>7000</v>
          </cell>
          <cell r="U1294">
            <v>50419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252100</v>
          </cell>
          <cell r="AA1294">
            <v>261717</v>
          </cell>
          <cell r="AB1294" t="str">
            <v>ERFN</v>
          </cell>
          <cell r="AC1294">
            <v>1101</v>
          </cell>
          <cell r="AD1294">
            <v>2</v>
          </cell>
          <cell r="AE1294">
            <v>12528</v>
          </cell>
        </row>
        <row r="1295">
          <cell r="A1295" t="str">
            <v>SML</v>
          </cell>
          <cell r="B1295">
            <v>7</v>
          </cell>
          <cell r="C1295" t="str">
            <v>DMCN</v>
          </cell>
          <cell r="D1295">
            <v>74</v>
          </cell>
          <cell r="E1295">
            <v>1</v>
          </cell>
          <cell r="F1295" t="str">
            <v xml:space="preserve">B </v>
          </cell>
          <cell r="G1295">
            <v>9</v>
          </cell>
          <cell r="H1295">
            <v>21</v>
          </cell>
          <cell r="I1295">
            <v>14235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305527</v>
          </cell>
          <cell r="P1295">
            <v>0</v>
          </cell>
          <cell r="Q1295">
            <v>0</v>
          </cell>
          <cell r="R1295">
            <v>2587</v>
          </cell>
          <cell r="S1295">
            <v>0</v>
          </cell>
          <cell r="T1295">
            <v>8700</v>
          </cell>
          <cell r="U1295">
            <v>76383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305527</v>
          </cell>
          <cell r="AA1295">
            <v>316814</v>
          </cell>
          <cell r="AB1295" t="str">
            <v>ERFN</v>
          </cell>
          <cell r="AC1295">
            <v>1101</v>
          </cell>
          <cell r="AD1295">
            <v>2</v>
          </cell>
          <cell r="AE1295">
            <v>14235</v>
          </cell>
        </row>
        <row r="1296">
          <cell r="A1296" t="str">
            <v>SML</v>
          </cell>
          <cell r="B1296">
            <v>7</v>
          </cell>
          <cell r="C1296" t="str">
            <v>DMCN</v>
          </cell>
          <cell r="D1296">
            <v>74</v>
          </cell>
          <cell r="E1296">
            <v>1</v>
          </cell>
          <cell r="F1296" t="str">
            <v xml:space="preserve">B </v>
          </cell>
          <cell r="G1296">
            <v>10</v>
          </cell>
          <cell r="H1296">
            <v>5</v>
          </cell>
          <cell r="I1296">
            <v>6816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146281</v>
          </cell>
          <cell r="P1296">
            <v>0</v>
          </cell>
          <cell r="Q1296">
            <v>0</v>
          </cell>
          <cell r="R1296">
            <v>1168</v>
          </cell>
          <cell r="S1296">
            <v>0</v>
          </cell>
          <cell r="T1296">
            <v>3000</v>
          </cell>
          <cell r="U1296">
            <v>36570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146281</v>
          </cell>
          <cell r="AA1296">
            <v>150449</v>
          </cell>
          <cell r="AB1296" t="str">
            <v>ERFN</v>
          </cell>
          <cell r="AC1296">
            <v>1101</v>
          </cell>
          <cell r="AD1296">
            <v>2</v>
          </cell>
          <cell r="AE1296">
            <v>6816</v>
          </cell>
        </row>
        <row r="1297">
          <cell r="A1297" t="str">
            <v>SML</v>
          </cell>
          <cell r="B1297">
            <v>7</v>
          </cell>
          <cell r="C1297" t="str">
            <v>DMCN</v>
          </cell>
          <cell r="D1297">
            <v>74</v>
          </cell>
          <cell r="E1297">
            <v>1</v>
          </cell>
          <cell r="F1297" t="str">
            <v xml:space="preserve">B </v>
          </cell>
          <cell r="G1297">
            <v>11</v>
          </cell>
          <cell r="H1297">
            <v>7</v>
          </cell>
          <cell r="I1297">
            <v>163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919</v>
          </cell>
          <cell r="P1297">
            <v>0</v>
          </cell>
          <cell r="Q1297">
            <v>0</v>
          </cell>
          <cell r="R1297">
            <v>92</v>
          </cell>
          <cell r="S1297">
            <v>0</v>
          </cell>
          <cell r="T1297">
            <v>330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919</v>
          </cell>
          <cell r="AA1297">
            <v>1341</v>
          </cell>
          <cell r="AB1297" t="str">
            <v>ERFN</v>
          </cell>
          <cell r="AC1297">
            <v>1101</v>
          </cell>
          <cell r="AD1297">
            <v>2</v>
          </cell>
          <cell r="AE1297">
            <v>13</v>
          </cell>
        </row>
        <row r="1298">
          <cell r="A1298" t="str">
            <v>SML</v>
          </cell>
          <cell r="B1298">
            <v>7</v>
          </cell>
          <cell r="C1298" t="str">
            <v>DMCN</v>
          </cell>
          <cell r="D1298">
            <v>74</v>
          </cell>
          <cell r="E1298">
            <v>1</v>
          </cell>
          <cell r="F1298" t="str">
            <v xml:space="preserve">B </v>
          </cell>
          <cell r="G1298">
            <v>12</v>
          </cell>
          <cell r="H1298">
            <v>13</v>
          </cell>
          <cell r="I1298">
            <v>978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7876</v>
          </cell>
          <cell r="P1298">
            <v>0</v>
          </cell>
          <cell r="Q1298">
            <v>0</v>
          </cell>
          <cell r="R1298">
            <v>14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7876</v>
          </cell>
          <cell r="AA1298">
            <v>7890</v>
          </cell>
          <cell r="AB1298" t="str">
            <v>ERFN</v>
          </cell>
          <cell r="AC1298">
            <v>1101</v>
          </cell>
          <cell r="AD1298">
            <v>2</v>
          </cell>
          <cell r="AE1298">
            <v>978</v>
          </cell>
        </row>
        <row r="1299">
          <cell r="A1299" t="str">
            <v>SML</v>
          </cell>
          <cell r="B1299">
            <v>7</v>
          </cell>
          <cell r="C1299" t="str">
            <v>DMCN</v>
          </cell>
          <cell r="D1299">
            <v>74</v>
          </cell>
          <cell r="E1299">
            <v>1</v>
          </cell>
          <cell r="F1299" t="str">
            <v xml:space="preserve">B </v>
          </cell>
          <cell r="G1299">
            <v>13</v>
          </cell>
          <cell r="H1299">
            <v>16</v>
          </cell>
          <cell r="I1299">
            <v>1899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27325</v>
          </cell>
          <cell r="P1299">
            <v>0</v>
          </cell>
          <cell r="Q1299">
            <v>0</v>
          </cell>
          <cell r="R1299">
            <v>234</v>
          </cell>
          <cell r="S1299">
            <v>0</v>
          </cell>
          <cell r="T1299">
            <v>1000</v>
          </cell>
          <cell r="U1299">
            <v>4644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27325</v>
          </cell>
          <cell r="AA1299">
            <v>28559</v>
          </cell>
          <cell r="AB1299" t="str">
            <v>ERFN</v>
          </cell>
          <cell r="AC1299">
            <v>1101</v>
          </cell>
          <cell r="AD1299">
            <v>2</v>
          </cell>
          <cell r="AE1299">
            <v>1899</v>
          </cell>
        </row>
        <row r="1300">
          <cell r="A1300" t="str">
            <v>SML</v>
          </cell>
          <cell r="B1300">
            <v>7</v>
          </cell>
          <cell r="C1300" t="str">
            <v>DMCN</v>
          </cell>
          <cell r="D1300">
            <v>74</v>
          </cell>
          <cell r="E1300">
            <v>1</v>
          </cell>
          <cell r="F1300" t="str">
            <v xml:space="preserve">B </v>
          </cell>
          <cell r="G1300">
            <v>14</v>
          </cell>
          <cell r="H1300">
            <v>5</v>
          </cell>
          <cell r="I1300">
            <v>747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9491</v>
          </cell>
          <cell r="P1300">
            <v>0</v>
          </cell>
          <cell r="Q1300">
            <v>0</v>
          </cell>
          <cell r="R1300">
            <v>91</v>
          </cell>
          <cell r="S1300">
            <v>0</v>
          </cell>
          <cell r="T1300">
            <v>0</v>
          </cell>
          <cell r="U1300">
            <v>1614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9491</v>
          </cell>
          <cell r="AA1300">
            <v>9582</v>
          </cell>
          <cell r="AB1300" t="str">
            <v>ERFN</v>
          </cell>
          <cell r="AC1300">
            <v>1101</v>
          </cell>
          <cell r="AD1300">
            <v>2</v>
          </cell>
          <cell r="AE1300">
            <v>747</v>
          </cell>
        </row>
        <row r="1301">
          <cell r="A1301" t="str">
            <v>SML</v>
          </cell>
          <cell r="B1301">
            <v>7</v>
          </cell>
          <cell r="C1301" t="str">
            <v>DMCN</v>
          </cell>
          <cell r="D1301">
            <v>74</v>
          </cell>
          <cell r="E1301">
            <v>1</v>
          </cell>
          <cell r="F1301" t="str">
            <v xml:space="preserve">B </v>
          </cell>
          <cell r="G1301">
            <v>15</v>
          </cell>
          <cell r="H1301">
            <v>3</v>
          </cell>
          <cell r="I1301">
            <v>685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10492</v>
          </cell>
          <cell r="P1301">
            <v>0</v>
          </cell>
          <cell r="Q1301">
            <v>0</v>
          </cell>
          <cell r="R1301">
            <v>136</v>
          </cell>
          <cell r="S1301">
            <v>0</v>
          </cell>
          <cell r="T1301">
            <v>0</v>
          </cell>
          <cell r="U1301">
            <v>1955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10492</v>
          </cell>
          <cell r="AA1301">
            <v>10628</v>
          </cell>
          <cell r="AB1301" t="str">
            <v>ERFN</v>
          </cell>
          <cell r="AC1301">
            <v>1101</v>
          </cell>
          <cell r="AD1301">
            <v>2</v>
          </cell>
          <cell r="AE1301">
            <v>685</v>
          </cell>
        </row>
        <row r="1302">
          <cell r="A1302" t="str">
            <v>SML</v>
          </cell>
          <cell r="B1302">
            <v>7</v>
          </cell>
          <cell r="C1302" t="str">
            <v>DMCN</v>
          </cell>
          <cell r="D1302">
            <v>74</v>
          </cell>
          <cell r="E1302">
            <v>2</v>
          </cell>
          <cell r="F1302" t="str">
            <v xml:space="preserve">B </v>
          </cell>
          <cell r="G1302">
            <v>0</v>
          </cell>
          <cell r="H1302">
            <v>3</v>
          </cell>
          <cell r="I1302">
            <v>8151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169692</v>
          </cell>
          <cell r="P1302">
            <v>0</v>
          </cell>
          <cell r="Q1302">
            <v>0</v>
          </cell>
          <cell r="R1302">
            <v>2897</v>
          </cell>
          <cell r="S1302">
            <v>0</v>
          </cell>
          <cell r="T1302">
            <v>0</v>
          </cell>
          <cell r="U1302">
            <v>42423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169692</v>
          </cell>
          <cell r="AA1302">
            <v>172589</v>
          </cell>
          <cell r="AB1302" t="str">
            <v>ERFN</v>
          </cell>
          <cell r="AC1302">
            <v>1101</v>
          </cell>
          <cell r="AD1302">
            <v>2</v>
          </cell>
          <cell r="AE1302">
            <v>8089</v>
          </cell>
        </row>
        <row r="1303">
          <cell r="A1303" t="str">
            <v>SML</v>
          </cell>
          <cell r="B1303">
            <v>7</v>
          </cell>
          <cell r="C1303" t="str">
            <v>DMCN</v>
          </cell>
          <cell r="D1303">
            <v>74</v>
          </cell>
          <cell r="E1303">
            <v>3</v>
          </cell>
          <cell r="F1303" t="str">
            <v xml:space="preserve">B </v>
          </cell>
          <cell r="G1303">
            <v>0</v>
          </cell>
          <cell r="H1303">
            <v>201</v>
          </cell>
          <cell r="I1303">
            <v>240726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5011589</v>
          </cell>
          <cell r="P1303">
            <v>0</v>
          </cell>
          <cell r="Q1303">
            <v>0</v>
          </cell>
          <cell r="R1303">
            <v>36725</v>
          </cell>
          <cell r="S1303">
            <v>0</v>
          </cell>
          <cell r="T1303">
            <v>182649</v>
          </cell>
          <cell r="U1303">
            <v>1252896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5011589</v>
          </cell>
          <cell r="AA1303">
            <v>5230963</v>
          </cell>
          <cell r="AB1303" t="str">
            <v>ERFN</v>
          </cell>
          <cell r="AC1303">
            <v>1101</v>
          </cell>
          <cell r="AD1303">
            <v>2</v>
          </cell>
          <cell r="AE1303">
            <v>240335</v>
          </cell>
        </row>
        <row r="1304">
          <cell r="A1304" t="str">
            <v>SML</v>
          </cell>
          <cell r="B1304">
            <v>7</v>
          </cell>
          <cell r="C1304" t="str">
            <v>DMCN</v>
          </cell>
          <cell r="D1304">
            <v>74</v>
          </cell>
          <cell r="E1304">
            <v>4</v>
          </cell>
          <cell r="F1304" t="str">
            <v xml:space="preserve">B </v>
          </cell>
          <cell r="G1304">
            <v>0</v>
          </cell>
          <cell r="H1304">
            <v>7</v>
          </cell>
          <cell r="I1304">
            <v>4714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47536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47536</v>
          </cell>
          <cell r="AA1304">
            <v>47536</v>
          </cell>
          <cell r="AB1304" t="str">
            <v>ERFN</v>
          </cell>
          <cell r="AC1304">
            <v>1101</v>
          </cell>
          <cell r="AD1304">
            <v>2</v>
          </cell>
          <cell r="AE1304">
            <v>4615</v>
          </cell>
        </row>
        <row r="1305">
          <cell r="A1305" t="str">
            <v>SML</v>
          </cell>
          <cell r="B1305">
            <v>7</v>
          </cell>
          <cell r="C1305" t="str">
            <v>DMCN</v>
          </cell>
          <cell r="D1305">
            <v>74</v>
          </cell>
          <cell r="E1305">
            <v>5</v>
          </cell>
          <cell r="F1305" t="str">
            <v xml:space="preserve">B </v>
          </cell>
          <cell r="G1305">
            <v>0</v>
          </cell>
          <cell r="H1305">
            <v>35</v>
          </cell>
          <cell r="I1305">
            <v>44582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778714</v>
          </cell>
          <cell r="P1305">
            <v>0</v>
          </cell>
          <cell r="Q1305">
            <v>0</v>
          </cell>
          <cell r="R1305">
            <v>7953</v>
          </cell>
          <cell r="S1305">
            <v>0</v>
          </cell>
          <cell r="T1305">
            <v>0</v>
          </cell>
          <cell r="U1305">
            <v>82614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778714</v>
          </cell>
          <cell r="AA1305">
            <v>786667</v>
          </cell>
          <cell r="AB1305" t="str">
            <v>ERFN</v>
          </cell>
          <cell r="AC1305">
            <v>1101</v>
          </cell>
          <cell r="AD1305">
            <v>2</v>
          </cell>
          <cell r="AE1305">
            <v>44403</v>
          </cell>
        </row>
        <row r="1306">
          <cell r="A1306" t="str">
            <v>SML</v>
          </cell>
          <cell r="B1306">
            <v>7</v>
          </cell>
          <cell r="C1306" t="str">
            <v>DMCN</v>
          </cell>
          <cell r="D1306">
            <v>74</v>
          </cell>
          <cell r="E1306">
            <v>6</v>
          </cell>
          <cell r="F1306" t="str">
            <v xml:space="preserve">B </v>
          </cell>
          <cell r="G1306">
            <v>0</v>
          </cell>
          <cell r="H1306">
            <v>1</v>
          </cell>
          <cell r="I1306">
            <v>12330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132244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33061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132244</v>
          </cell>
          <cell r="AA1306">
            <v>132244</v>
          </cell>
          <cell r="AB1306" t="str">
            <v>ERFN</v>
          </cell>
          <cell r="AC1306">
            <v>1101</v>
          </cell>
          <cell r="AD1306">
            <v>2</v>
          </cell>
          <cell r="AE1306">
            <v>12330</v>
          </cell>
        </row>
        <row r="1307">
          <cell r="A1307" t="str">
            <v>SML</v>
          </cell>
          <cell r="B1307">
            <v>7</v>
          </cell>
          <cell r="C1307" t="str">
            <v>DMCN</v>
          </cell>
          <cell r="D1307">
            <v>74</v>
          </cell>
          <cell r="E1307">
            <v>7</v>
          </cell>
          <cell r="F1307" t="str">
            <v>A4</v>
          </cell>
          <cell r="G1307">
            <v>20</v>
          </cell>
          <cell r="H1307">
            <v>1</v>
          </cell>
          <cell r="I1307">
            <v>10578</v>
          </cell>
          <cell r="J1307">
            <v>0</v>
          </cell>
          <cell r="K1307">
            <v>0</v>
          </cell>
          <cell r="L1307">
            <v>20</v>
          </cell>
          <cell r="M1307">
            <v>0</v>
          </cell>
          <cell r="N1307">
            <v>0</v>
          </cell>
          <cell r="O1307">
            <v>103171</v>
          </cell>
          <cell r="P1307">
            <v>13280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29113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116451</v>
          </cell>
          <cell r="AA1307">
            <v>116451</v>
          </cell>
          <cell r="AB1307" t="str">
            <v>ERFN</v>
          </cell>
          <cell r="AC1307">
            <v>1101</v>
          </cell>
          <cell r="AD1307">
            <v>2</v>
          </cell>
          <cell r="AE1307">
            <v>10578</v>
          </cell>
        </row>
        <row r="1308">
          <cell r="A1308" t="str">
            <v>SML</v>
          </cell>
          <cell r="B1308">
            <v>7</v>
          </cell>
          <cell r="C1308" t="str">
            <v>DMCN</v>
          </cell>
          <cell r="D1308">
            <v>74</v>
          </cell>
          <cell r="E1308">
            <v>7</v>
          </cell>
          <cell r="F1308" t="str">
            <v xml:space="preserve">B </v>
          </cell>
          <cell r="G1308">
            <v>0</v>
          </cell>
          <cell r="H1308">
            <v>12</v>
          </cell>
          <cell r="I1308">
            <v>26840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474925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118730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474925</v>
          </cell>
          <cell r="AA1308">
            <v>474925</v>
          </cell>
          <cell r="AB1308" t="str">
            <v>ERFN</v>
          </cell>
          <cell r="AC1308">
            <v>1101</v>
          </cell>
          <cell r="AD1308">
            <v>2</v>
          </cell>
          <cell r="AE1308">
            <v>26740</v>
          </cell>
        </row>
        <row r="1309">
          <cell r="A1309" t="str">
            <v>SML</v>
          </cell>
          <cell r="B1309">
            <v>7</v>
          </cell>
          <cell r="C1309" t="str">
            <v>DMCN</v>
          </cell>
          <cell r="D1309">
            <v>74</v>
          </cell>
          <cell r="E1309">
            <v>8</v>
          </cell>
          <cell r="F1309" t="str">
            <v xml:space="preserve">B </v>
          </cell>
          <cell r="G1309">
            <v>0</v>
          </cell>
          <cell r="H1309">
            <v>1</v>
          </cell>
          <cell r="I1309">
            <v>3054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63580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15895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63580</v>
          </cell>
          <cell r="AA1309">
            <v>63580</v>
          </cell>
          <cell r="AB1309" t="str">
            <v>ERFN</v>
          </cell>
          <cell r="AC1309">
            <v>1101</v>
          </cell>
          <cell r="AD1309">
            <v>2</v>
          </cell>
          <cell r="AE1309">
            <v>3054</v>
          </cell>
        </row>
        <row r="1310">
          <cell r="A1310" t="str">
            <v>SML</v>
          </cell>
          <cell r="B1310">
            <v>7</v>
          </cell>
          <cell r="C1310" t="str">
            <v>DMCN</v>
          </cell>
          <cell r="D1310">
            <v>75</v>
          </cell>
          <cell r="E1310">
            <v>1</v>
          </cell>
          <cell r="F1310" t="str">
            <v xml:space="preserve">B </v>
          </cell>
          <cell r="G1310">
            <v>1</v>
          </cell>
          <cell r="H1310">
            <v>5414</v>
          </cell>
          <cell r="I1310">
            <v>136365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2218020</v>
          </cell>
          <cell r="P1310">
            <v>0</v>
          </cell>
          <cell r="Q1310">
            <v>0</v>
          </cell>
          <cell r="R1310">
            <v>67997</v>
          </cell>
          <cell r="S1310">
            <v>0</v>
          </cell>
          <cell r="T1310">
            <v>1681454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2218020</v>
          </cell>
          <cell r="AA1310">
            <v>3967471</v>
          </cell>
          <cell r="AB1310" t="str">
            <v>EMAG</v>
          </cell>
          <cell r="AC1310">
            <v>1101</v>
          </cell>
          <cell r="AD1310">
            <v>2</v>
          </cell>
          <cell r="AE1310">
            <v>82342</v>
          </cell>
        </row>
        <row r="1311">
          <cell r="A1311" t="str">
            <v>SML</v>
          </cell>
          <cell r="B1311">
            <v>7</v>
          </cell>
          <cell r="C1311" t="str">
            <v>DMCN</v>
          </cell>
          <cell r="D1311">
            <v>75</v>
          </cell>
          <cell r="E1311">
            <v>1</v>
          </cell>
          <cell r="F1311" t="str">
            <v xml:space="preserve">B </v>
          </cell>
          <cell r="G1311">
            <v>2</v>
          </cell>
          <cell r="H1311">
            <v>3026</v>
          </cell>
          <cell r="I1311">
            <v>122950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2384554</v>
          </cell>
          <cell r="P1311">
            <v>0</v>
          </cell>
          <cell r="Q1311">
            <v>0</v>
          </cell>
          <cell r="R1311">
            <v>48748</v>
          </cell>
          <cell r="S1311">
            <v>0</v>
          </cell>
          <cell r="T1311">
            <v>283724</v>
          </cell>
          <cell r="U1311">
            <v>405255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2384554</v>
          </cell>
          <cell r="AA1311">
            <v>2717026</v>
          </cell>
          <cell r="AB1311" t="str">
            <v>EMAG</v>
          </cell>
          <cell r="AC1311">
            <v>1101</v>
          </cell>
          <cell r="AD1311">
            <v>2</v>
          </cell>
          <cell r="AE1311">
            <v>122950</v>
          </cell>
        </row>
        <row r="1312">
          <cell r="A1312" t="str">
            <v>SML</v>
          </cell>
          <cell r="B1312">
            <v>7</v>
          </cell>
          <cell r="C1312" t="str">
            <v>DMCN</v>
          </cell>
          <cell r="D1312">
            <v>75</v>
          </cell>
          <cell r="E1312">
            <v>1</v>
          </cell>
          <cell r="F1312" t="str">
            <v xml:space="preserve">B </v>
          </cell>
          <cell r="G1312">
            <v>3</v>
          </cell>
          <cell r="H1312">
            <v>11727</v>
          </cell>
          <cell r="I1312">
            <v>905722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17559729</v>
          </cell>
          <cell r="P1312">
            <v>0</v>
          </cell>
          <cell r="Q1312">
            <v>0</v>
          </cell>
          <cell r="R1312">
            <v>216228</v>
          </cell>
          <cell r="S1312">
            <v>0</v>
          </cell>
          <cell r="T1312">
            <v>1117715</v>
          </cell>
          <cell r="U1312">
            <v>2985174</v>
          </cell>
          <cell r="V1312">
            <v>0</v>
          </cell>
          <cell r="W1312">
            <v>0</v>
          </cell>
          <cell r="X1312">
            <v>0</v>
          </cell>
          <cell r="Y1312">
            <v>1811446</v>
          </cell>
          <cell r="Z1312">
            <v>17559729</v>
          </cell>
          <cell r="AA1312">
            <v>20705118</v>
          </cell>
          <cell r="AB1312" t="str">
            <v>EMAG</v>
          </cell>
          <cell r="AC1312">
            <v>1101</v>
          </cell>
          <cell r="AD1312">
            <v>2</v>
          </cell>
          <cell r="AE1312">
            <v>902467</v>
          </cell>
        </row>
        <row r="1313">
          <cell r="A1313" t="str">
            <v>SML</v>
          </cell>
          <cell r="B1313">
            <v>7</v>
          </cell>
          <cell r="C1313" t="str">
            <v>DMCN</v>
          </cell>
          <cell r="D1313">
            <v>75</v>
          </cell>
          <cell r="E1313">
            <v>1</v>
          </cell>
          <cell r="F1313" t="str">
            <v xml:space="preserve">B </v>
          </cell>
          <cell r="G1313">
            <v>4</v>
          </cell>
          <cell r="H1313">
            <v>9292</v>
          </cell>
          <cell r="I1313">
            <v>1144805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22199974</v>
          </cell>
          <cell r="P1313">
            <v>0</v>
          </cell>
          <cell r="Q1313">
            <v>0</v>
          </cell>
          <cell r="R1313">
            <v>266200</v>
          </cell>
          <cell r="S1313">
            <v>0</v>
          </cell>
          <cell r="T1313">
            <v>1191431</v>
          </cell>
          <cell r="U1313">
            <v>3774016</v>
          </cell>
          <cell r="V1313">
            <v>0</v>
          </cell>
          <cell r="W1313">
            <v>0</v>
          </cell>
          <cell r="X1313">
            <v>0</v>
          </cell>
          <cell r="Y1313">
            <v>2206421</v>
          </cell>
          <cell r="Z1313">
            <v>22199974</v>
          </cell>
          <cell r="AA1313">
            <v>25864026</v>
          </cell>
          <cell r="AB1313" t="str">
            <v>EMAG</v>
          </cell>
          <cell r="AC1313">
            <v>1101</v>
          </cell>
          <cell r="AD1313">
            <v>2</v>
          </cell>
          <cell r="AE1313">
            <v>1144805</v>
          </cell>
        </row>
        <row r="1314">
          <cell r="A1314" t="str">
            <v>SML</v>
          </cell>
          <cell r="B1314">
            <v>7</v>
          </cell>
          <cell r="C1314" t="str">
            <v>DMCN</v>
          </cell>
          <cell r="D1314">
            <v>75</v>
          </cell>
          <cell r="E1314">
            <v>1</v>
          </cell>
          <cell r="F1314" t="str">
            <v xml:space="preserve">B </v>
          </cell>
          <cell r="G1314">
            <v>5</v>
          </cell>
          <cell r="H1314">
            <v>5410</v>
          </cell>
          <cell r="I1314">
            <v>933749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18101421</v>
          </cell>
          <cell r="P1314">
            <v>0</v>
          </cell>
          <cell r="Q1314">
            <v>0</v>
          </cell>
          <cell r="R1314">
            <v>242631</v>
          </cell>
          <cell r="S1314">
            <v>0</v>
          </cell>
          <cell r="T1314">
            <v>788147</v>
          </cell>
          <cell r="U1314">
            <v>3077340</v>
          </cell>
          <cell r="V1314">
            <v>0</v>
          </cell>
          <cell r="W1314">
            <v>0</v>
          </cell>
          <cell r="X1314">
            <v>0</v>
          </cell>
          <cell r="Y1314">
            <v>1273919</v>
          </cell>
          <cell r="Z1314">
            <v>18101421</v>
          </cell>
          <cell r="AA1314">
            <v>20406118</v>
          </cell>
          <cell r="AB1314" t="str">
            <v>EMAG</v>
          </cell>
          <cell r="AC1314">
            <v>1101</v>
          </cell>
          <cell r="AD1314">
            <v>2</v>
          </cell>
          <cell r="AE1314">
            <v>933749</v>
          </cell>
        </row>
        <row r="1315">
          <cell r="A1315" t="str">
            <v>SML</v>
          </cell>
          <cell r="B1315">
            <v>7</v>
          </cell>
          <cell r="C1315" t="str">
            <v>DMCN</v>
          </cell>
          <cell r="D1315">
            <v>75</v>
          </cell>
          <cell r="E1315">
            <v>1</v>
          </cell>
          <cell r="F1315" t="str">
            <v xml:space="preserve">B </v>
          </cell>
          <cell r="G1315">
            <v>6</v>
          </cell>
          <cell r="H1315">
            <v>4455</v>
          </cell>
          <cell r="I1315">
            <v>1071830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20777310</v>
          </cell>
          <cell r="P1315">
            <v>0</v>
          </cell>
          <cell r="Q1315">
            <v>0</v>
          </cell>
          <cell r="R1315">
            <v>258233</v>
          </cell>
          <cell r="S1315">
            <v>0</v>
          </cell>
          <cell r="T1315">
            <v>805285</v>
          </cell>
          <cell r="U1315">
            <v>3532993</v>
          </cell>
          <cell r="V1315">
            <v>0</v>
          </cell>
          <cell r="W1315">
            <v>0</v>
          </cell>
          <cell r="X1315">
            <v>0</v>
          </cell>
          <cell r="Y1315">
            <v>1047914</v>
          </cell>
          <cell r="Z1315">
            <v>20777310</v>
          </cell>
          <cell r="AA1315">
            <v>22888742</v>
          </cell>
          <cell r="AB1315" t="str">
            <v>EMAG</v>
          </cell>
          <cell r="AC1315">
            <v>1101</v>
          </cell>
          <cell r="AD1315">
            <v>2</v>
          </cell>
          <cell r="AE1315">
            <v>1071830</v>
          </cell>
        </row>
        <row r="1316">
          <cell r="A1316" t="str">
            <v>SML</v>
          </cell>
          <cell r="B1316">
            <v>7</v>
          </cell>
          <cell r="C1316" t="str">
            <v>DMCN</v>
          </cell>
          <cell r="D1316">
            <v>75</v>
          </cell>
          <cell r="E1316">
            <v>1</v>
          </cell>
          <cell r="F1316" t="str">
            <v xml:space="preserve">B </v>
          </cell>
          <cell r="G1316">
            <v>7</v>
          </cell>
          <cell r="H1316">
            <v>1537</v>
          </cell>
          <cell r="I1316">
            <v>527186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10600314</v>
          </cell>
          <cell r="P1316">
            <v>0</v>
          </cell>
          <cell r="Q1316">
            <v>0</v>
          </cell>
          <cell r="R1316">
            <v>103361</v>
          </cell>
          <cell r="S1316">
            <v>0</v>
          </cell>
          <cell r="T1316">
            <v>331762</v>
          </cell>
          <cell r="U1316">
            <v>2120606</v>
          </cell>
          <cell r="V1316">
            <v>0</v>
          </cell>
          <cell r="W1316">
            <v>0</v>
          </cell>
          <cell r="X1316">
            <v>0</v>
          </cell>
          <cell r="Y1316">
            <v>360787</v>
          </cell>
          <cell r="Z1316">
            <v>10600314</v>
          </cell>
          <cell r="AA1316">
            <v>11396224</v>
          </cell>
          <cell r="AB1316" t="str">
            <v>EMAG</v>
          </cell>
          <cell r="AC1316">
            <v>1101</v>
          </cell>
          <cell r="AD1316">
            <v>2</v>
          </cell>
          <cell r="AE1316">
            <v>527186</v>
          </cell>
        </row>
        <row r="1317">
          <cell r="A1317" t="str">
            <v>SML</v>
          </cell>
          <cell r="B1317">
            <v>7</v>
          </cell>
          <cell r="C1317" t="str">
            <v>DMCN</v>
          </cell>
          <cell r="D1317">
            <v>75</v>
          </cell>
          <cell r="E1317">
            <v>1</v>
          </cell>
          <cell r="F1317" t="str">
            <v xml:space="preserve">B </v>
          </cell>
          <cell r="G1317">
            <v>8</v>
          </cell>
          <cell r="H1317">
            <v>669</v>
          </cell>
          <cell r="I1317">
            <v>292701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5886253</v>
          </cell>
          <cell r="P1317">
            <v>0</v>
          </cell>
          <cell r="Q1317">
            <v>0</v>
          </cell>
          <cell r="R1317">
            <v>60024</v>
          </cell>
          <cell r="S1317">
            <v>0</v>
          </cell>
          <cell r="T1317">
            <v>171089</v>
          </cell>
          <cell r="U1317">
            <v>1177451</v>
          </cell>
          <cell r="V1317">
            <v>0</v>
          </cell>
          <cell r="W1317">
            <v>0</v>
          </cell>
          <cell r="X1317">
            <v>0</v>
          </cell>
          <cell r="Y1317">
            <v>157731</v>
          </cell>
          <cell r="Z1317">
            <v>5886253</v>
          </cell>
          <cell r="AA1317">
            <v>6275097</v>
          </cell>
          <cell r="AB1317" t="str">
            <v>EMAG</v>
          </cell>
          <cell r="AC1317">
            <v>1101</v>
          </cell>
          <cell r="AD1317">
            <v>2</v>
          </cell>
          <cell r="AE1317">
            <v>292701</v>
          </cell>
        </row>
        <row r="1318">
          <cell r="A1318" t="str">
            <v>SML</v>
          </cell>
          <cell r="B1318">
            <v>7</v>
          </cell>
          <cell r="C1318" t="str">
            <v>DMCN</v>
          </cell>
          <cell r="D1318">
            <v>75</v>
          </cell>
          <cell r="E1318">
            <v>1</v>
          </cell>
          <cell r="F1318" t="str">
            <v xml:space="preserve">B </v>
          </cell>
          <cell r="G1318">
            <v>9</v>
          </cell>
          <cell r="H1318">
            <v>548</v>
          </cell>
          <cell r="I1318">
            <v>337754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7245684</v>
          </cell>
          <cell r="P1318">
            <v>0</v>
          </cell>
          <cell r="Q1318">
            <v>5912</v>
          </cell>
          <cell r="R1318">
            <v>122323</v>
          </cell>
          <cell r="S1318">
            <v>0</v>
          </cell>
          <cell r="T1318">
            <v>185732</v>
          </cell>
          <cell r="U1318">
            <v>1813133</v>
          </cell>
          <cell r="V1318">
            <v>0</v>
          </cell>
          <cell r="W1318">
            <v>0</v>
          </cell>
          <cell r="X1318">
            <v>0</v>
          </cell>
          <cell r="Y1318">
            <v>127835</v>
          </cell>
          <cell r="Z1318">
            <v>7251596</v>
          </cell>
          <cell r="AA1318">
            <v>7687486</v>
          </cell>
          <cell r="AB1318" t="str">
            <v>EMAG</v>
          </cell>
          <cell r="AC1318">
            <v>1101</v>
          </cell>
          <cell r="AD1318">
            <v>2</v>
          </cell>
          <cell r="AE1318">
            <v>337754</v>
          </cell>
        </row>
        <row r="1319">
          <cell r="A1319" t="str">
            <v>SML</v>
          </cell>
          <cell r="B1319">
            <v>7</v>
          </cell>
          <cell r="C1319" t="str">
            <v>DMCN</v>
          </cell>
          <cell r="D1319">
            <v>75</v>
          </cell>
          <cell r="E1319">
            <v>1</v>
          </cell>
          <cell r="F1319" t="str">
            <v xml:space="preserve">B </v>
          </cell>
          <cell r="G1319">
            <v>10</v>
          </cell>
          <cell r="H1319">
            <v>48</v>
          </cell>
          <cell r="I1319">
            <v>-37027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-790779</v>
          </cell>
          <cell r="P1319">
            <v>0</v>
          </cell>
          <cell r="Q1319">
            <v>9119</v>
          </cell>
          <cell r="R1319">
            <v>1019</v>
          </cell>
          <cell r="S1319">
            <v>2</v>
          </cell>
          <cell r="T1319">
            <v>10927</v>
          </cell>
          <cell r="U1319">
            <v>-195422</v>
          </cell>
          <cell r="V1319">
            <v>0</v>
          </cell>
          <cell r="W1319">
            <v>0</v>
          </cell>
          <cell r="X1319">
            <v>0</v>
          </cell>
          <cell r="Y1319">
            <v>3108</v>
          </cell>
          <cell r="Z1319">
            <v>-781660</v>
          </cell>
          <cell r="AA1319">
            <v>-766604</v>
          </cell>
          <cell r="AB1319" t="str">
            <v>EMAG</v>
          </cell>
          <cell r="AC1319">
            <v>1101</v>
          </cell>
          <cell r="AD1319">
            <v>2</v>
          </cell>
          <cell r="AE1319">
            <v>-37027</v>
          </cell>
        </row>
        <row r="1320">
          <cell r="A1320" t="str">
            <v>SML</v>
          </cell>
          <cell r="B1320">
            <v>7</v>
          </cell>
          <cell r="C1320" t="str">
            <v>DMCN</v>
          </cell>
          <cell r="D1320">
            <v>75</v>
          </cell>
          <cell r="E1320">
            <v>1</v>
          </cell>
          <cell r="F1320" t="str">
            <v xml:space="preserve">B </v>
          </cell>
          <cell r="G1320">
            <v>11</v>
          </cell>
          <cell r="H1320">
            <v>3224</v>
          </cell>
          <cell r="I1320">
            <v>84772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478235</v>
          </cell>
          <cell r="P1320">
            <v>0</v>
          </cell>
          <cell r="Q1320">
            <v>0</v>
          </cell>
          <cell r="R1320">
            <v>16688</v>
          </cell>
          <cell r="S1320">
            <v>9289</v>
          </cell>
          <cell r="T1320">
            <v>152974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478235</v>
          </cell>
          <cell r="AA1320">
            <v>657186</v>
          </cell>
          <cell r="AB1320" t="str">
            <v>EMAG</v>
          </cell>
          <cell r="AC1320">
            <v>1101</v>
          </cell>
          <cell r="AD1320">
            <v>2</v>
          </cell>
          <cell r="AE1320">
            <v>54150</v>
          </cell>
        </row>
        <row r="1321">
          <cell r="A1321" t="str">
            <v>SML</v>
          </cell>
          <cell r="B1321">
            <v>7</v>
          </cell>
          <cell r="C1321" t="str">
            <v>DMCN</v>
          </cell>
          <cell r="D1321">
            <v>75</v>
          </cell>
          <cell r="E1321">
            <v>1</v>
          </cell>
          <cell r="F1321" t="str">
            <v xml:space="preserve">B </v>
          </cell>
          <cell r="G1321">
            <v>12</v>
          </cell>
          <cell r="H1321">
            <v>4948</v>
          </cell>
          <cell r="I1321">
            <v>312750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3035962</v>
          </cell>
          <cell r="P1321">
            <v>0</v>
          </cell>
          <cell r="Q1321">
            <v>0</v>
          </cell>
          <cell r="R1321">
            <v>83764</v>
          </cell>
          <cell r="S1321">
            <v>0</v>
          </cell>
          <cell r="T1321">
            <v>154055</v>
          </cell>
          <cell r="U1321">
            <v>516280</v>
          </cell>
          <cell r="V1321">
            <v>0</v>
          </cell>
          <cell r="W1321">
            <v>0</v>
          </cell>
          <cell r="X1321">
            <v>0</v>
          </cell>
          <cell r="Y1321">
            <v>460761</v>
          </cell>
          <cell r="Z1321">
            <v>3035962</v>
          </cell>
          <cell r="AA1321">
            <v>3734542</v>
          </cell>
          <cell r="AB1321" t="str">
            <v>EMAG</v>
          </cell>
          <cell r="AC1321">
            <v>1101</v>
          </cell>
          <cell r="AD1321">
            <v>2</v>
          </cell>
          <cell r="AE1321">
            <v>312750</v>
          </cell>
        </row>
        <row r="1322">
          <cell r="A1322" t="str">
            <v>SML</v>
          </cell>
          <cell r="B1322">
            <v>7</v>
          </cell>
          <cell r="C1322" t="str">
            <v>DMCN</v>
          </cell>
          <cell r="D1322">
            <v>75</v>
          </cell>
          <cell r="E1322">
            <v>1</v>
          </cell>
          <cell r="F1322" t="str">
            <v xml:space="preserve">B </v>
          </cell>
          <cell r="G1322">
            <v>13</v>
          </cell>
          <cell r="H1322">
            <v>1056</v>
          </cell>
          <cell r="I1322">
            <v>124475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1628486</v>
          </cell>
          <cell r="P1322">
            <v>0</v>
          </cell>
          <cell r="Q1322">
            <v>0</v>
          </cell>
          <cell r="R1322">
            <v>23818</v>
          </cell>
          <cell r="S1322">
            <v>0</v>
          </cell>
          <cell r="T1322">
            <v>64066</v>
          </cell>
          <cell r="U1322">
            <v>276865</v>
          </cell>
          <cell r="V1322">
            <v>0</v>
          </cell>
          <cell r="W1322">
            <v>0</v>
          </cell>
          <cell r="X1322">
            <v>0</v>
          </cell>
          <cell r="Y1322">
            <v>259259</v>
          </cell>
          <cell r="Z1322">
            <v>1628486</v>
          </cell>
          <cell r="AA1322">
            <v>1975629</v>
          </cell>
          <cell r="AB1322" t="str">
            <v>EMAG</v>
          </cell>
          <cell r="AC1322">
            <v>1101</v>
          </cell>
          <cell r="AD1322">
            <v>2</v>
          </cell>
          <cell r="AE1322">
            <v>124475</v>
          </cell>
        </row>
        <row r="1323">
          <cell r="A1323" t="str">
            <v>SML</v>
          </cell>
          <cell r="B1323">
            <v>7</v>
          </cell>
          <cell r="C1323" t="str">
            <v>DMCN</v>
          </cell>
          <cell r="D1323">
            <v>75</v>
          </cell>
          <cell r="E1323">
            <v>1</v>
          </cell>
          <cell r="F1323" t="str">
            <v xml:space="preserve">B </v>
          </cell>
          <cell r="G1323">
            <v>14</v>
          </cell>
          <cell r="H1323">
            <v>135</v>
          </cell>
          <cell r="I1323">
            <v>20203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257905</v>
          </cell>
          <cell r="P1323">
            <v>0</v>
          </cell>
          <cell r="Q1323">
            <v>0</v>
          </cell>
          <cell r="R1323">
            <v>3343</v>
          </cell>
          <cell r="S1323">
            <v>0</v>
          </cell>
          <cell r="T1323">
            <v>9225</v>
          </cell>
          <cell r="U1323">
            <v>43852</v>
          </cell>
          <cell r="V1323">
            <v>0</v>
          </cell>
          <cell r="W1323">
            <v>0</v>
          </cell>
          <cell r="X1323">
            <v>0</v>
          </cell>
          <cell r="Y1323">
            <v>33411</v>
          </cell>
          <cell r="Z1323">
            <v>257905</v>
          </cell>
          <cell r="AA1323">
            <v>303884</v>
          </cell>
          <cell r="AB1323" t="str">
            <v>EMAG</v>
          </cell>
          <cell r="AC1323">
            <v>1101</v>
          </cell>
          <cell r="AD1323">
            <v>2</v>
          </cell>
          <cell r="AE1323">
            <v>20203</v>
          </cell>
        </row>
        <row r="1324">
          <cell r="A1324" t="str">
            <v>SML</v>
          </cell>
          <cell r="B1324">
            <v>7</v>
          </cell>
          <cell r="C1324" t="str">
            <v>DMCN</v>
          </cell>
          <cell r="D1324">
            <v>75</v>
          </cell>
          <cell r="E1324">
            <v>1</v>
          </cell>
          <cell r="F1324" t="str">
            <v xml:space="preserve">B </v>
          </cell>
          <cell r="G1324">
            <v>15</v>
          </cell>
          <cell r="H1324">
            <v>249</v>
          </cell>
          <cell r="I1324">
            <v>29151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287911</v>
          </cell>
          <cell r="P1324">
            <v>0</v>
          </cell>
          <cell r="Q1324">
            <v>0</v>
          </cell>
          <cell r="R1324">
            <v>10097</v>
          </cell>
          <cell r="S1324">
            <v>0</v>
          </cell>
          <cell r="T1324">
            <v>26578</v>
          </cell>
          <cell r="U1324">
            <v>16957</v>
          </cell>
          <cell r="V1324">
            <v>0</v>
          </cell>
          <cell r="W1324">
            <v>0</v>
          </cell>
          <cell r="X1324">
            <v>0</v>
          </cell>
          <cell r="Y1324">
            <v>58534</v>
          </cell>
          <cell r="Z1324">
            <v>287911</v>
          </cell>
          <cell r="AA1324">
            <v>383120</v>
          </cell>
          <cell r="AB1324" t="str">
            <v>EMAG</v>
          </cell>
          <cell r="AC1324">
            <v>1101</v>
          </cell>
          <cell r="AD1324">
            <v>2</v>
          </cell>
          <cell r="AE1324">
            <v>29151</v>
          </cell>
        </row>
        <row r="1325">
          <cell r="A1325" t="str">
            <v>SML</v>
          </cell>
          <cell r="B1325">
            <v>7</v>
          </cell>
          <cell r="C1325" t="str">
            <v>DMCN</v>
          </cell>
          <cell r="D1325">
            <v>75</v>
          </cell>
          <cell r="E1325">
            <v>2</v>
          </cell>
          <cell r="F1325" t="str">
            <v>A4</v>
          </cell>
          <cell r="G1325">
            <v>22</v>
          </cell>
          <cell r="H1325">
            <v>8</v>
          </cell>
          <cell r="I1325">
            <v>1564909</v>
          </cell>
          <cell r="J1325">
            <v>102197</v>
          </cell>
          <cell r="K1325">
            <v>1462712</v>
          </cell>
          <cell r="L1325">
            <v>6171</v>
          </cell>
          <cell r="M1325">
            <v>4697</v>
          </cell>
          <cell r="N1325">
            <v>2014</v>
          </cell>
          <cell r="O1325">
            <v>10833554</v>
          </cell>
          <cell r="P1325">
            <v>6345461</v>
          </cell>
          <cell r="Q1325">
            <v>157112</v>
          </cell>
          <cell r="R1325">
            <v>33608</v>
          </cell>
          <cell r="S1325">
            <v>0</v>
          </cell>
          <cell r="T1325">
            <v>0</v>
          </cell>
          <cell r="U1325">
            <v>4358545</v>
          </cell>
          <cell r="V1325">
            <v>0</v>
          </cell>
          <cell r="W1325">
            <v>98047</v>
          </cell>
          <cell r="X1325">
            <v>0</v>
          </cell>
          <cell r="Y1325">
            <v>3114</v>
          </cell>
          <cell r="Z1325">
            <v>17434174</v>
          </cell>
          <cell r="AA1325">
            <v>17470896</v>
          </cell>
          <cell r="AB1325" t="str">
            <v>EMAG</v>
          </cell>
          <cell r="AC1325">
            <v>1101</v>
          </cell>
          <cell r="AD1325">
            <v>2</v>
          </cell>
          <cell r="AE1325">
            <v>1564909</v>
          </cell>
        </row>
        <row r="1326">
          <cell r="A1326" t="str">
            <v>SML</v>
          </cell>
          <cell r="B1326">
            <v>7</v>
          </cell>
          <cell r="C1326" t="str">
            <v>DMCN</v>
          </cell>
          <cell r="D1326">
            <v>75</v>
          </cell>
          <cell r="E1326">
            <v>2</v>
          </cell>
          <cell r="F1326" t="str">
            <v>A4</v>
          </cell>
          <cell r="G1326">
            <v>21</v>
          </cell>
          <cell r="H1326">
            <v>8</v>
          </cell>
          <cell r="I1326">
            <v>680103</v>
          </cell>
          <cell r="J1326">
            <v>10157</v>
          </cell>
          <cell r="K1326">
            <v>669946</v>
          </cell>
          <cell r="L1326">
            <v>2707</v>
          </cell>
          <cell r="M1326">
            <v>2707</v>
          </cell>
          <cell r="N1326">
            <v>0</v>
          </cell>
          <cell r="O1326">
            <v>4950436</v>
          </cell>
          <cell r="P1326">
            <v>1869634</v>
          </cell>
          <cell r="Q1326">
            <v>104487</v>
          </cell>
          <cell r="R1326">
            <v>101722</v>
          </cell>
          <cell r="S1326">
            <v>0</v>
          </cell>
          <cell r="T1326">
            <v>254691</v>
          </cell>
          <cell r="U1326">
            <v>1731140</v>
          </cell>
          <cell r="V1326">
            <v>0</v>
          </cell>
          <cell r="W1326">
            <v>0</v>
          </cell>
          <cell r="X1326">
            <v>0</v>
          </cell>
          <cell r="Y1326">
            <v>4152</v>
          </cell>
          <cell r="Z1326">
            <v>6924557</v>
          </cell>
          <cell r="AA1326">
            <v>7285122</v>
          </cell>
          <cell r="AB1326" t="str">
            <v>EMAG</v>
          </cell>
          <cell r="AC1326">
            <v>1101</v>
          </cell>
          <cell r="AD1326">
            <v>2</v>
          </cell>
          <cell r="AE1326">
            <v>680103</v>
          </cell>
        </row>
        <row r="1327">
          <cell r="A1327" t="str">
            <v>SML</v>
          </cell>
          <cell r="B1327">
            <v>7</v>
          </cell>
          <cell r="C1327" t="str">
            <v>DMCN</v>
          </cell>
          <cell r="D1327">
            <v>75</v>
          </cell>
          <cell r="E1327">
            <v>2</v>
          </cell>
          <cell r="F1327" t="str">
            <v>A4</v>
          </cell>
          <cell r="G1327">
            <v>20</v>
          </cell>
          <cell r="H1327">
            <v>32</v>
          </cell>
          <cell r="I1327">
            <v>404796</v>
          </cell>
          <cell r="J1327">
            <v>0</v>
          </cell>
          <cell r="K1327">
            <v>0</v>
          </cell>
          <cell r="L1327">
            <v>2222</v>
          </cell>
          <cell r="M1327">
            <v>0</v>
          </cell>
          <cell r="N1327">
            <v>0</v>
          </cell>
          <cell r="O1327">
            <v>4644909</v>
          </cell>
          <cell r="P1327">
            <v>1739085</v>
          </cell>
          <cell r="Q1327">
            <v>254761</v>
          </cell>
          <cell r="R1327">
            <v>39281</v>
          </cell>
          <cell r="S1327">
            <v>0</v>
          </cell>
          <cell r="T1327">
            <v>63000</v>
          </cell>
          <cell r="U1327">
            <v>1688456</v>
          </cell>
          <cell r="V1327">
            <v>0</v>
          </cell>
          <cell r="W1327">
            <v>115052</v>
          </cell>
          <cell r="X1327">
            <v>0</v>
          </cell>
          <cell r="Y1327">
            <v>16089</v>
          </cell>
          <cell r="Z1327">
            <v>6753807</v>
          </cell>
          <cell r="AA1327">
            <v>6872177</v>
          </cell>
          <cell r="AB1327" t="str">
            <v>EMAG</v>
          </cell>
          <cell r="AC1327">
            <v>1101</v>
          </cell>
          <cell r="AD1327">
            <v>2</v>
          </cell>
          <cell r="AE1327">
            <v>404796</v>
          </cell>
        </row>
        <row r="1328">
          <cell r="A1328" t="str">
            <v>SML</v>
          </cell>
          <cell r="B1328">
            <v>7</v>
          </cell>
          <cell r="C1328" t="str">
            <v>DMCN</v>
          </cell>
          <cell r="D1328">
            <v>75</v>
          </cell>
          <cell r="E1328">
            <v>2</v>
          </cell>
          <cell r="F1328" t="str">
            <v xml:space="preserve">B </v>
          </cell>
          <cell r="G1328">
            <v>0</v>
          </cell>
          <cell r="H1328">
            <v>362</v>
          </cell>
          <cell r="I1328">
            <v>322391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6718708</v>
          </cell>
          <cell r="P1328">
            <v>0</v>
          </cell>
          <cell r="Q1328">
            <v>0</v>
          </cell>
          <cell r="R1328">
            <v>110127</v>
          </cell>
          <cell r="S1328">
            <v>0</v>
          </cell>
          <cell r="T1328">
            <v>878974</v>
          </cell>
          <cell r="U1328">
            <v>1651586</v>
          </cell>
          <cell r="V1328">
            <v>0</v>
          </cell>
          <cell r="W1328">
            <v>0</v>
          </cell>
          <cell r="X1328">
            <v>0</v>
          </cell>
          <cell r="Y1328">
            <v>174425</v>
          </cell>
          <cell r="Z1328">
            <v>6718708</v>
          </cell>
          <cell r="AA1328">
            <v>7882234</v>
          </cell>
          <cell r="AB1328" t="str">
            <v>EMAG</v>
          </cell>
          <cell r="AC1328">
            <v>1101</v>
          </cell>
          <cell r="AD1328">
            <v>2</v>
          </cell>
          <cell r="AE1328">
            <v>318066</v>
          </cell>
        </row>
        <row r="1329">
          <cell r="A1329" t="str">
            <v>SML</v>
          </cell>
          <cell r="B1329">
            <v>7</v>
          </cell>
          <cell r="C1329" t="str">
            <v>DMCN</v>
          </cell>
          <cell r="D1329">
            <v>75</v>
          </cell>
          <cell r="E1329">
            <v>3</v>
          </cell>
          <cell r="F1329" t="str">
            <v>A4</v>
          </cell>
          <cell r="G1329">
            <v>22</v>
          </cell>
          <cell r="H1329">
            <v>4</v>
          </cell>
          <cell r="I1329">
            <v>444148</v>
          </cell>
          <cell r="J1329">
            <v>34236</v>
          </cell>
          <cell r="K1329">
            <v>409912</v>
          </cell>
          <cell r="L1329">
            <v>2380</v>
          </cell>
          <cell r="M1329">
            <v>1215</v>
          </cell>
          <cell r="N1329">
            <v>1165</v>
          </cell>
          <cell r="O1329">
            <v>3111955</v>
          </cell>
          <cell r="P1329">
            <v>3251488</v>
          </cell>
          <cell r="Q1329">
            <v>37848</v>
          </cell>
          <cell r="R1329">
            <v>0</v>
          </cell>
          <cell r="S1329">
            <v>0</v>
          </cell>
          <cell r="T1329">
            <v>0</v>
          </cell>
          <cell r="U1329">
            <v>1600324</v>
          </cell>
          <cell r="V1329">
            <v>0</v>
          </cell>
          <cell r="W1329">
            <v>0</v>
          </cell>
          <cell r="X1329">
            <v>0</v>
          </cell>
          <cell r="Y1329">
            <v>1557</v>
          </cell>
          <cell r="Z1329">
            <v>6401291</v>
          </cell>
          <cell r="AA1329">
            <v>6402848</v>
          </cell>
          <cell r="AB1329" t="str">
            <v>EMAG</v>
          </cell>
          <cell r="AC1329">
            <v>1101</v>
          </cell>
          <cell r="AD1329">
            <v>2</v>
          </cell>
          <cell r="AE1329">
            <v>444148</v>
          </cell>
        </row>
        <row r="1330">
          <cell r="A1330" t="str">
            <v>SML</v>
          </cell>
          <cell r="B1330">
            <v>7</v>
          </cell>
          <cell r="C1330" t="str">
            <v>DMCN</v>
          </cell>
          <cell r="D1330">
            <v>75</v>
          </cell>
          <cell r="E1330">
            <v>3</v>
          </cell>
          <cell r="F1330" t="str">
            <v>A4</v>
          </cell>
          <cell r="G1330">
            <v>21</v>
          </cell>
          <cell r="H1330">
            <v>4</v>
          </cell>
          <cell r="I1330">
            <v>300278</v>
          </cell>
          <cell r="J1330">
            <v>4278</v>
          </cell>
          <cell r="K1330">
            <v>296000</v>
          </cell>
          <cell r="L1330">
            <v>1151</v>
          </cell>
          <cell r="M1330">
            <v>1151</v>
          </cell>
          <cell r="N1330">
            <v>0</v>
          </cell>
          <cell r="O1330">
            <v>2174347</v>
          </cell>
          <cell r="P1330">
            <v>794957</v>
          </cell>
          <cell r="Q1330">
            <v>26712</v>
          </cell>
          <cell r="R1330">
            <v>0</v>
          </cell>
          <cell r="S1330">
            <v>0</v>
          </cell>
          <cell r="T1330">
            <v>0</v>
          </cell>
          <cell r="U1330">
            <v>749004</v>
          </cell>
          <cell r="V1330">
            <v>0</v>
          </cell>
          <cell r="W1330">
            <v>0</v>
          </cell>
          <cell r="X1330">
            <v>0</v>
          </cell>
          <cell r="Y1330">
            <v>2076</v>
          </cell>
          <cell r="Z1330">
            <v>2996016</v>
          </cell>
          <cell r="AA1330">
            <v>2998092</v>
          </cell>
          <cell r="AB1330" t="str">
            <v>EMAG</v>
          </cell>
          <cell r="AC1330">
            <v>1101</v>
          </cell>
          <cell r="AD1330">
            <v>2</v>
          </cell>
          <cell r="AE1330">
            <v>300278</v>
          </cell>
        </row>
        <row r="1331">
          <cell r="A1331" t="str">
            <v>SML</v>
          </cell>
          <cell r="B1331">
            <v>7</v>
          </cell>
          <cell r="C1331" t="str">
            <v>DMCN</v>
          </cell>
          <cell r="D1331">
            <v>75</v>
          </cell>
          <cell r="E1331">
            <v>3</v>
          </cell>
          <cell r="F1331" t="str">
            <v>A4</v>
          </cell>
          <cell r="G1331">
            <v>20</v>
          </cell>
          <cell r="H1331">
            <v>74</v>
          </cell>
          <cell r="I1331">
            <v>1259298</v>
          </cell>
          <cell r="J1331">
            <v>0</v>
          </cell>
          <cell r="K1331">
            <v>0</v>
          </cell>
          <cell r="L1331">
            <v>4933</v>
          </cell>
          <cell r="M1331">
            <v>0</v>
          </cell>
          <cell r="N1331">
            <v>0</v>
          </cell>
          <cell r="O1331">
            <v>14450026</v>
          </cell>
          <cell r="P1331">
            <v>3910987</v>
          </cell>
          <cell r="Q1331">
            <v>265051</v>
          </cell>
          <cell r="R1331">
            <v>47341</v>
          </cell>
          <cell r="S1331">
            <v>0</v>
          </cell>
          <cell r="T1331">
            <v>7406</v>
          </cell>
          <cell r="U1331">
            <v>4678639</v>
          </cell>
          <cell r="V1331">
            <v>0</v>
          </cell>
          <cell r="W1331">
            <v>88444</v>
          </cell>
          <cell r="X1331">
            <v>0</v>
          </cell>
          <cell r="Y1331">
            <v>36849</v>
          </cell>
          <cell r="Z1331">
            <v>18714508</v>
          </cell>
          <cell r="AA1331">
            <v>18806104</v>
          </cell>
          <cell r="AB1331" t="str">
            <v>EMAG</v>
          </cell>
          <cell r="AC1331">
            <v>1101</v>
          </cell>
          <cell r="AD1331">
            <v>2</v>
          </cell>
          <cell r="AE1331">
            <v>1259298</v>
          </cell>
        </row>
        <row r="1332">
          <cell r="A1332" t="str">
            <v>SML</v>
          </cell>
          <cell r="B1332">
            <v>7</v>
          </cell>
          <cell r="C1332" t="str">
            <v>DMCN</v>
          </cell>
          <cell r="D1332">
            <v>75</v>
          </cell>
          <cell r="E1332">
            <v>3</v>
          </cell>
          <cell r="F1332" t="str">
            <v xml:space="preserve">B </v>
          </cell>
          <cell r="G1332">
            <v>0</v>
          </cell>
          <cell r="H1332">
            <v>4604</v>
          </cell>
          <cell r="I1332">
            <v>1466784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30585383</v>
          </cell>
          <cell r="P1332">
            <v>0</v>
          </cell>
          <cell r="Q1332">
            <v>2811</v>
          </cell>
          <cell r="R1332">
            <v>357069</v>
          </cell>
          <cell r="S1332">
            <v>0</v>
          </cell>
          <cell r="T1332">
            <v>2508688</v>
          </cell>
          <cell r="U1332">
            <v>7576998</v>
          </cell>
          <cell r="V1332">
            <v>0</v>
          </cell>
          <cell r="W1332">
            <v>0</v>
          </cell>
          <cell r="X1332">
            <v>0</v>
          </cell>
          <cell r="Y1332">
            <v>2115963</v>
          </cell>
          <cell r="Z1332">
            <v>30588194</v>
          </cell>
          <cell r="AA1332">
            <v>35569914</v>
          </cell>
          <cell r="AB1332" t="str">
            <v>EMAG</v>
          </cell>
          <cell r="AC1332">
            <v>1101</v>
          </cell>
          <cell r="AD1332">
            <v>2</v>
          </cell>
          <cell r="AE1332">
            <v>1434275</v>
          </cell>
        </row>
        <row r="1333">
          <cell r="A1333" t="str">
            <v>SML</v>
          </cell>
          <cell r="B1333">
            <v>7</v>
          </cell>
          <cell r="C1333" t="str">
            <v>DMCN</v>
          </cell>
          <cell r="D1333">
            <v>75</v>
          </cell>
          <cell r="E1333">
            <v>4</v>
          </cell>
          <cell r="F1333" t="str">
            <v xml:space="preserve">B </v>
          </cell>
          <cell r="G1333">
            <v>0</v>
          </cell>
          <cell r="H1333">
            <v>51</v>
          </cell>
          <cell r="I1333">
            <v>3015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29520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793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29520</v>
          </cell>
          <cell r="AA1333">
            <v>30313</v>
          </cell>
          <cell r="AB1333" t="str">
            <v>EMAG</v>
          </cell>
          <cell r="AC1333">
            <v>1101</v>
          </cell>
          <cell r="AD1333">
            <v>2</v>
          </cell>
          <cell r="AE1333">
            <v>2925</v>
          </cell>
        </row>
        <row r="1334">
          <cell r="A1334" t="str">
            <v>SML</v>
          </cell>
          <cell r="B1334">
            <v>7</v>
          </cell>
          <cell r="C1334" t="str">
            <v>DMCN</v>
          </cell>
          <cell r="D1334">
            <v>75</v>
          </cell>
          <cell r="E1334">
            <v>5</v>
          </cell>
          <cell r="F1334" t="str">
            <v>A4</v>
          </cell>
          <cell r="G1334">
            <v>22</v>
          </cell>
          <cell r="H1334">
            <v>1</v>
          </cell>
          <cell r="I1334">
            <v>105618</v>
          </cell>
          <cell r="J1334">
            <v>2875</v>
          </cell>
          <cell r="K1334">
            <v>102743</v>
          </cell>
          <cell r="L1334">
            <v>1030</v>
          </cell>
          <cell r="M1334">
            <v>630</v>
          </cell>
          <cell r="N1334">
            <v>400</v>
          </cell>
          <cell r="O1334">
            <v>702496</v>
          </cell>
          <cell r="P1334">
            <v>1263387</v>
          </cell>
          <cell r="Q1334">
            <v>0</v>
          </cell>
          <cell r="R1334">
            <v>25968</v>
          </cell>
          <cell r="S1334">
            <v>0</v>
          </cell>
          <cell r="T1334">
            <v>0</v>
          </cell>
          <cell r="U1334">
            <v>491471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1965883</v>
          </cell>
          <cell r="AA1334">
            <v>1991851</v>
          </cell>
          <cell r="AB1334" t="str">
            <v>EMAG</v>
          </cell>
          <cell r="AC1334">
            <v>1101</v>
          </cell>
          <cell r="AD1334">
            <v>2</v>
          </cell>
          <cell r="AE1334">
            <v>105618</v>
          </cell>
        </row>
        <row r="1335">
          <cell r="A1335" t="str">
            <v>SML</v>
          </cell>
          <cell r="B1335">
            <v>7</v>
          </cell>
          <cell r="C1335" t="str">
            <v>DMCN</v>
          </cell>
          <cell r="D1335">
            <v>75</v>
          </cell>
          <cell r="E1335">
            <v>5</v>
          </cell>
          <cell r="F1335" t="str">
            <v>A4</v>
          </cell>
          <cell r="G1335">
            <v>21</v>
          </cell>
          <cell r="H1335">
            <v>2</v>
          </cell>
          <cell r="I1335">
            <v>51350</v>
          </cell>
          <cell r="J1335">
            <v>2890</v>
          </cell>
          <cell r="K1335">
            <v>48460</v>
          </cell>
          <cell r="L1335">
            <v>416</v>
          </cell>
          <cell r="M1335">
            <v>416</v>
          </cell>
          <cell r="N1335">
            <v>0</v>
          </cell>
          <cell r="O1335">
            <v>372364</v>
          </cell>
          <cell r="P1335">
            <v>223431</v>
          </cell>
          <cell r="Q1335">
            <v>1428</v>
          </cell>
          <cell r="R1335">
            <v>10822</v>
          </cell>
          <cell r="S1335">
            <v>0</v>
          </cell>
          <cell r="T1335">
            <v>0</v>
          </cell>
          <cell r="U1335">
            <v>13249</v>
          </cell>
          <cell r="V1335">
            <v>0</v>
          </cell>
          <cell r="W1335">
            <v>2072</v>
          </cell>
          <cell r="X1335">
            <v>0</v>
          </cell>
          <cell r="Y1335">
            <v>0</v>
          </cell>
          <cell r="Z1335">
            <v>599295</v>
          </cell>
          <cell r="AA1335">
            <v>610117</v>
          </cell>
          <cell r="AB1335" t="str">
            <v>EMAG</v>
          </cell>
          <cell r="AC1335">
            <v>1101</v>
          </cell>
          <cell r="AD1335">
            <v>2</v>
          </cell>
          <cell r="AE1335">
            <v>51350</v>
          </cell>
        </row>
        <row r="1336">
          <cell r="A1336" t="str">
            <v>SML</v>
          </cell>
          <cell r="B1336">
            <v>7</v>
          </cell>
          <cell r="C1336" t="str">
            <v>DMCN</v>
          </cell>
          <cell r="D1336">
            <v>75</v>
          </cell>
          <cell r="E1336">
            <v>5</v>
          </cell>
          <cell r="F1336" t="str">
            <v>A4</v>
          </cell>
          <cell r="G1336">
            <v>20</v>
          </cell>
          <cell r="H1336">
            <v>16</v>
          </cell>
          <cell r="I1336">
            <v>238523</v>
          </cell>
          <cell r="J1336">
            <v>0</v>
          </cell>
          <cell r="K1336">
            <v>0</v>
          </cell>
          <cell r="L1336">
            <v>984</v>
          </cell>
          <cell r="M1336">
            <v>0</v>
          </cell>
          <cell r="N1336">
            <v>0</v>
          </cell>
          <cell r="O1336">
            <v>2493804</v>
          </cell>
          <cell r="P1336">
            <v>714771</v>
          </cell>
          <cell r="Q1336">
            <v>312414</v>
          </cell>
          <cell r="R1336">
            <v>18083</v>
          </cell>
          <cell r="S1336">
            <v>0</v>
          </cell>
          <cell r="T1336">
            <v>664000</v>
          </cell>
          <cell r="U1336">
            <v>668789</v>
          </cell>
          <cell r="V1336">
            <v>0</v>
          </cell>
          <cell r="W1336">
            <v>61244</v>
          </cell>
          <cell r="X1336">
            <v>0</v>
          </cell>
          <cell r="Y1336">
            <v>0</v>
          </cell>
          <cell r="Z1336">
            <v>3582233</v>
          </cell>
          <cell r="AA1336">
            <v>4264316</v>
          </cell>
          <cell r="AB1336" t="str">
            <v>EMAG</v>
          </cell>
          <cell r="AC1336">
            <v>1101</v>
          </cell>
          <cell r="AD1336">
            <v>2</v>
          </cell>
          <cell r="AE1336">
            <v>238523</v>
          </cell>
        </row>
        <row r="1337">
          <cell r="A1337" t="str">
            <v>SML</v>
          </cell>
          <cell r="B1337">
            <v>7</v>
          </cell>
          <cell r="C1337" t="str">
            <v>DMCN</v>
          </cell>
          <cell r="D1337">
            <v>75</v>
          </cell>
          <cell r="E1337">
            <v>5</v>
          </cell>
          <cell r="F1337" t="str">
            <v xml:space="preserve">B </v>
          </cell>
          <cell r="G1337">
            <v>0</v>
          </cell>
          <cell r="H1337">
            <v>117</v>
          </cell>
          <cell r="I1337">
            <v>161055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2948165</v>
          </cell>
          <cell r="P1337">
            <v>0</v>
          </cell>
          <cell r="Q1337">
            <v>0</v>
          </cell>
          <cell r="R1337">
            <v>16105</v>
          </cell>
          <cell r="S1337">
            <v>0</v>
          </cell>
          <cell r="T1337">
            <v>1991</v>
          </cell>
          <cell r="U1337">
            <v>433459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2948165</v>
          </cell>
          <cell r="AA1337">
            <v>2966261</v>
          </cell>
          <cell r="AB1337" t="str">
            <v>EMAG</v>
          </cell>
          <cell r="AC1337">
            <v>1101</v>
          </cell>
          <cell r="AD1337">
            <v>2</v>
          </cell>
          <cell r="AE1337">
            <v>160714</v>
          </cell>
        </row>
        <row r="1338">
          <cell r="A1338" t="str">
            <v>SML</v>
          </cell>
          <cell r="B1338">
            <v>7</v>
          </cell>
          <cell r="C1338" t="str">
            <v>DMCN</v>
          </cell>
          <cell r="D1338">
            <v>75</v>
          </cell>
          <cell r="E1338">
            <v>7</v>
          </cell>
          <cell r="F1338" t="str">
            <v>A4</v>
          </cell>
          <cell r="G1338">
            <v>20</v>
          </cell>
          <cell r="H1338">
            <v>2</v>
          </cell>
          <cell r="I1338">
            <v>17753</v>
          </cell>
          <cell r="J1338">
            <v>0</v>
          </cell>
          <cell r="K1338">
            <v>0</v>
          </cell>
          <cell r="L1338">
            <v>45</v>
          </cell>
          <cell r="M1338">
            <v>0</v>
          </cell>
          <cell r="N1338">
            <v>0</v>
          </cell>
          <cell r="O1338">
            <v>173150</v>
          </cell>
          <cell r="P1338">
            <v>29880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50757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203030</v>
          </cell>
          <cell r="AA1338">
            <v>203030</v>
          </cell>
          <cell r="AB1338" t="str">
            <v>EMAG</v>
          </cell>
          <cell r="AC1338">
            <v>1101</v>
          </cell>
          <cell r="AD1338">
            <v>2</v>
          </cell>
          <cell r="AE1338">
            <v>17753</v>
          </cell>
        </row>
        <row r="1339">
          <cell r="A1339" t="str">
            <v>SML</v>
          </cell>
          <cell r="B1339">
            <v>7</v>
          </cell>
          <cell r="C1339" t="str">
            <v>DMCN</v>
          </cell>
          <cell r="D1339">
            <v>75</v>
          </cell>
          <cell r="E1339">
            <v>7</v>
          </cell>
          <cell r="F1339" t="str">
            <v xml:space="preserve">B </v>
          </cell>
          <cell r="G1339">
            <v>0</v>
          </cell>
          <cell r="H1339">
            <v>7</v>
          </cell>
          <cell r="I1339">
            <v>3482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61612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15403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61612</v>
          </cell>
          <cell r="AA1339">
            <v>61612</v>
          </cell>
          <cell r="AB1339" t="str">
            <v>EMAG</v>
          </cell>
          <cell r="AC1339">
            <v>1101</v>
          </cell>
          <cell r="AD1339">
            <v>2</v>
          </cell>
          <cell r="AE1339">
            <v>3456</v>
          </cell>
        </row>
        <row r="1340">
          <cell r="A1340" t="str">
            <v>SML</v>
          </cell>
          <cell r="B1340">
            <v>7</v>
          </cell>
          <cell r="C1340" t="str">
            <v>DMCN</v>
          </cell>
          <cell r="D1340">
            <v>75</v>
          </cell>
          <cell r="E1340">
            <v>8</v>
          </cell>
          <cell r="F1340" t="str">
            <v>A4</v>
          </cell>
          <cell r="G1340">
            <v>20</v>
          </cell>
          <cell r="H1340">
            <v>4</v>
          </cell>
          <cell r="I1340">
            <v>152575</v>
          </cell>
          <cell r="J1340">
            <v>0</v>
          </cell>
          <cell r="K1340">
            <v>0</v>
          </cell>
          <cell r="L1340">
            <v>662</v>
          </cell>
          <cell r="M1340">
            <v>0</v>
          </cell>
          <cell r="N1340">
            <v>0</v>
          </cell>
          <cell r="O1340">
            <v>1750747</v>
          </cell>
          <cell r="P1340">
            <v>518125</v>
          </cell>
          <cell r="Q1340">
            <v>132819</v>
          </cell>
          <cell r="R1340">
            <v>0</v>
          </cell>
          <cell r="S1340">
            <v>0</v>
          </cell>
          <cell r="T1340">
            <v>0</v>
          </cell>
          <cell r="U1340">
            <v>611967</v>
          </cell>
          <cell r="V1340">
            <v>0</v>
          </cell>
          <cell r="W1340">
            <v>46178</v>
          </cell>
          <cell r="X1340">
            <v>0</v>
          </cell>
          <cell r="Y1340">
            <v>0</v>
          </cell>
          <cell r="Z1340">
            <v>2447869</v>
          </cell>
          <cell r="AA1340">
            <v>2447869</v>
          </cell>
          <cell r="AB1340" t="str">
            <v>EMAG</v>
          </cell>
          <cell r="AC1340">
            <v>1101</v>
          </cell>
          <cell r="AD1340">
            <v>2</v>
          </cell>
          <cell r="AE1340">
            <v>152575</v>
          </cell>
        </row>
        <row r="1341">
          <cell r="A1341" t="str">
            <v>SML</v>
          </cell>
          <cell r="B1341">
            <v>7</v>
          </cell>
          <cell r="C1341" t="str">
            <v>DMCN</v>
          </cell>
          <cell r="D1341">
            <v>75</v>
          </cell>
          <cell r="E1341">
            <v>8</v>
          </cell>
          <cell r="F1341" t="str">
            <v xml:space="preserve">B </v>
          </cell>
          <cell r="G1341">
            <v>0</v>
          </cell>
          <cell r="H1341">
            <v>2</v>
          </cell>
          <cell r="I1341">
            <v>11680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243161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60790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243161</v>
          </cell>
          <cell r="AA1341">
            <v>243161</v>
          </cell>
          <cell r="AB1341" t="str">
            <v>EMAG</v>
          </cell>
          <cell r="AC1341">
            <v>1101</v>
          </cell>
          <cell r="AD1341">
            <v>2</v>
          </cell>
          <cell r="AE1341">
            <v>11580</v>
          </cell>
        </row>
        <row r="1342">
          <cell r="A1342" t="str">
            <v>SML</v>
          </cell>
          <cell r="B1342">
            <v>8</v>
          </cell>
          <cell r="C1342" t="str">
            <v>DMNT</v>
          </cell>
          <cell r="D1342">
            <v>81</v>
          </cell>
          <cell r="E1342">
            <v>1</v>
          </cell>
          <cell r="F1342" t="str">
            <v>A4</v>
          </cell>
          <cell r="G1342">
            <v>20</v>
          </cell>
          <cell r="H1342">
            <v>1</v>
          </cell>
          <cell r="I1342">
            <v>892</v>
          </cell>
          <cell r="J1342">
            <v>0</v>
          </cell>
          <cell r="K1342">
            <v>0</v>
          </cell>
          <cell r="L1342">
            <v>2</v>
          </cell>
          <cell r="M1342">
            <v>0</v>
          </cell>
          <cell r="N1342">
            <v>0</v>
          </cell>
          <cell r="O1342">
            <v>10236</v>
          </cell>
          <cell r="P1342">
            <v>1565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2950</v>
          </cell>
          <cell r="V1342">
            <v>0</v>
          </cell>
          <cell r="W1342">
            <v>0</v>
          </cell>
          <cell r="X1342">
            <v>0</v>
          </cell>
          <cell r="Y1342">
            <v>862</v>
          </cell>
          <cell r="Z1342">
            <v>11801</v>
          </cell>
          <cell r="AA1342">
            <v>12663</v>
          </cell>
          <cell r="AB1342" t="str">
            <v>EMVA</v>
          </cell>
          <cell r="AC1342">
            <v>1101</v>
          </cell>
          <cell r="AD1342">
            <v>2</v>
          </cell>
          <cell r="AE1342">
            <v>892</v>
          </cell>
        </row>
        <row r="1343">
          <cell r="A1343" t="str">
            <v>SML</v>
          </cell>
          <cell r="B1343">
            <v>8</v>
          </cell>
          <cell r="C1343" t="str">
            <v>DMNT</v>
          </cell>
          <cell r="D1343">
            <v>81</v>
          </cell>
          <cell r="E1343">
            <v>1</v>
          </cell>
          <cell r="F1343" t="str">
            <v xml:space="preserve">B </v>
          </cell>
          <cell r="G1343">
            <v>1</v>
          </cell>
          <cell r="H1343">
            <v>5572</v>
          </cell>
          <cell r="I1343">
            <v>143917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2335918</v>
          </cell>
          <cell r="P1343">
            <v>0</v>
          </cell>
          <cell r="Q1343">
            <v>0</v>
          </cell>
          <cell r="R1343">
            <v>67353</v>
          </cell>
          <cell r="S1343">
            <v>0</v>
          </cell>
          <cell r="T1343">
            <v>1716360</v>
          </cell>
          <cell r="U1343">
            <v>330</v>
          </cell>
          <cell r="V1343">
            <v>660</v>
          </cell>
          <cell r="W1343">
            <v>0</v>
          </cell>
          <cell r="X1343">
            <v>0</v>
          </cell>
          <cell r="Y1343">
            <v>208</v>
          </cell>
          <cell r="Z1343">
            <v>2335918</v>
          </cell>
          <cell r="AA1343">
            <v>4120499</v>
          </cell>
          <cell r="AB1343" t="str">
            <v>EMVA</v>
          </cell>
          <cell r="AC1343">
            <v>1101</v>
          </cell>
          <cell r="AD1343">
            <v>2</v>
          </cell>
          <cell r="AE1343">
            <v>80514</v>
          </cell>
        </row>
        <row r="1344">
          <cell r="A1344" t="str">
            <v>SML</v>
          </cell>
          <cell r="B1344">
            <v>8</v>
          </cell>
          <cell r="C1344" t="str">
            <v>DMNT</v>
          </cell>
          <cell r="D1344">
            <v>81</v>
          </cell>
          <cell r="E1344">
            <v>1</v>
          </cell>
          <cell r="F1344" t="str">
            <v xml:space="preserve">B </v>
          </cell>
          <cell r="G1344">
            <v>2</v>
          </cell>
          <cell r="H1344">
            <v>2400</v>
          </cell>
          <cell r="I1344">
            <v>98006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1901198</v>
          </cell>
          <cell r="P1344">
            <v>0</v>
          </cell>
          <cell r="Q1344">
            <v>0</v>
          </cell>
          <cell r="R1344">
            <v>45410</v>
          </cell>
          <cell r="S1344">
            <v>0</v>
          </cell>
          <cell r="T1344">
            <v>297087</v>
          </cell>
          <cell r="U1344">
            <v>323105</v>
          </cell>
          <cell r="V1344">
            <v>188</v>
          </cell>
          <cell r="W1344">
            <v>0</v>
          </cell>
          <cell r="X1344">
            <v>0</v>
          </cell>
          <cell r="Y1344">
            <v>0</v>
          </cell>
          <cell r="Z1344">
            <v>1901198</v>
          </cell>
          <cell r="AA1344">
            <v>2243883</v>
          </cell>
          <cell r="AB1344" t="str">
            <v>EMVA</v>
          </cell>
          <cell r="AC1344">
            <v>1101</v>
          </cell>
          <cell r="AD1344">
            <v>2</v>
          </cell>
          <cell r="AE1344">
            <v>97906</v>
          </cell>
        </row>
        <row r="1345">
          <cell r="A1345" t="str">
            <v>SML</v>
          </cell>
          <cell r="B1345">
            <v>8</v>
          </cell>
          <cell r="C1345" t="str">
            <v>DMNT</v>
          </cell>
          <cell r="D1345">
            <v>81</v>
          </cell>
          <cell r="E1345">
            <v>1</v>
          </cell>
          <cell r="F1345" t="str">
            <v xml:space="preserve">B </v>
          </cell>
          <cell r="G1345">
            <v>3</v>
          </cell>
          <cell r="H1345">
            <v>10464</v>
          </cell>
          <cell r="I1345">
            <v>814276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15792384</v>
          </cell>
          <cell r="P1345">
            <v>0</v>
          </cell>
          <cell r="Q1345">
            <v>0</v>
          </cell>
          <cell r="R1345">
            <v>231612</v>
          </cell>
          <cell r="S1345">
            <v>0</v>
          </cell>
          <cell r="T1345">
            <v>1140197</v>
          </cell>
          <cell r="U1345">
            <v>2684679</v>
          </cell>
          <cell r="V1345">
            <v>564</v>
          </cell>
          <cell r="W1345">
            <v>0</v>
          </cell>
          <cell r="X1345">
            <v>0</v>
          </cell>
          <cell r="Y1345">
            <v>1903819</v>
          </cell>
          <cell r="Z1345">
            <v>15792384</v>
          </cell>
          <cell r="AA1345">
            <v>19068576</v>
          </cell>
          <cell r="AB1345" t="str">
            <v>EMVA</v>
          </cell>
          <cell r="AC1345">
            <v>1101</v>
          </cell>
          <cell r="AD1345">
            <v>2</v>
          </cell>
          <cell r="AE1345">
            <v>811654</v>
          </cell>
        </row>
        <row r="1346">
          <cell r="A1346" t="str">
            <v>SML</v>
          </cell>
          <cell r="B1346">
            <v>8</v>
          </cell>
          <cell r="C1346" t="str">
            <v>DMNT</v>
          </cell>
          <cell r="D1346">
            <v>81</v>
          </cell>
          <cell r="E1346">
            <v>1</v>
          </cell>
          <cell r="F1346" t="str">
            <v xml:space="preserve">B </v>
          </cell>
          <cell r="G1346">
            <v>4</v>
          </cell>
          <cell r="H1346">
            <v>8599</v>
          </cell>
          <cell r="I1346">
            <v>1054644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20460502</v>
          </cell>
          <cell r="P1346">
            <v>0</v>
          </cell>
          <cell r="Q1346">
            <v>0</v>
          </cell>
          <cell r="R1346">
            <v>260585</v>
          </cell>
          <cell r="S1346">
            <v>0</v>
          </cell>
          <cell r="T1346">
            <v>906664</v>
          </cell>
          <cell r="U1346">
            <v>3478305</v>
          </cell>
          <cell r="V1346">
            <v>470</v>
          </cell>
          <cell r="W1346">
            <v>0</v>
          </cell>
          <cell r="X1346">
            <v>0</v>
          </cell>
          <cell r="Y1346">
            <v>2851277</v>
          </cell>
          <cell r="Z1346">
            <v>20460502</v>
          </cell>
          <cell r="AA1346">
            <v>24479498</v>
          </cell>
          <cell r="AB1346" t="str">
            <v>EMVA</v>
          </cell>
          <cell r="AC1346">
            <v>1101</v>
          </cell>
          <cell r="AD1346">
            <v>2</v>
          </cell>
          <cell r="AE1346">
            <v>1054644</v>
          </cell>
        </row>
        <row r="1347">
          <cell r="A1347" t="str">
            <v>SML</v>
          </cell>
          <cell r="B1347">
            <v>8</v>
          </cell>
          <cell r="C1347" t="str">
            <v>DMNT</v>
          </cell>
          <cell r="D1347">
            <v>81</v>
          </cell>
          <cell r="E1347">
            <v>1</v>
          </cell>
          <cell r="F1347" t="str">
            <v xml:space="preserve">B </v>
          </cell>
          <cell r="G1347">
            <v>5</v>
          </cell>
          <cell r="H1347">
            <v>4224</v>
          </cell>
          <cell r="I1347">
            <v>730251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14163962</v>
          </cell>
          <cell r="P1347">
            <v>0</v>
          </cell>
          <cell r="Q1347">
            <v>0</v>
          </cell>
          <cell r="R1347">
            <v>171504</v>
          </cell>
          <cell r="S1347">
            <v>4883</v>
          </cell>
          <cell r="T1347">
            <v>507630</v>
          </cell>
          <cell r="U1347">
            <v>2407934</v>
          </cell>
          <cell r="V1347">
            <v>188</v>
          </cell>
          <cell r="W1347">
            <v>0</v>
          </cell>
          <cell r="X1347">
            <v>0</v>
          </cell>
          <cell r="Y1347">
            <v>1768282</v>
          </cell>
          <cell r="Z1347">
            <v>14163962</v>
          </cell>
          <cell r="AA1347">
            <v>16616449</v>
          </cell>
          <cell r="AB1347" t="str">
            <v>EMVA</v>
          </cell>
          <cell r="AC1347">
            <v>1101</v>
          </cell>
          <cell r="AD1347">
            <v>2</v>
          </cell>
          <cell r="AE1347">
            <v>730251</v>
          </cell>
        </row>
        <row r="1348">
          <cell r="A1348" t="str">
            <v>SML</v>
          </cell>
          <cell r="B1348">
            <v>8</v>
          </cell>
          <cell r="C1348" t="str">
            <v>DMNT</v>
          </cell>
          <cell r="D1348">
            <v>81</v>
          </cell>
          <cell r="E1348">
            <v>1</v>
          </cell>
          <cell r="F1348" t="str">
            <v xml:space="preserve">B </v>
          </cell>
          <cell r="G1348">
            <v>6</v>
          </cell>
          <cell r="H1348">
            <v>2854</v>
          </cell>
          <cell r="I1348">
            <v>678810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13162291</v>
          </cell>
          <cell r="P1348">
            <v>0</v>
          </cell>
          <cell r="Q1348">
            <v>0</v>
          </cell>
          <cell r="R1348">
            <v>189152</v>
          </cell>
          <cell r="S1348">
            <v>0</v>
          </cell>
          <cell r="T1348">
            <v>480740</v>
          </cell>
          <cell r="U1348">
            <v>2238313</v>
          </cell>
          <cell r="V1348">
            <v>94</v>
          </cell>
          <cell r="W1348">
            <v>0</v>
          </cell>
          <cell r="X1348">
            <v>0</v>
          </cell>
          <cell r="Y1348">
            <v>1188524</v>
          </cell>
          <cell r="Z1348">
            <v>13162291</v>
          </cell>
          <cell r="AA1348">
            <v>15020801</v>
          </cell>
          <cell r="AB1348" t="str">
            <v>EMVA</v>
          </cell>
          <cell r="AC1348">
            <v>1101</v>
          </cell>
          <cell r="AD1348">
            <v>2</v>
          </cell>
          <cell r="AE1348">
            <v>678810</v>
          </cell>
        </row>
        <row r="1349">
          <cell r="A1349" t="str">
            <v>SML</v>
          </cell>
          <cell r="B1349">
            <v>8</v>
          </cell>
          <cell r="C1349" t="str">
            <v>DMNT</v>
          </cell>
          <cell r="D1349">
            <v>81</v>
          </cell>
          <cell r="E1349">
            <v>1</v>
          </cell>
          <cell r="F1349" t="str">
            <v xml:space="preserve">B </v>
          </cell>
          <cell r="G1349">
            <v>7</v>
          </cell>
          <cell r="H1349">
            <v>700</v>
          </cell>
          <cell r="I1349">
            <v>232241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4674193</v>
          </cell>
          <cell r="P1349">
            <v>0</v>
          </cell>
          <cell r="Q1349">
            <v>0</v>
          </cell>
          <cell r="R1349">
            <v>51499</v>
          </cell>
          <cell r="S1349">
            <v>0</v>
          </cell>
          <cell r="T1349">
            <v>110515</v>
          </cell>
          <cell r="U1349">
            <v>935116</v>
          </cell>
          <cell r="V1349">
            <v>282</v>
          </cell>
          <cell r="W1349">
            <v>0</v>
          </cell>
          <cell r="X1349">
            <v>0</v>
          </cell>
          <cell r="Y1349">
            <v>491858</v>
          </cell>
          <cell r="Z1349">
            <v>4674193</v>
          </cell>
          <cell r="AA1349">
            <v>5328347</v>
          </cell>
          <cell r="AB1349" t="str">
            <v>EMVA</v>
          </cell>
          <cell r="AC1349">
            <v>1101</v>
          </cell>
          <cell r="AD1349">
            <v>2</v>
          </cell>
          <cell r="AE1349">
            <v>232241</v>
          </cell>
        </row>
        <row r="1350">
          <cell r="A1350" t="str">
            <v>SML</v>
          </cell>
          <cell r="B1350">
            <v>8</v>
          </cell>
          <cell r="C1350" t="str">
            <v>DMNT</v>
          </cell>
          <cell r="D1350">
            <v>81</v>
          </cell>
          <cell r="E1350">
            <v>1</v>
          </cell>
          <cell r="F1350" t="str">
            <v xml:space="preserve">B </v>
          </cell>
          <cell r="G1350">
            <v>8</v>
          </cell>
          <cell r="H1350">
            <v>251</v>
          </cell>
          <cell r="I1350">
            <v>106279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2138386</v>
          </cell>
          <cell r="P1350">
            <v>0</v>
          </cell>
          <cell r="Q1350">
            <v>0</v>
          </cell>
          <cell r="R1350">
            <v>22047</v>
          </cell>
          <cell r="S1350">
            <v>0</v>
          </cell>
          <cell r="T1350">
            <v>83172</v>
          </cell>
          <cell r="U1350">
            <v>427762</v>
          </cell>
          <cell r="V1350">
            <v>0</v>
          </cell>
          <cell r="W1350">
            <v>0</v>
          </cell>
          <cell r="X1350">
            <v>0</v>
          </cell>
          <cell r="Y1350">
            <v>172400</v>
          </cell>
          <cell r="Z1350">
            <v>2138386</v>
          </cell>
          <cell r="AA1350">
            <v>2416005</v>
          </cell>
          <cell r="AB1350" t="str">
            <v>EMVA</v>
          </cell>
          <cell r="AC1350">
            <v>1101</v>
          </cell>
          <cell r="AD1350">
            <v>2</v>
          </cell>
          <cell r="AE1350">
            <v>106279</v>
          </cell>
        </row>
        <row r="1351">
          <cell r="A1351" t="str">
            <v>SML</v>
          </cell>
          <cell r="B1351">
            <v>8</v>
          </cell>
          <cell r="C1351" t="str">
            <v>DMNT</v>
          </cell>
          <cell r="D1351">
            <v>81</v>
          </cell>
          <cell r="E1351">
            <v>1</v>
          </cell>
          <cell r="F1351" t="str">
            <v xml:space="preserve">B </v>
          </cell>
          <cell r="G1351">
            <v>9</v>
          </cell>
          <cell r="H1351">
            <v>231</v>
          </cell>
          <cell r="I1351">
            <v>125882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2727328</v>
          </cell>
          <cell r="P1351">
            <v>0</v>
          </cell>
          <cell r="Q1351">
            <v>0</v>
          </cell>
          <cell r="R1351">
            <v>18993</v>
          </cell>
          <cell r="S1351">
            <v>0</v>
          </cell>
          <cell r="T1351">
            <v>110302</v>
          </cell>
          <cell r="U1351">
            <v>681974</v>
          </cell>
          <cell r="V1351">
            <v>189</v>
          </cell>
          <cell r="W1351">
            <v>0</v>
          </cell>
          <cell r="X1351">
            <v>0</v>
          </cell>
          <cell r="Y1351">
            <v>150850</v>
          </cell>
          <cell r="Z1351">
            <v>2727328</v>
          </cell>
          <cell r="AA1351">
            <v>3007662</v>
          </cell>
          <cell r="AB1351" t="str">
            <v>EMVA</v>
          </cell>
          <cell r="AC1351">
            <v>1101</v>
          </cell>
          <cell r="AD1351">
            <v>2</v>
          </cell>
          <cell r="AE1351">
            <v>125882</v>
          </cell>
        </row>
        <row r="1352">
          <cell r="A1352" t="str">
            <v>SML</v>
          </cell>
          <cell r="B1352">
            <v>8</v>
          </cell>
          <cell r="C1352" t="str">
            <v>DMNT</v>
          </cell>
          <cell r="D1352">
            <v>81</v>
          </cell>
          <cell r="E1352">
            <v>1</v>
          </cell>
          <cell r="F1352" t="str">
            <v xml:space="preserve">B </v>
          </cell>
          <cell r="G1352">
            <v>10</v>
          </cell>
          <cell r="H1352">
            <v>57</v>
          </cell>
          <cell r="I1352">
            <v>54442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1303221</v>
          </cell>
          <cell r="P1352">
            <v>0</v>
          </cell>
          <cell r="Q1352">
            <v>0</v>
          </cell>
          <cell r="R1352">
            <v>-4765</v>
          </cell>
          <cell r="S1352">
            <v>0</v>
          </cell>
          <cell r="T1352">
            <v>50738</v>
          </cell>
          <cell r="U1352">
            <v>325853</v>
          </cell>
          <cell r="V1352">
            <v>0</v>
          </cell>
          <cell r="W1352">
            <v>0</v>
          </cell>
          <cell r="X1352">
            <v>0</v>
          </cell>
          <cell r="Y1352">
            <v>18102</v>
          </cell>
          <cell r="Z1352">
            <v>1303221</v>
          </cell>
          <cell r="AA1352">
            <v>1367296</v>
          </cell>
          <cell r="AB1352" t="str">
            <v>EMVA</v>
          </cell>
          <cell r="AC1352">
            <v>1101</v>
          </cell>
          <cell r="AD1352">
            <v>2</v>
          </cell>
          <cell r="AE1352">
            <v>54442</v>
          </cell>
        </row>
        <row r="1353">
          <cell r="A1353" t="str">
            <v>SML</v>
          </cell>
          <cell r="B1353">
            <v>8</v>
          </cell>
          <cell r="C1353" t="str">
            <v>DMNT</v>
          </cell>
          <cell r="D1353">
            <v>81</v>
          </cell>
          <cell r="E1353">
            <v>1</v>
          </cell>
          <cell r="F1353" t="str">
            <v xml:space="preserve">B </v>
          </cell>
          <cell r="G1353">
            <v>11</v>
          </cell>
          <cell r="H1353">
            <v>5217</v>
          </cell>
          <cell r="I1353">
            <v>134168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756997</v>
          </cell>
          <cell r="P1353">
            <v>0</v>
          </cell>
          <cell r="Q1353">
            <v>0</v>
          </cell>
          <cell r="R1353">
            <v>18179</v>
          </cell>
          <cell r="S1353">
            <v>0</v>
          </cell>
          <cell r="T1353">
            <v>352931</v>
          </cell>
          <cell r="U1353">
            <v>0</v>
          </cell>
          <cell r="V1353">
            <v>188</v>
          </cell>
          <cell r="W1353">
            <v>0</v>
          </cell>
          <cell r="X1353">
            <v>0</v>
          </cell>
          <cell r="Y1353">
            <v>0</v>
          </cell>
          <cell r="Z1353">
            <v>756997</v>
          </cell>
          <cell r="AA1353">
            <v>1128295</v>
          </cell>
          <cell r="AB1353" t="str">
            <v>EMVA</v>
          </cell>
          <cell r="AC1353">
            <v>1101</v>
          </cell>
          <cell r="AD1353">
            <v>2</v>
          </cell>
          <cell r="AE1353">
            <v>77719</v>
          </cell>
        </row>
        <row r="1354">
          <cell r="A1354" t="str">
            <v>SML</v>
          </cell>
          <cell r="B1354">
            <v>8</v>
          </cell>
          <cell r="C1354" t="str">
            <v>DMNT</v>
          </cell>
          <cell r="D1354">
            <v>81</v>
          </cell>
          <cell r="E1354">
            <v>1</v>
          </cell>
          <cell r="F1354" t="str">
            <v xml:space="preserve">B </v>
          </cell>
          <cell r="G1354">
            <v>12</v>
          </cell>
          <cell r="H1354">
            <v>9860</v>
          </cell>
          <cell r="I1354">
            <v>649173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6397464</v>
          </cell>
          <cell r="P1354">
            <v>0</v>
          </cell>
          <cell r="Q1354">
            <v>0</v>
          </cell>
          <cell r="R1354">
            <v>163983</v>
          </cell>
          <cell r="S1354">
            <v>0</v>
          </cell>
          <cell r="T1354">
            <v>266841</v>
          </cell>
          <cell r="U1354">
            <v>1087933</v>
          </cell>
          <cell r="V1354">
            <v>0</v>
          </cell>
          <cell r="W1354">
            <v>0</v>
          </cell>
          <cell r="X1354">
            <v>0</v>
          </cell>
          <cell r="Y1354">
            <v>1347613</v>
          </cell>
          <cell r="Z1354">
            <v>6397464</v>
          </cell>
          <cell r="AA1354">
            <v>8175901</v>
          </cell>
          <cell r="AB1354" t="str">
            <v>EMVA</v>
          </cell>
          <cell r="AC1354">
            <v>1101</v>
          </cell>
          <cell r="AD1354">
            <v>2</v>
          </cell>
          <cell r="AE1354">
            <v>649173</v>
          </cell>
        </row>
        <row r="1355">
          <cell r="A1355" t="str">
            <v>SML</v>
          </cell>
          <cell r="B1355">
            <v>8</v>
          </cell>
          <cell r="C1355" t="str">
            <v>DMNT</v>
          </cell>
          <cell r="D1355">
            <v>81</v>
          </cell>
          <cell r="E1355">
            <v>1</v>
          </cell>
          <cell r="F1355" t="str">
            <v xml:space="preserve">B </v>
          </cell>
          <cell r="G1355">
            <v>13</v>
          </cell>
          <cell r="H1355">
            <v>1930</v>
          </cell>
          <cell r="I1355">
            <v>222263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2714632</v>
          </cell>
          <cell r="P1355">
            <v>0</v>
          </cell>
          <cell r="Q1355">
            <v>0</v>
          </cell>
          <cell r="R1355">
            <v>38667</v>
          </cell>
          <cell r="S1355">
            <v>0</v>
          </cell>
          <cell r="T1355">
            <v>82587</v>
          </cell>
          <cell r="U1355">
            <v>461525</v>
          </cell>
          <cell r="V1355">
            <v>0</v>
          </cell>
          <cell r="W1355">
            <v>0</v>
          </cell>
          <cell r="X1355">
            <v>0</v>
          </cell>
          <cell r="Y1355">
            <v>658918</v>
          </cell>
          <cell r="Z1355">
            <v>2714632</v>
          </cell>
          <cell r="AA1355">
            <v>3494804</v>
          </cell>
          <cell r="AB1355" t="str">
            <v>EMVA</v>
          </cell>
          <cell r="AC1355">
            <v>1101</v>
          </cell>
          <cell r="AD1355">
            <v>2</v>
          </cell>
          <cell r="AE1355">
            <v>222263</v>
          </cell>
        </row>
        <row r="1356">
          <cell r="A1356" t="str">
            <v>SML</v>
          </cell>
          <cell r="B1356">
            <v>8</v>
          </cell>
          <cell r="C1356" t="str">
            <v>DMNT</v>
          </cell>
          <cell r="D1356">
            <v>81</v>
          </cell>
          <cell r="E1356">
            <v>1</v>
          </cell>
          <cell r="F1356" t="str">
            <v xml:space="preserve">B </v>
          </cell>
          <cell r="G1356">
            <v>14</v>
          </cell>
          <cell r="H1356">
            <v>269</v>
          </cell>
          <cell r="I1356">
            <v>40329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514347</v>
          </cell>
          <cell r="P1356">
            <v>0</v>
          </cell>
          <cell r="Q1356">
            <v>0</v>
          </cell>
          <cell r="R1356">
            <v>7902</v>
          </cell>
          <cell r="S1356">
            <v>0</v>
          </cell>
          <cell r="T1356">
            <v>17412</v>
          </cell>
          <cell r="U1356">
            <v>87456</v>
          </cell>
          <cell r="V1356">
            <v>0</v>
          </cell>
          <cell r="W1356">
            <v>0</v>
          </cell>
          <cell r="X1356">
            <v>0</v>
          </cell>
          <cell r="Y1356">
            <v>103328</v>
          </cell>
          <cell r="Z1356">
            <v>514347</v>
          </cell>
          <cell r="AA1356">
            <v>642989</v>
          </cell>
          <cell r="AB1356" t="str">
            <v>EMVA</v>
          </cell>
          <cell r="AC1356">
            <v>1101</v>
          </cell>
          <cell r="AD1356">
            <v>2</v>
          </cell>
          <cell r="AE1356">
            <v>40329</v>
          </cell>
        </row>
        <row r="1357">
          <cell r="A1357" t="str">
            <v>SML</v>
          </cell>
          <cell r="B1357">
            <v>8</v>
          </cell>
          <cell r="C1357" t="str">
            <v>DMNT</v>
          </cell>
          <cell r="D1357">
            <v>81</v>
          </cell>
          <cell r="E1357">
            <v>1</v>
          </cell>
          <cell r="F1357" t="str">
            <v xml:space="preserve">B </v>
          </cell>
          <cell r="G1357">
            <v>15</v>
          </cell>
          <cell r="H1357">
            <v>390</v>
          </cell>
          <cell r="I1357">
            <v>37649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305997</v>
          </cell>
          <cell r="P1357">
            <v>0</v>
          </cell>
          <cell r="Q1357">
            <v>0</v>
          </cell>
          <cell r="R1357">
            <v>17546</v>
          </cell>
          <cell r="S1357">
            <v>0</v>
          </cell>
          <cell r="T1357">
            <v>38159</v>
          </cell>
          <cell r="U1357">
            <v>-4679</v>
          </cell>
          <cell r="V1357">
            <v>0</v>
          </cell>
          <cell r="W1357">
            <v>0</v>
          </cell>
          <cell r="X1357">
            <v>0</v>
          </cell>
          <cell r="Y1357">
            <v>175024</v>
          </cell>
          <cell r="Z1357">
            <v>305997</v>
          </cell>
          <cell r="AA1357">
            <v>536726</v>
          </cell>
          <cell r="AB1357" t="str">
            <v>EMVA</v>
          </cell>
          <cell r="AC1357">
            <v>1101</v>
          </cell>
          <cell r="AD1357">
            <v>2</v>
          </cell>
          <cell r="AE1357">
            <v>37649</v>
          </cell>
        </row>
        <row r="1358">
          <cell r="A1358" t="str">
            <v>SML</v>
          </cell>
          <cell r="B1358">
            <v>8</v>
          </cell>
          <cell r="C1358" t="str">
            <v>DMNT</v>
          </cell>
          <cell r="D1358">
            <v>81</v>
          </cell>
          <cell r="E1358">
            <v>2</v>
          </cell>
          <cell r="F1358" t="str">
            <v>A4</v>
          </cell>
          <cell r="G1358">
            <v>22</v>
          </cell>
          <cell r="H1358">
            <v>1</v>
          </cell>
          <cell r="I1358">
            <v>545071</v>
          </cell>
          <cell r="J1358">
            <v>50475</v>
          </cell>
          <cell r="K1358">
            <v>494596</v>
          </cell>
          <cell r="L1358">
            <v>2300</v>
          </cell>
          <cell r="M1358">
            <v>1150</v>
          </cell>
          <cell r="N1358">
            <v>1150</v>
          </cell>
          <cell r="O1358">
            <v>3879356</v>
          </cell>
          <cell r="P1358">
            <v>3175534</v>
          </cell>
          <cell r="Q1358">
            <v>5676</v>
          </cell>
          <cell r="R1358">
            <v>0</v>
          </cell>
          <cell r="S1358">
            <v>0</v>
          </cell>
          <cell r="T1358">
            <v>0</v>
          </cell>
          <cell r="U1358">
            <v>1765142</v>
          </cell>
          <cell r="V1358">
            <v>0</v>
          </cell>
          <cell r="W1358">
            <v>0</v>
          </cell>
          <cell r="X1358">
            <v>0</v>
          </cell>
          <cell r="Y1358">
            <v>1724</v>
          </cell>
          <cell r="Z1358">
            <v>7060566</v>
          </cell>
          <cell r="AA1358">
            <v>7062290</v>
          </cell>
          <cell r="AB1358" t="str">
            <v>EMVA</v>
          </cell>
          <cell r="AC1358">
            <v>1101</v>
          </cell>
          <cell r="AD1358">
            <v>2</v>
          </cell>
          <cell r="AE1358">
            <v>545071</v>
          </cell>
        </row>
        <row r="1359">
          <cell r="A1359" t="str">
            <v>SML</v>
          </cell>
          <cell r="B1359">
            <v>8</v>
          </cell>
          <cell r="C1359" t="str">
            <v>DMNT</v>
          </cell>
          <cell r="D1359">
            <v>81</v>
          </cell>
          <cell r="E1359">
            <v>2</v>
          </cell>
          <cell r="F1359" t="str">
            <v>A4</v>
          </cell>
          <cell r="G1359">
            <v>21</v>
          </cell>
          <cell r="H1359">
            <v>6</v>
          </cell>
          <cell r="I1359">
            <v>800221</v>
          </cell>
          <cell r="J1359">
            <v>69244</v>
          </cell>
          <cell r="K1359">
            <v>730977</v>
          </cell>
          <cell r="L1359">
            <v>3665</v>
          </cell>
          <cell r="M1359">
            <v>3665</v>
          </cell>
          <cell r="N1359">
            <v>0</v>
          </cell>
          <cell r="O1359">
            <v>8976728</v>
          </cell>
          <cell r="P1359">
            <v>2531293</v>
          </cell>
          <cell r="Q1359">
            <v>129275</v>
          </cell>
          <cell r="R1359">
            <v>196817</v>
          </cell>
          <cell r="S1359">
            <v>0</v>
          </cell>
          <cell r="T1359">
            <v>0</v>
          </cell>
          <cell r="U1359">
            <v>2913469</v>
          </cell>
          <cell r="V1359">
            <v>0</v>
          </cell>
          <cell r="W1359">
            <v>16576</v>
          </cell>
          <cell r="X1359">
            <v>0</v>
          </cell>
          <cell r="Y1359">
            <v>10344</v>
          </cell>
          <cell r="Z1359">
            <v>11653872</v>
          </cell>
          <cell r="AA1359">
            <v>11861033</v>
          </cell>
          <cell r="AB1359" t="str">
            <v>EMVA</v>
          </cell>
          <cell r="AC1359">
            <v>1101</v>
          </cell>
          <cell r="AD1359">
            <v>2</v>
          </cell>
          <cell r="AE1359">
            <v>800221</v>
          </cell>
        </row>
        <row r="1360">
          <cell r="A1360" t="str">
            <v>SML</v>
          </cell>
          <cell r="B1360">
            <v>8</v>
          </cell>
          <cell r="C1360" t="str">
            <v>DMNT</v>
          </cell>
          <cell r="D1360">
            <v>81</v>
          </cell>
          <cell r="E1360">
            <v>2</v>
          </cell>
          <cell r="F1360" t="str">
            <v>A4</v>
          </cell>
          <cell r="G1360">
            <v>20</v>
          </cell>
          <cell r="H1360">
            <v>32</v>
          </cell>
          <cell r="I1360">
            <v>510524</v>
          </cell>
          <cell r="J1360">
            <v>0</v>
          </cell>
          <cell r="K1360">
            <v>0</v>
          </cell>
          <cell r="L1360">
            <v>2460</v>
          </cell>
          <cell r="M1360">
            <v>0</v>
          </cell>
          <cell r="N1360">
            <v>0</v>
          </cell>
          <cell r="O1360">
            <v>5858092</v>
          </cell>
          <cell r="P1360">
            <v>1925363</v>
          </cell>
          <cell r="Q1360">
            <v>297274</v>
          </cell>
          <cell r="R1360">
            <v>87724</v>
          </cell>
          <cell r="S1360">
            <v>0</v>
          </cell>
          <cell r="T1360">
            <v>100529</v>
          </cell>
          <cell r="U1360">
            <v>2050124</v>
          </cell>
          <cell r="V1360">
            <v>0</v>
          </cell>
          <cell r="W1360">
            <v>119749</v>
          </cell>
          <cell r="X1360">
            <v>0</v>
          </cell>
          <cell r="Y1360">
            <v>49996</v>
          </cell>
          <cell r="Z1360">
            <v>8200478</v>
          </cell>
          <cell r="AA1360">
            <v>8438727</v>
          </cell>
          <cell r="AB1360" t="str">
            <v>EMVA</v>
          </cell>
          <cell r="AC1360">
            <v>1101</v>
          </cell>
          <cell r="AD1360">
            <v>2</v>
          </cell>
          <cell r="AE1360">
            <v>510524</v>
          </cell>
        </row>
        <row r="1361">
          <cell r="A1361" t="str">
            <v>SML</v>
          </cell>
          <cell r="B1361">
            <v>8</v>
          </cell>
          <cell r="C1361" t="str">
            <v>DMNT</v>
          </cell>
          <cell r="D1361">
            <v>81</v>
          </cell>
          <cell r="E1361">
            <v>2</v>
          </cell>
          <cell r="F1361" t="str">
            <v xml:space="preserve">B </v>
          </cell>
          <cell r="G1361">
            <v>0</v>
          </cell>
          <cell r="H1361">
            <v>276</v>
          </cell>
          <cell r="I1361">
            <v>187269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3909399</v>
          </cell>
          <cell r="P1361">
            <v>0</v>
          </cell>
          <cell r="Q1361">
            <v>0</v>
          </cell>
          <cell r="R1361">
            <v>53930</v>
          </cell>
          <cell r="S1361">
            <v>0</v>
          </cell>
          <cell r="T1361">
            <v>1103179</v>
          </cell>
          <cell r="U1361">
            <v>968592</v>
          </cell>
          <cell r="V1361">
            <v>0</v>
          </cell>
          <cell r="W1361">
            <v>0</v>
          </cell>
          <cell r="X1361">
            <v>0</v>
          </cell>
          <cell r="Y1361">
            <v>228952</v>
          </cell>
          <cell r="Z1361">
            <v>3909399</v>
          </cell>
          <cell r="AA1361">
            <v>5295460</v>
          </cell>
          <cell r="AB1361" t="str">
            <v>EMVA</v>
          </cell>
          <cell r="AC1361">
            <v>1101</v>
          </cell>
          <cell r="AD1361">
            <v>2</v>
          </cell>
          <cell r="AE1361">
            <v>183803</v>
          </cell>
        </row>
        <row r="1362">
          <cell r="A1362" t="str">
            <v>SML</v>
          </cell>
          <cell r="B1362">
            <v>8</v>
          </cell>
          <cell r="C1362" t="str">
            <v>DMNT</v>
          </cell>
          <cell r="D1362">
            <v>81</v>
          </cell>
          <cell r="E1362">
            <v>3</v>
          </cell>
          <cell r="F1362" t="str">
            <v>A4</v>
          </cell>
          <cell r="G1362">
            <v>21</v>
          </cell>
          <cell r="H1362">
            <v>3</v>
          </cell>
          <cell r="I1362">
            <v>209907</v>
          </cell>
          <cell r="J1362">
            <v>14905</v>
          </cell>
          <cell r="K1362">
            <v>195002</v>
          </cell>
          <cell r="L1362">
            <v>1111</v>
          </cell>
          <cell r="M1362">
            <v>1036</v>
          </cell>
          <cell r="N1362">
            <v>0</v>
          </cell>
          <cell r="O1362">
            <v>2175435</v>
          </cell>
          <cell r="P1362">
            <v>870830</v>
          </cell>
          <cell r="Q1362">
            <v>22708</v>
          </cell>
          <cell r="R1362">
            <v>21472</v>
          </cell>
          <cell r="S1362">
            <v>0</v>
          </cell>
          <cell r="T1362">
            <v>0</v>
          </cell>
          <cell r="U1362">
            <v>767244</v>
          </cell>
          <cell r="V1362">
            <v>0</v>
          </cell>
          <cell r="W1362">
            <v>0</v>
          </cell>
          <cell r="X1362">
            <v>0</v>
          </cell>
          <cell r="Y1362">
            <v>3448</v>
          </cell>
          <cell r="Z1362">
            <v>3068973</v>
          </cell>
          <cell r="AA1362">
            <v>3093893</v>
          </cell>
          <cell r="AB1362" t="str">
            <v>EMVA</v>
          </cell>
          <cell r="AC1362">
            <v>1101</v>
          </cell>
          <cell r="AD1362">
            <v>2</v>
          </cell>
          <cell r="AE1362">
            <v>209907</v>
          </cell>
        </row>
        <row r="1363">
          <cell r="A1363" t="str">
            <v>SML</v>
          </cell>
          <cell r="B1363">
            <v>8</v>
          </cell>
          <cell r="C1363" t="str">
            <v>DMNT</v>
          </cell>
          <cell r="D1363">
            <v>81</v>
          </cell>
          <cell r="E1363">
            <v>3</v>
          </cell>
          <cell r="F1363" t="str">
            <v>A4</v>
          </cell>
          <cell r="G1363">
            <v>20</v>
          </cell>
          <cell r="H1363">
            <v>65</v>
          </cell>
          <cell r="I1363">
            <v>1291404</v>
          </cell>
          <cell r="J1363">
            <v>0</v>
          </cell>
          <cell r="K1363">
            <v>0</v>
          </cell>
          <cell r="L1363">
            <v>4971</v>
          </cell>
          <cell r="M1363">
            <v>0</v>
          </cell>
          <cell r="N1363">
            <v>0</v>
          </cell>
          <cell r="O1363">
            <v>14818426</v>
          </cell>
          <cell r="P1363">
            <v>3890637</v>
          </cell>
          <cell r="Q1363">
            <v>334832</v>
          </cell>
          <cell r="R1363">
            <v>173246</v>
          </cell>
          <cell r="S1363">
            <v>0</v>
          </cell>
          <cell r="T1363">
            <v>-14812</v>
          </cell>
          <cell r="U1363">
            <v>4800699</v>
          </cell>
          <cell r="V1363">
            <v>0</v>
          </cell>
          <cell r="W1363">
            <v>158882</v>
          </cell>
          <cell r="X1363">
            <v>0</v>
          </cell>
          <cell r="Y1363">
            <v>96222</v>
          </cell>
          <cell r="Z1363">
            <v>19202777</v>
          </cell>
          <cell r="AA1363">
            <v>19457433</v>
          </cell>
          <cell r="AB1363" t="str">
            <v>EMVA</v>
          </cell>
          <cell r="AC1363">
            <v>1101</v>
          </cell>
          <cell r="AD1363">
            <v>2</v>
          </cell>
          <cell r="AE1363">
            <v>1291404</v>
          </cell>
        </row>
        <row r="1364">
          <cell r="A1364" t="str">
            <v>SML</v>
          </cell>
          <cell r="B1364">
            <v>8</v>
          </cell>
          <cell r="C1364" t="str">
            <v>DMNT</v>
          </cell>
          <cell r="D1364">
            <v>81</v>
          </cell>
          <cell r="E1364">
            <v>3</v>
          </cell>
          <cell r="F1364" t="str">
            <v xml:space="preserve">B </v>
          </cell>
          <cell r="G1364">
            <v>0</v>
          </cell>
          <cell r="H1364">
            <v>3772</v>
          </cell>
          <cell r="I1364">
            <v>949309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19810540</v>
          </cell>
          <cell r="P1364">
            <v>0</v>
          </cell>
          <cell r="Q1364">
            <v>0</v>
          </cell>
          <cell r="R1364">
            <v>294642</v>
          </cell>
          <cell r="S1364">
            <v>979</v>
          </cell>
          <cell r="T1364">
            <v>1363530</v>
          </cell>
          <cell r="U1364">
            <v>4916325</v>
          </cell>
          <cell r="V1364">
            <v>0</v>
          </cell>
          <cell r="W1364">
            <v>0</v>
          </cell>
          <cell r="X1364">
            <v>72</v>
          </cell>
          <cell r="Y1364">
            <v>1954573</v>
          </cell>
          <cell r="Z1364">
            <v>19810540</v>
          </cell>
          <cell r="AA1364">
            <v>23424336</v>
          </cell>
          <cell r="AB1364" t="str">
            <v>EMVA</v>
          </cell>
          <cell r="AC1364">
            <v>1101</v>
          </cell>
          <cell r="AD1364">
            <v>2</v>
          </cell>
          <cell r="AE1364">
            <v>920452</v>
          </cell>
        </row>
        <row r="1365">
          <cell r="A1365" t="str">
            <v>SML</v>
          </cell>
          <cell r="B1365">
            <v>8</v>
          </cell>
          <cell r="C1365" t="str">
            <v>DMNT</v>
          </cell>
          <cell r="D1365">
            <v>81</v>
          </cell>
          <cell r="E1365">
            <v>4</v>
          </cell>
          <cell r="F1365" t="str">
            <v>A4</v>
          </cell>
          <cell r="G1365">
            <v>20</v>
          </cell>
          <cell r="H1365">
            <v>1</v>
          </cell>
          <cell r="I1365">
            <v>51</v>
          </cell>
          <cell r="J1365">
            <v>0</v>
          </cell>
          <cell r="K1365">
            <v>0</v>
          </cell>
          <cell r="L1365">
            <v>6</v>
          </cell>
          <cell r="M1365">
            <v>0</v>
          </cell>
          <cell r="N1365">
            <v>0</v>
          </cell>
          <cell r="O1365">
            <v>395</v>
          </cell>
          <cell r="P1365">
            <v>3168</v>
          </cell>
          <cell r="Q1365">
            <v>116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1056</v>
          </cell>
          <cell r="X1365">
            <v>0</v>
          </cell>
          <cell r="Y1365">
            <v>0</v>
          </cell>
          <cell r="Z1365">
            <v>4735</v>
          </cell>
          <cell r="AA1365">
            <v>4735</v>
          </cell>
          <cell r="AB1365" t="str">
            <v>EMVA</v>
          </cell>
          <cell r="AC1365">
            <v>1101</v>
          </cell>
          <cell r="AD1365">
            <v>2</v>
          </cell>
          <cell r="AE1365">
            <v>51</v>
          </cell>
        </row>
        <row r="1366">
          <cell r="A1366" t="str">
            <v>SML</v>
          </cell>
          <cell r="B1366">
            <v>8</v>
          </cell>
          <cell r="C1366" t="str">
            <v>DMNT</v>
          </cell>
          <cell r="D1366">
            <v>81</v>
          </cell>
          <cell r="E1366">
            <v>4</v>
          </cell>
          <cell r="F1366" t="str">
            <v xml:space="preserve">B </v>
          </cell>
          <cell r="G1366">
            <v>0</v>
          </cell>
          <cell r="H1366">
            <v>79</v>
          </cell>
          <cell r="I1366">
            <v>25039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249395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13003</v>
          </cell>
          <cell r="U1366">
            <v>0</v>
          </cell>
          <cell r="V1366">
            <v>4512</v>
          </cell>
          <cell r="W1366">
            <v>0</v>
          </cell>
          <cell r="X1366">
            <v>0</v>
          </cell>
          <cell r="Y1366">
            <v>0</v>
          </cell>
          <cell r="Z1366">
            <v>249395</v>
          </cell>
          <cell r="AA1366">
            <v>266910</v>
          </cell>
          <cell r="AB1366" t="str">
            <v>EMVA</v>
          </cell>
          <cell r="AC1366">
            <v>1101</v>
          </cell>
          <cell r="AD1366">
            <v>2</v>
          </cell>
          <cell r="AE1366">
            <v>24814</v>
          </cell>
        </row>
        <row r="1367">
          <cell r="A1367" t="str">
            <v>SML</v>
          </cell>
          <cell r="B1367">
            <v>8</v>
          </cell>
          <cell r="C1367" t="str">
            <v>DMNT</v>
          </cell>
          <cell r="D1367">
            <v>81</v>
          </cell>
          <cell r="E1367">
            <v>5</v>
          </cell>
          <cell r="F1367" t="str">
            <v>A4</v>
          </cell>
          <cell r="G1367">
            <v>22</v>
          </cell>
          <cell r="H1367">
            <v>1</v>
          </cell>
          <cell r="I1367">
            <v>331224</v>
          </cell>
          <cell r="J1367">
            <v>28642</v>
          </cell>
          <cell r="K1367">
            <v>302582</v>
          </cell>
          <cell r="L1367">
            <v>2093</v>
          </cell>
          <cell r="M1367">
            <v>1083</v>
          </cell>
          <cell r="N1367">
            <v>1010</v>
          </cell>
          <cell r="O1367">
            <v>1757181</v>
          </cell>
          <cell r="P1367">
            <v>2129524</v>
          </cell>
          <cell r="Q1367">
            <v>72330</v>
          </cell>
          <cell r="R1367">
            <v>131732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3959035</v>
          </cell>
          <cell r="AA1367">
            <v>4090767</v>
          </cell>
          <cell r="AB1367" t="str">
            <v>EMVA</v>
          </cell>
          <cell r="AC1367">
            <v>1101</v>
          </cell>
          <cell r="AD1367">
            <v>2</v>
          </cell>
          <cell r="AE1367">
            <v>331224</v>
          </cell>
        </row>
        <row r="1368">
          <cell r="A1368" t="str">
            <v>SML</v>
          </cell>
          <cell r="B1368">
            <v>8</v>
          </cell>
          <cell r="C1368" t="str">
            <v>DMNT</v>
          </cell>
          <cell r="D1368">
            <v>81</v>
          </cell>
          <cell r="E1368">
            <v>5</v>
          </cell>
          <cell r="F1368" t="str">
            <v>A4</v>
          </cell>
          <cell r="G1368">
            <v>20</v>
          </cell>
          <cell r="H1368">
            <v>18</v>
          </cell>
          <cell r="I1368">
            <v>166735</v>
          </cell>
          <cell r="J1368">
            <v>0</v>
          </cell>
          <cell r="K1368">
            <v>0</v>
          </cell>
          <cell r="L1368">
            <v>763</v>
          </cell>
          <cell r="M1368">
            <v>0</v>
          </cell>
          <cell r="N1368">
            <v>0</v>
          </cell>
          <cell r="O1368">
            <v>1752683</v>
          </cell>
          <cell r="P1368">
            <v>530842</v>
          </cell>
          <cell r="Q1368">
            <v>100077</v>
          </cell>
          <cell r="R1368">
            <v>11104</v>
          </cell>
          <cell r="S1368">
            <v>0</v>
          </cell>
          <cell r="T1368">
            <v>0</v>
          </cell>
          <cell r="U1368">
            <v>419731</v>
          </cell>
          <cell r="V1368">
            <v>0</v>
          </cell>
          <cell r="W1368">
            <v>27784</v>
          </cell>
          <cell r="X1368">
            <v>0</v>
          </cell>
          <cell r="Y1368">
            <v>0</v>
          </cell>
          <cell r="Z1368">
            <v>2411386</v>
          </cell>
          <cell r="AA1368">
            <v>2422490</v>
          </cell>
          <cell r="AB1368" t="str">
            <v>EMVA</v>
          </cell>
          <cell r="AC1368">
            <v>1101</v>
          </cell>
          <cell r="AD1368">
            <v>2</v>
          </cell>
          <cell r="AE1368">
            <v>166735</v>
          </cell>
        </row>
        <row r="1369">
          <cell r="A1369" t="str">
            <v>SML</v>
          </cell>
          <cell r="B1369">
            <v>8</v>
          </cell>
          <cell r="C1369" t="str">
            <v>DMNT</v>
          </cell>
          <cell r="D1369">
            <v>81</v>
          </cell>
          <cell r="E1369">
            <v>5</v>
          </cell>
          <cell r="F1369" t="str">
            <v xml:space="preserve">B </v>
          </cell>
          <cell r="G1369">
            <v>0</v>
          </cell>
          <cell r="H1369">
            <v>167</v>
          </cell>
          <cell r="I1369">
            <v>157596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2898474</v>
          </cell>
          <cell r="P1369">
            <v>0</v>
          </cell>
          <cell r="Q1369">
            <v>0</v>
          </cell>
          <cell r="R1369">
            <v>6915</v>
          </cell>
          <cell r="S1369">
            <v>0</v>
          </cell>
          <cell r="T1369">
            <v>0</v>
          </cell>
          <cell r="U1369">
            <v>437769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2898474</v>
          </cell>
          <cell r="AA1369">
            <v>2905389</v>
          </cell>
          <cell r="AB1369" t="str">
            <v>EMVA</v>
          </cell>
          <cell r="AC1369">
            <v>1101</v>
          </cell>
          <cell r="AD1369">
            <v>2</v>
          </cell>
          <cell r="AE1369">
            <v>157028</v>
          </cell>
        </row>
        <row r="1370">
          <cell r="A1370" t="str">
            <v>SML</v>
          </cell>
          <cell r="B1370">
            <v>8</v>
          </cell>
          <cell r="C1370" t="str">
            <v>DMNT</v>
          </cell>
          <cell r="D1370">
            <v>81</v>
          </cell>
          <cell r="E1370">
            <v>6</v>
          </cell>
          <cell r="F1370" t="str">
            <v xml:space="preserve">B </v>
          </cell>
          <cell r="G1370">
            <v>0</v>
          </cell>
          <cell r="H1370">
            <v>1</v>
          </cell>
          <cell r="I1370">
            <v>1591530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18737609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4684402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18737609</v>
          </cell>
          <cell r="AA1370">
            <v>18737609</v>
          </cell>
          <cell r="AB1370" t="str">
            <v>EMVA</v>
          </cell>
          <cell r="AC1370">
            <v>1101</v>
          </cell>
          <cell r="AD1370">
            <v>2</v>
          </cell>
          <cell r="AE1370">
            <v>1591530</v>
          </cell>
        </row>
        <row r="1371">
          <cell r="A1371" t="str">
            <v>SML</v>
          </cell>
          <cell r="B1371">
            <v>8</v>
          </cell>
          <cell r="C1371" t="str">
            <v>DMNT</v>
          </cell>
          <cell r="D1371">
            <v>81</v>
          </cell>
          <cell r="E1371">
            <v>7</v>
          </cell>
          <cell r="F1371" t="str">
            <v>A4</v>
          </cell>
          <cell r="G1371">
            <v>22</v>
          </cell>
          <cell r="H1371">
            <v>1</v>
          </cell>
          <cell r="I1371">
            <v>355038</v>
          </cell>
          <cell r="J1371">
            <v>23770</v>
          </cell>
          <cell r="K1371">
            <v>331268</v>
          </cell>
          <cell r="L1371">
            <v>1040</v>
          </cell>
          <cell r="M1371">
            <v>600</v>
          </cell>
          <cell r="N1371">
            <v>440</v>
          </cell>
          <cell r="O1371">
            <v>2092400</v>
          </cell>
          <cell r="P1371">
            <v>1126400</v>
          </cell>
          <cell r="Q1371">
            <v>129433</v>
          </cell>
          <cell r="R1371">
            <v>0</v>
          </cell>
          <cell r="S1371">
            <v>0</v>
          </cell>
          <cell r="T1371">
            <v>0</v>
          </cell>
          <cell r="U1371">
            <v>837058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3348233</v>
          </cell>
          <cell r="AA1371">
            <v>3348233</v>
          </cell>
          <cell r="AB1371" t="str">
            <v>EMVA</v>
          </cell>
          <cell r="AC1371">
            <v>1101</v>
          </cell>
          <cell r="AD1371">
            <v>2</v>
          </cell>
          <cell r="AE1371">
            <v>355038</v>
          </cell>
        </row>
        <row r="1372">
          <cell r="A1372" t="str">
            <v>SML</v>
          </cell>
          <cell r="B1372">
            <v>8</v>
          </cell>
          <cell r="C1372" t="str">
            <v>DMNT</v>
          </cell>
          <cell r="D1372">
            <v>81</v>
          </cell>
          <cell r="E1372">
            <v>7</v>
          </cell>
          <cell r="F1372" t="str">
            <v>A4</v>
          </cell>
          <cell r="G1372">
            <v>20</v>
          </cell>
          <cell r="H1372">
            <v>27</v>
          </cell>
          <cell r="I1372">
            <v>499813</v>
          </cell>
          <cell r="J1372">
            <v>0</v>
          </cell>
          <cell r="K1372">
            <v>0</v>
          </cell>
          <cell r="L1372">
            <v>1242</v>
          </cell>
          <cell r="M1372">
            <v>0</v>
          </cell>
          <cell r="N1372">
            <v>0</v>
          </cell>
          <cell r="O1372">
            <v>4874841</v>
          </cell>
          <cell r="P1372">
            <v>825290</v>
          </cell>
          <cell r="Q1372">
            <v>152016</v>
          </cell>
          <cell r="R1372">
            <v>0</v>
          </cell>
          <cell r="S1372">
            <v>0</v>
          </cell>
          <cell r="T1372">
            <v>0</v>
          </cell>
          <cell r="U1372">
            <v>1470507</v>
          </cell>
          <cell r="V1372">
            <v>0</v>
          </cell>
          <cell r="W1372">
            <v>29880</v>
          </cell>
          <cell r="X1372">
            <v>0</v>
          </cell>
          <cell r="Y1372">
            <v>0</v>
          </cell>
          <cell r="Z1372">
            <v>5882027</v>
          </cell>
          <cell r="AA1372">
            <v>5882027</v>
          </cell>
          <cell r="AB1372" t="str">
            <v>EMVA</v>
          </cell>
          <cell r="AC1372">
            <v>1101</v>
          </cell>
          <cell r="AD1372">
            <v>2</v>
          </cell>
          <cell r="AE1372">
            <v>499813</v>
          </cell>
        </row>
        <row r="1373">
          <cell r="A1373" t="str">
            <v>SML</v>
          </cell>
          <cell r="B1373">
            <v>8</v>
          </cell>
          <cell r="C1373" t="str">
            <v>DMNT</v>
          </cell>
          <cell r="D1373">
            <v>81</v>
          </cell>
          <cell r="E1373">
            <v>7</v>
          </cell>
          <cell r="F1373" t="str">
            <v xml:space="preserve">B </v>
          </cell>
          <cell r="G1373">
            <v>0</v>
          </cell>
          <cell r="H1373">
            <v>6</v>
          </cell>
          <cell r="I1373">
            <v>6553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115952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28988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115952</v>
          </cell>
          <cell r="AA1373">
            <v>115952</v>
          </cell>
          <cell r="AB1373" t="str">
            <v>EMVA</v>
          </cell>
          <cell r="AC1373">
            <v>1101</v>
          </cell>
          <cell r="AD1373">
            <v>2</v>
          </cell>
          <cell r="AE1373">
            <v>6517</v>
          </cell>
        </row>
        <row r="1374">
          <cell r="A1374" t="str">
            <v>SML</v>
          </cell>
          <cell r="B1374">
            <v>8</v>
          </cell>
          <cell r="C1374" t="str">
            <v>DMNT</v>
          </cell>
          <cell r="D1374">
            <v>81</v>
          </cell>
          <cell r="E1374">
            <v>8</v>
          </cell>
          <cell r="F1374" t="str">
            <v>A4</v>
          </cell>
          <cell r="G1374">
            <v>20</v>
          </cell>
          <cell r="H1374">
            <v>1</v>
          </cell>
          <cell r="I1374">
            <v>3024</v>
          </cell>
          <cell r="J1374">
            <v>0</v>
          </cell>
          <cell r="K1374">
            <v>0</v>
          </cell>
          <cell r="L1374">
            <v>3</v>
          </cell>
          <cell r="M1374">
            <v>0</v>
          </cell>
          <cell r="N1374">
            <v>0</v>
          </cell>
          <cell r="O1374">
            <v>34700</v>
          </cell>
          <cell r="P1374">
            <v>2348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9262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37048</v>
          </cell>
          <cell r="AA1374">
            <v>37048</v>
          </cell>
          <cell r="AB1374" t="str">
            <v>EMVA</v>
          </cell>
          <cell r="AC1374">
            <v>1101</v>
          </cell>
          <cell r="AD1374">
            <v>2</v>
          </cell>
          <cell r="AE1374">
            <v>3024</v>
          </cell>
        </row>
        <row r="1375">
          <cell r="A1375" t="str">
            <v>SML</v>
          </cell>
          <cell r="B1375">
            <v>8</v>
          </cell>
          <cell r="C1375" t="str">
            <v>DMNT</v>
          </cell>
          <cell r="D1375">
            <v>81</v>
          </cell>
          <cell r="E1375">
            <v>8</v>
          </cell>
          <cell r="F1375" t="str">
            <v xml:space="preserve">B </v>
          </cell>
          <cell r="G1375">
            <v>0</v>
          </cell>
          <cell r="H1375">
            <v>2</v>
          </cell>
          <cell r="I1375">
            <v>6130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127618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31904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127618</v>
          </cell>
          <cell r="AA1375">
            <v>127618</v>
          </cell>
          <cell r="AB1375" t="str">
            <v>EMVA</v>
          </cell>
          <cell r="AC1375">
            <v>1101</v>
          </cell>
          <cell r="AD1375">
            <v>2</v>
          </cell>
          <cell r="AE1375">
            <v>6130</v>
          </cell>
        </row>
        <row r="1376">
          <cell r="A1376" t="str">
            <v>SML</v>
          </cell>
          <cell r="B1376">
            <v>8</v>
          </cell>
          <cell r="C1376" t="str">
            <v>DMNT</v>
          </cell>
          <cell r="D1376">
            <v>82</v>
          </cell>
          <cell r="E1376">
            <v>1</v>
          </cell>
          <cell r="F1376" t="str">
            <v xml:space="preserve">B </v>
          </cell>
          <cell r="G1376">
            <v>1</v>
          </cell>
          <cell r="H1376">
            <v>4190</v>
          </cell>
          <cell r="I1376">
            <v>104098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1680504</v>
          </cell>
          <cell r="P1376">
            <v>0</v>
          </cell>
          <cell r="Q1376">
            <v>0</v>
          </cell>
          <cell r="R1376">
            <v>47406</v>
          </cell>
          <cell r="S1376">
            <v>0</v>
          </cell>
          <cell r="T1376">
            <v>1433808</v>
          </cell>
          <cell r="U1376">
            <v>165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1680504</v>
          </cell>
          <cell r="AA1376">
            <v>3161718</v>
          </cell>
          <cell r="AB1376" t="str">
            <v>EMCC</v>
          </cell>
          <cell r="AC1376">
            <v>1101</v>
          </cell>
          <cell r="AD1376">
            <v>2</v>
          </cell>
          <cell r="AE1376">
            <v>46031</v>
          </cell>
        </row>
        <row r="1377">
          <cell r="A1377" t="str">
            <v>SML</v>
          </cell>
          <cell r="B1377">
            <v>8</v>
          </cell>
          <cell r="C1377" t="str">
            <v>DMNT</v>
          </cell>
          <cell r="D1377">
            <v>82</v>
          </cell>
          <cell r="E1377">
            <v>1</v>
          </cell>
          <cell r="F1377" t="str">
            <v xml:space="preserve">B </v>
          </cell>
          <cell r="G1377">
            <v>2</v>
          </cell>
          <cell r="H1377">
            <v>1857</v>
          </cell>
          <cell r="I1377">
            <v>77524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1498984</v>
          </cell>
          <cell r="P1377">
            <v>0</v>
          </cell>
          <cell r="Q1377">
            <v>0</v>
          </cell>
          <cell r="R1377">
            <v>25748</v>
          </cell>
          <cell r="S1377">
            <v>0</v>
          </cell>
          <cell r="T1377">
            <v>289164</v>
          </cell>
          <cell r="U1377">
            <v>254781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1498984</v>
          </cell>
          <cell r="AA1377">
            <v>1813896</v>
          </cell>
          <cell r="AB1377" t="str">
            <v>EMCC</v>
          </cell>
          <cell r="AC1377">
            <v>1101</v>
          </cell>
          <cell r="AD1377">
            <v>2</v>
          </cell>
          <cell r="AE1377">
            <v>77374</v>
          </cell>
        </row>
        <row r="1378">
          <cell r="A1378" t="str">
            <v>SML</v>
          </cell>
          <cell r="B1378">
            <v>8</v>
          </cell>
          <cell r="C1378" t="str">
            <v>DMNT</v>
          </cell>
          <cell r="D1378">
            <v>82</v>
          </cell>
          <cell r="E1378">
            <v>1</v>
          </cell>
          <cell r="F1378" t="str">
            <v xml:space="preserve">B </v>
          </cell>
          <cell r="G1378">
            <v>3</v>
          </cell>
          <cell r="H1378">
            <v>9023</v>
          </cell>
          <cell r="I1378">
            <v>699381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13546511</v>
          </cell>
          <cell r="P1378">
            <v>0</v>
          </cell>
          <cell r="Q1378">
            <v>0</v>
          </cell>
          <cell r="R1378">
            <v>141362</v>
          </cell>
          <cell r="S1378">
            <v>0</v>
          </cell>
          <cell r="T1378">
            <v>926488</v>
          </cell>
          <cell r="U1378">
            <v>2302962</v>
          </cell>
          <cell r="V1378">
            <v>0</v>
          </cell>
          <cell r="W1378">
            <v>0</v>
          </cell>
          <cell r="X1378">
            <v>0</v>
          </cell>
          <cell r="Y1378">
            <v>1587248</v>
          </cell>
          <cell r="Z1378">
            <v>13546511</v>
          </cell>
          <cell r="AA1378">
            <v>16201609</v>
          </cell>
          <cell r="AB1378" t="str">
            <v>EMCC</v>
          </cell>
          <cell r="AC1378">
            <v>1101</v>
          </cell>
          <cell r="AD1378">
            <v>2</v>
          </cell>
          <cell r="AE1378">
            <v>691266</v>
          </cell>
        </row>
        <row r="1379">
          <cell r="A1379" t="str">
            <v>SML</v>
          </cell>
          <cell r="B1379">
            <v>8</v>
          </cell>
          <cell r="C1379" t="str">
            <v>DMNT</v>
          </cell>
          <cell r="D1379">
            <v>82</v>
          </cell>
          <cell r="E1379">
            <v>1</v>
          </cell>
          <cell r="F1379" t="str">
            <v xml:space="preserve">B </v>
          </cell>
          <cell r="G1379">
            <v>4</v>
          </cell>
          <cell r="H1379">
            <v>7368</v>
          </cell>
          <cell r="I1379">
            <v>911023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17651378</v>
          </cell>
          <cell r="P1379">
            <v>0</v>
          </cell>
          <cell r="Q1379">
            <v>0</v>
          </cell>
          <cell r="R1379">
            <v>195401</v>
          </cell>
          <cell r="S1379">
            <v>0</v>
          </cell>
          <cell r="T1379">
            <v>926907</v>
          </cell>
          <cell r="U1379">
            <v>3000765</v>
          </cell>
          <cell r="V1379">
            <v>0</v>
          </cell>
          <cell r="W1379">
            <v>0</v>
          </cell>
          <cell r="X1379">
            <v>0</v>
          </cell>
          <cell r="Y1379">
            <v>2335488</v>
          </cell>
          <cell r="Z1379">
            <v>17651378</v>
          </cell>
          <cell r="AA1379">
            <v>21109174</v>
          </cell>
          <cell r="AB1379" t="str">
            <v>EMCC</v>
          </cell>
          <cell r="AC1379">
            <v>1101</v>
          </cell>
          <cell r="AD1379">
            <v>2</v>
          </cell>
          <cell r="AE1379">
            <v>911023</v>
          </cell>
        </row>
        <row r="1380">
          <cell r="A1380" t="str">
            <v>SML</v>
          </cell>
          <cell r="B1380">
            <v>8</v>
          </cell>
          <cell r="C1380" t="str">
            <v>DMNT</v>
          </cell>
          <cell r="D1380">
            <v>82</v>
          </cell>
          <cell r="E1380">
            <v>1</v>
          </cell>
          <cell r="F1380" t="str">
            <v xml:space="preserve">B </v>
          </cell>
          <cell r="G1380">
            <v>5</v>
          </cell>
          <cell r="H1380">
            <v>4770</v>
          </cell>
          <cell r="I1380">
            <v>829207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16069012</v>
          </cell>
          <cell r="P1380">
            <v>0</v>
          </cell>
          <cell r="Q1380">
            <v>0</v>
          </cell>
          <cell r="R1380">
            <v>183537</v>
          </cell>
          <cell r="S1380">
            <v>0</v>
          </cell>
          <cell r="T1380">
            <v>776501</v>
          </cell>
          <cell r="U1380">
            <v>2731871</v>
          </cell>
          <cell r="V1380">
            <v>0</v>
          </cell>
          <cell r="W1380">
            <v>0</v>
          </cell>
          <cell r="X1380">
            <v>0</v>
          </cell>
          <cell r="Y1380">
            <v>1905704</v>
          </cell>
          <cell r="Z1380">
            <v>16069012</v>
          </cell>
          <cell r="AA1380">
            <v>18934754</v>
          </cell>
          <cell r="AB1380" t="str">
            <v>EMCC</v>
          </cell>
          <cell r="AC1380">
            <v>1101</v>
          </cell>
          <cell r="AD1380">
            <v>2</v>
          </cell>
          <cell r="AE1380">
            <v>829207</v>
          </cell>
        </row>
        <row r="1381">
          <cell r="A1381" t="str">
            <v>SML</v>
          </cell>
          <cell r="B1381">
            <v>8</v>
          </cell>
          <cell r="C1381" t="str">
            <v>DMNT</v>
          </cell>
          <cell r="D1381">
            <v>82</v>
          </cell>
          <cell r="E1381">
            <v>1</v>
          </cell>
          <cell r="F1381" t="str">
            <v xml:space="preserve">B </v>
          </cell>
          <cell r="G1381">
            <v>6</v>
          </cell>
          <cell r="H1381">
            <v>4380</v>
          </cell>
          <cell r="I1381">
            <v>1062936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20594140</v>
          </cell>
          <cell r="P1381">
            <v>0</v>
          </cell>
          <cell r="Q1381">
            <v>0</v>
          </cell>
          <cell r="R1381">
            <v>224395</v>
          </cell>
          <cell r="S1381">
            <v>0</v>
          </cell>
          <cell r="T1381">
            <v>587440</v>
          </cell>
          <cell r="U1381">
            <v>3501681</v>
          </cell>
          <cell r="V1381">
            <v>0</v>
          </cell>
          <cell r="W1381">
            <v>0</v>
          </cell>
          <cell r="X1381">
            <v>0</v>
          </cell>
          <cell r="Y1381">
            <v>1784660</v>
          </cell>
          <cell r="Z1381">
            <v>20594140</v>
          </cell>
          <cell r="AA1381">
            <v>23190635</v>
          </cell>
          <cell r="AB1381" t="str">
            <v>EMCC</v>
          </cell>
          <cell r="AC1381">
            <v>1101</v>
          </cell>
          <cell r="AD1381">
            <v>2</v>
          </cell>
          <cell r="AE1381">
            <v>1062936</v>
          </cell>
        </row>
        <row r="1382">
          <cell r="A1382" t="str">
            <v>SML</v>
          </cell>
          <cell r="B1382">
            <v>8</v>
          </cell>
          <cell r="C1382" t="str">
            <v>DMNT</v>
          </cell>
          <cell r="D1382">
            <v>82</v>
          </cell>
          <cell r="E1382">
            <v>1</v>
          </cell>
          <cell r="F1382" t="str">
            <v xml:space="preserve">B </v>
          </cell>
          <cell r="G1382">
            <v>7</v>
          </cell>
          <cell r="H1382">
            <v>1737</v>
          </cell>
          <cell r="I1382">
            <v>598023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12023350</v>
          </cell>
          <cell r="P1382">
            <v>0</v>
          </cell>
          <cell r="Q1382">
            <v>0</v>
          </cell>
          <cell r="R1382">
            <v>109774</v>
          </cell>
          <cell r="S1382">
            <v>0</v>
          </cell>
          <cell r="T1382">
            <v>277465</v>
          </cell>
          <cell r="U1382">
            <v>2405160</v>
          </cell>
          <cell r="V1382">
            <v>0</v>
          </cell>
          <cell r="W1382">
            <v>0</v>
          </cell>
          <cell r="X1382">
            <v>0</v>
          </cell>
          <cell r="Y1382">
            <v>1258520</v>
          </cell>
          <cell r="Z1382">
            <v>12023350</v>
          </cell>
          <cell r="AA1382">
            <v>13669109</v>
          </cell>
          <cell r="AB1382" t="str">
            <v>EMCC</v>
          </cell>
          <cell r="AC1382">
            <v>1101</v>
          </cell>
          <cell r="AD1382">
            <v>2</v>
          </cell>
          <cell r="AE1382">
            <v>598023</v>
          </cell>
        </row>
        <row r="1383">
          <cell r="A1383" t="str">
            <v>SML</v>
          </cell>
          <cell r="B1383">
            <v>8</v>
          </cell>
          <cell r="C1383" t="str">
            <v>DMNT</v>
          </cell>
          <cell r="D1383">
            <v>82</v>
          </cell>
          <cell r="E1383">
            <v>1</v>
          </cell>
          <cell r="F1383" t="str">
            <v xml:space="preserve">B </v>
          </cell>
          <cell r="G1383">
            <v>8</v>
          </cell>
          <cell r="H1383">
            <v>806</v>
          </cell>
          <cell r="I1383">
            <v>357746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7191847</v>
          </cell>
          <cell r="P1383">
            <v>0</v>
          </cell>
          <cell r="Q1383">
            <v>0</v>
          </cell>
          <cell r="R1383">
            <v>64245</v>
          </cell>
          <cell r="S1383">
            <v>0</v>
          </cell>
          <cell r="T1383">
            <v>127373</v>
          </cell>
          <cell r="U1383">
            <v>1438568</v>
          </cell>
          <cell r="V1383">
            <v>0</v>
          </cell>
          <cell r="W1383">
            <v>0</v>
          </cell>
          <cell r="X1383">
            <v>0</v>
          </cell>
          <cell r="Y1383">
            <v>585298</v>
          </cell>
          <cell r="Z1383">
            <v>7191847</v>
          </cell>
          <cell r="AA1383">
            <v>7968763</v>
          </cell>
          <cell r="AB1383" t="str">
            <v>EMCC</v>
          </cell>
          <cell r="AC1383">
            <v>1101</v>
          </cell>
          <cell r="AD1383">
            <v>2</v>
          </cell>
          <cell r="AE1383">
            <v>357746</v>
          </cell>
        </row>
        <row r="1384">
          <cell r="A1384" t="str">
            <v>SML</v>
          </cell>
          <cell r="B1384">
            <v>8</v>
          </cell>
          <cell r="C1384" t="str">
            <v>DMNT</v>
          </cell>
          <cell r="D1384">
            <v>82</v>
          </cell>
          <cell r="E1384">
            <v>1</v>
          </cell>
          <cell r="F1384" t="str">
            <v xml:space="preserve">B </v>
          </cell>
          <cell r="G1384">
            <v>9</v>
          </cell>
          <cell r="H1384">
            <v>821</v>
          </cell>
          <cell r="I1384">
            <v>524475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11234944</v>
          </cell>
          <cell r="P1384">
            <v>0</v>
          </cell>
          <cell r="Q1384">
            <v>0</v>
          </cell>
          <cell r="R1384">
            <v>86488</v>
          </cell>
          <cell r="S1384">
            <v>0</v>
          </cell>
          <cell r="T1384">
            <v>231092</v>
          </cell>
          <cell r="U1384">
            <v>2809001</v>
          </cell>
          <cell r="V1384">
            <v>0</v>
          </cell>
          <cell r="W1384">
            <v>0</v>
          </cell>
          <cell r="X1384">
            <v>0</v>
          </cell>
          <cell r="Y1384">
            <v>620899</v>
          </cell>
          <cell r="Z1384">
            <v>11234944</v>
          </cell>
          <cell r="AA1384">
            <v>12173423</v>
          </cell>
          <cell r="AB1384" t="str">
            <v>EMCC</v>
          </cell>
          <cell r="AC1384">
            <v>1101</v>
          </cell>
          <cell r="AD1384">
            <v>2</v>
          </cell>
          <cell r="AE1384">
            <v>524475</v>
          </cell>
        </row>
        <row r="1385">
          <cell r="A1385" t="str">
            <v>SML</v>
          </cell>
          <cell r="B1385">
            <v>8</v>
          </cell>
          <cell r="C1385" t="str">
            <v>DMNT</v>
          </cell>
          <cell r="D1385">
            <v>82</v>
          </cell>
          <cell r="E1385">
            <v>1</v>
          </cell>
          <cell r="F1385" t="str">
            <v xml:space="preserve">B </v>
          </cell>
          <cell r="G1385">
            <v>10</v>
          </cell>
          <cell r="H1385">
            <v>93</v>
          </cell>
          <cell r="I1385">
            <v>128787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2731934</v>
          </cell>
          <cell r="P1385">
            <v>0</v>
          </cell>
          <cell r="Q1385">
            <v>0</v>
          </cell>
          <cell r="R1385">
            <v>17092</v>
          </cell>
          <cell r="S1385">
            <v>0</v>
          </cell>
          <cell r="T1385">
            <v>28472</v>
          </cell>
          <cell r="U1385">
            <v>682991</v>
          </cell>
          <cell r="V1385">
            <v>0</v>
          </cell>
          <cell r="W1385">
            <v>0</v>
          </cell>
          <cell r="X1385">
            <v>0</v>
          </cell>
          <cell r="Y1385">
            <v>62926</v>
          </cell>
          <cell r="Z1385">
            <v>2731934</v>
          </cell>
          <cell r="AA1385">
            <v>2840424</v>
          </cell>
          <cell r="AB1385" t="str">
            <v>EMCC</v>
          </cell>
          <cell r="AC1385">
            <v>1101</v>
          </cell>
          <cell r="AD1385">
            <v>2</v>
          </cell>
          <cell r="AE1385">
            <v>128787</v>
          </cell>
        </row>
        <row r="1386">
          <cell r="A1386" t="str">
            <v>SML</v>
          </cell>
          <cell r="B1386">
            <v>8</v>
          </cell>
          <cell r="C1386" t="str">
            <v>DMNT</v>
          </cell>
          <cell r="D1386">
            <v>82</v>
          </cell>
          <cell r="E1386">
            <v>1</v>
          </cell>
          <cell r="F1386" t="str">
            <v xml:space="preserve">B </v>
          </cell>
          <cell r="G1386">
            <v>11</v>
          </cell>
          <cell r="H1386">
            <v>1107</v>
          </cell>
          <cell r="I1386">
            <v>28128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158636</v>
          </cell>
          <cell r="P1386">
            <v>0</v>
          </cell>
          <cell r="Q1386">
            <v>0</v>
          </cell>
          <cell r="R1386">
            <v>13137</v>
          </cell>
          <cell r="S1386">
            <v>0</v>
          </cell>
          <cell r="T1386">
            <v>62890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158636</v>
          </cell>
          <cell r="AA1386">
            <v>234663</v>
          </cell>
          <cell r="AB1386" t="str">
            <v>EMCC</v>
          </cell>
          <cell r="AC1386">
            <v>1101</v>
          </cell>
          <cell r="AD1386">
            <v>2</v>
          </cell>
          <cell r="AE1386">
            <v>15460</v>
          </cell>
        </row>
        <row r="1387">
          <cell r="A1387" t="str">
            <v>SML</v>
          </cell>
          <cell r="B1387">
            <v>8</v>
          </cell>
          <cell r="C1387" t="str">
            <v>DMNT</v>
          </cell>
          <cell r="D1387">
            <v>82</v>
          </cell>
          <cell r="E1387">
            <v>1</v>
          </cell>
          <cell r="F1387" t="str">
            <v xml:space="preserve">B </v>
          </cell>
          <cell r="G1387">
            <v>12</v>
          </cell>
          <cell r="H1387">
            <v>1566</v>
          </cell>
          <cell r="I1387">
            <v>101560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1029939</v>
          </cell>
          <cell r="P1387">
            <v>0</v>
          </cell>
          <cell r="Q1387">
            <v>0</v>
          </cell>
          <cell r="R1387">
            <v>44555</v>
          </cell>
          <cell r="S1387">
            <v>0</v>
          </cell>
          <cell r="T1387">
            <v>69390</v>
          </cell>
          <cell r="U1387">
            <v>175139</v>
          </cell>
          <cell r="V1387">
            <v>0</v>
          </cell>
          <cell r="W1387">
            <v>0</v>
          </cell>
          <cell r="X1387">
            <v>0</v>
          </cell>
          <cell r="Y1387">
            <v>196768</v>
          </cell>
          <cell r="Z1387">
            <v>1029939</v>
          </cell>
          <cell r="AA1387">
            <v>1340652</v>
          </cell>
          <cell r="AB1387" t="str">
            <v>EMCC</v>
          </cell>
          <cell r="AC1387">
            <v>1101</v>
          </cell>
          <cell r="AD1387">
            <v>2</v>
          </cell>
          <cell r="AE1387">
            <v>101560</v>
          </cell>
        </row>
        <row r="1388">
          <cell r="A1388" t="str">
            <v>SML</v>
          </cell>
          <cell r="B1388">
            <v>8</v>
          </cell>
          <cell r="C1388" t="str">
            <v>DMNT</v>
          </cell>
          <cell r="D1388">
            <v>82</v>
          </cell>
          <cell r="E1388">
            <v>1</v>
          </cell>
          <cell r="F1388" t="str">
            <v xml:space="preserve">B </v>
          </cell>
          <cell r="G1388">
            <v>13</v>
          </cell>
          <cell r="H1388">
            <v>379</v>
          </cell>
          <cell r="I1388">
            <v>44686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625898</v>
          </cell>
          <cell r="P1388">
            <v>0</v>
          </cell>
          <cell r="Q1388">
            <v>0</v>
          </cell>
          <cell r="R1388">
            <v>9279</v>
          </cell>
          <cell r="S1388">
            <v>0</v>
          </cell>
          <cell r="T1388">
            <v>25284</v>
          </cell>
          <cell r="U1388">
            <v>106411</v>
          </cell>
          <cell r="V1388">
            <v>0</v>
          </cell>
          <cell r="W1388">
            <v>0</v>
          </cell>
          <cell r="X1388">
            <v>0</v>
          </cell>
          <cell r="Y1388">
            <v>123648</v>
          </cell>
          <cell r="Z1388">
            <v>625898</v>
          </cell>
          <cell r="AA1388">
            <v>784109</v>
          </cell>
          <cell r="AB1388" t="str">
            <v>EMCC</v>
          </cell>
          <cell r="AC1388">
            <v>1101</v>
          </cell>
          <cell r="AD1388">
            <v>2</v>
          </cell>
          <cell r="AE1388">
            <v>44686</v>
          </cell>
        </row>
        <row r="1389">
          <cell r="A1389" t="str">
            <v>SML</v>
          </cell>
          <cell r="B1389">
            <v>8</v>
          </cell>
          <cell r="C1389" t="str">
            <v>DMNT</v>
          </cell>
          <cell r="D1389">
            <v>82</v>
          </cell>
          <cell r="E1389">
            <v>1</v>
          </cell>
          <cell r="F1389" t="str">
            <v xml:space="preserve">B </v>
          </cell>
          <cell r="G1389">
            <v>14</v>
          </cell>
          <cell r="H1389">
            <v>36</v>
          </cell>
          <cell r="I1389">
            <v>5573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71112</v>
          </cell>
          <cell r="P1389">
            <v>0</v>
          </cell>
          <cell r="Q1389">
            <v>0</v>
          </cell>
          <cell r="R1389">
            <v>864</v>
          </cell>
          <cell r="S1389">
            <v>0</v>
          </cell>
          <cell r="T1389">
            <v>7493</v>
          </cell>
          <cell r="U1389">
            <v>12090</v>
          </cell>
          <cell r="V1389">
            <v>0</v>
          </cell>
          <cell r="W1389">
            <v>0</v>
          </cell>
          <cell r="X1389">
            <v>0</v>
          </cell>
          <cell r="Y1389">
            <v>12771</v>
          </cell>
          <cell r="Z1389">
            <v>71112</v>
          </cell>
          <cell r="AA1389">
            <v>92240</v>
          </cell>
          <cell r="AB1389" t="str">
            <v>EMCC</v>
          </cell>
          <cell r="AC1389">
            <v>1101</v>
          </cell>
          <cell r="AD1389">
            <v>2</v>
          </cell>
          <cell r="AE1389">
            <v>5573</v>
          </cell>
        </row>
        <row r="1390">
          <cell r="A1390" t="str">
            <v>SML</v>
          </cell>
          <cell r="B1390">
            <v>8</v>
          </cell>
          <cell r="C1390" t="str">
            <v>DMNT</v>
          </cell>
          <cell r="D1390">
            <v>82</v>
          </cell>
          <cell r="E1390">
            <v>1</v>
          </cell>
          <cell r="F1390" t="str">
            <v xml:space="preserve">B </v>
          </cell>
          <cell r="G1390">
            <v>15</v>
          </cell>
          <cell r="H1390">
            <v>58</v>
          </cell>
          <cell r="I1390">
            <v>13536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208728</v>
          </cell>
          <cell r="P1390">
            <v>0</v>
          </cell>
          <cell r="Q1390">
            <v>0</v>
          </cell>
          <cell r="R1390">
            <v>2171</v>
          </cell>
          <cell r="S1390">
            <v>0</v>
          </cell>
          <cell r="T1390">
            <v>830</v>
          </cell>
          <cell r="U1390">
            <v>38137</v>
          </cell>
          <cell r="V1390">
            <v>0</v>
          </cell>
          <cell r="W1390">
            <v>0</v>
          </cell>
          <cell r="X1390">
            <v>0</v>
          </cell>
          <cell r="Y1390">
            <v>28219</v>
          </cell>
          <cell r="Z1390">
            <v>208728</v>
          </cell>
          <cell r="AA1390">
            <v>239948</v>
          </cell>
          <cell r="AB1390" t="str">
            <v>EMCC</v>
          </cell>
          <cell r="AC1390">
            <v>1101</v>
          </cell>
          <cell r="AD1390">
            <v>2</v>
          </cell>
          <cell r="AE1390">
            <v>13536</v>
          </cell>
        </row>
        <row r="1391">
          <cell r="A1391" t="str">
            <v>SML</v>
          </cell>
          <cell r="B1391">
            <v>8</v>
          </cell>
          <cell r="C1391" t="str">
            <v>DMNT</v>
          </cell>
          <cell r="D1391">
            <v>82</v>
          </cell>
          <cell r="E1391">
            <v>2</v>
          </cell>
          <cell r="F1391" t="str">
            <v>A4</v>
          </cell>
          <cell r="G1391">
            <v>20</v>
          </cell>
          <cell r="H1391">
            <v>6</v>
          </cell>
          <cell r="I1391">
            <v>54838</v>
          </cell>
          <cell r="J1391">
            <v>0</v>
          </cell>
          <cell r="K1391">
            <v>0</v>
          </cell>
          <cell r="L1391">
            <v>258</v>
          </cell>
          <cell r="M1391">
            <v>0</v>
          </cell>
          <cell r="N1391">
            <v>0</v>
          </cell>
          <cell r="O1391">
            <v>629249</v>
          </cell>
          <cell r="P1391">
            <v>201927</v>
          </cell>
          <cell r="Q1391">
            <v>1595</v>
          </cell>
          <cell r="R1391">
            <v>270</v>
          </cell>
          <cell r="S1391">
            <v>0</v>
          </cell>
          <cell r="T1391">
            <v>0</v>
          </cell>
          <cell r="U1391">
            <v>208388</v>
          </cell>
          <cell r="V1391">
            <v>0</v>
          </cell>
          <cell r="W1391">
            <v>783</v>
          </cell>
          <cell r="X1391">
            <v>0</v>
          </cell>
          <cell r="Y1391">
            <v>9606</v>
          </cell>
          <cell r="Z1391">
            <v>833554</v>
          </cell>
          <cell r="AA1391">
            <v>843430</v>
          </cell>
          <cell r="AB1391" t="str">
            <v>EMCC</v>
          </cell>
          <cell r="AC1391">
            <v>1101</v>
          </cell>
          <cell r="AD1391">
            <v>2</v>
          </cell>
          <cell r="AE1391">
            <v>54838</v>
          </cell>
        </row>
        <row r="1392">
          <cell r="A1392" t="str">
            <v>SML</v>
          </cell>
          <cell r="B1392">
            <v>8</v>
          </cell>
          <cell r="C1392" t="str">
            <v>DMNT</v>
          </cell>
          <cell r="D1392">
            <v>82</v>
          </cell>
          <cell r="E1392">
            <v>2</v>
          </cell>
          <cell r="F1392" t="str">
            <v xml:space="preserve">B </v>
          </cell>
          <cell r="G1392">
            <v>0</v>
          </cell>
          <cell r="H1392">
            <v>129</v>
          </cell>
          <cell r="I1392">
            <v>173442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3610805</v>
          </cell>
          <cell r="P1392">
            <v>0</v>
          </cell>
          <cell r="Q1392">
            <v>0</v>
          </cell>
          <cell r="R1392">
            <v>54635</v>
          </cell>
          <cell r="S1392">
            <v>0</v>
          </cell>
          <cell r="T1392">
            <v>354868</v>
          </cell>
          <cell r="U1392">
            <v>895474</v>
          </cell>
          <cell r="V1392">
            <v>0</v>
          </cell>
          <cell r="W1392">
            <v>0</v>
          </cell>
          <cell r="X1392">
            <v>0</v>
          </cell>
          <cell r="Y1392">
            <v>114464</v>
          </cell>
          <cell r="Z1392">
            <v>3610805</v>
          </cell>
          <cell r="AA1392">
            <v>4134772</v>
          </cell>
          <cell r="AB1392" t="str">
            <v>EMCC</v>
          </cell>
          <cell r="AC1392">
            <v>1101</v>
          </cell>
          <cell r="AD1392">
            <v>2</v>
          </cell>
          <cell r="AE1392">
            <v>171686</v>
          </cell>
        </row>
        <row r="1393">
          <cell r="A1393" t="str">
            <v>SML</v>
          </cell>
          <cell r="B1393">
            <v>8</v>
          </cell>
          <cell r="C1393" t="str">
            <v>DMNT</v>
          </cell>
          <cell r="D1393">
            <v>82</v>
          </cell>
          <cell r="E1393">
            <v>3</v>
          </cell>
          <cell r="F1393" t="str">
            <v>A4</v>
          </cell>
          <cell r="G1393">
            <v>22</v>
          </cell>
          <cell r="H1393">
            <v>2</v>
          </cell>
          <cell r="I1393">
            <v>183877</v>
          </cell>
          <cell r="J1393">
            <v>15108</v>
          </cell>
          <cell r="K1393">
            <v>168769</v>
          </cell>
          <cell r="L1393">
            <v>623</v>
          </cell>
          <cell r="M1393">
            <v>287</v>
          </cell>
          <cell r="N1393">
            <v>280</v>
          </cell>
          <cell r="O1393">
            <v>1295005</v>
          </cell>
          <cell r="P1393">
            <v>1005852</v>
          </cell>
          <cell r="Q1393">
            <v>20168</v>
          </cell>
          <cell r="R1393">
            <v>0</v>
          </cell>
          <cell r="S1393">
            <v>0</v>
          </cell>
          <cell r="T1393">
            <v>0</v>
          </cell>
          <cell r="U1393">
            <v>586124</v>
          </cell>
          <cell r="V1393">
            <v>0</v>
          </cell>
          <cell r="W1393">
            <v>23471</v>
          </cell>
          <cell r="X1393">
            <v>0</v>
          </cell>
          <cell r="Y1393">
            <v>3448</v>
          </cell>
          <cell r="Z1393">
            <v>2344496</v>
          </cell>
          <cell r="AA1393">
            <v>2347944</v>
          </cell>
          <cell r="AB1393" t="str">
            <v>EMCC</v>
          </cell>
          <cell r="AC1393">
            <v>1101</v>
          </cell>
          <cell r="AD1393">
            <v>2</v>
          </cell>
          <cell r="AE1393">
            <v>183877</v>
          </cell>
        </row>
        <row r="1394">
          <cell r="A1394" t="str">
            <v>SML</v>
          </cell>
          <cell r="B1394">
            <v>8</v>
          </cell>
          <cell r="C1394" t="str">
            <v>DMNT</v>
          </cell>
          <cell r="D1394">
            <v>82</v>
          </cell>
          <cell r="E1394">
            <v>3</v>
          </cell>
          <cell r="F1394" t="str">
            <v>A4</v>
          </cell>
          <cell r="G1394">
            <v>21</v>
          </cell>
          <cell r="H1394">
            <v>2</v>
          </cell>
          <cell r="I1394">
            <v>30859</v>
          </cell>
          <cell r="J1394">
            <v>2004</v>
          </cell>
          <cell r="K1394">
            <v>28855</v>
          </cell>
          <cell r="L1394">
            <v>129</v>
          </cell>
          <cell r="M1394">
            <v>129</v>
          </cell>
          <cell r="N1394">
            <v>0</v>
          </cell>
          <cell r="O1394">
            <v>309516</v>
          </cell>
          <cell r="P1394">
            <v>89096</v>
          </cell>
          <cell r="Q1394">
            <v>0</v>
          </cell>
          <cell r="R1394">
            <v>2824</v>
          </cell>
          <cell r="S1394">
            <v>0</v>
          </cell>
          <cell r="T1394">
            <v>0</v>
          </cell>
          <cell r="U1394">
            <v>99654</v>
          </cell>
          <cell r="V1394">
            <v>0</v>
          </cell>
          <cell r="W1394">
            <v>0</v>
          </cell>
          <cell r="X1394">
            <v>0</v>
          </cell>
          <cell r="Y1394">
            <v>3448</v>
          </cell>
          <cell r="Z1394">
            <v>398612</v>
          </cell>
          <cell r="AA1394">
            <v>404884</v>
          </cell>
          <cell r="AB1394" t="str">
            <v>EMCC</v>
          </cell>
          <cell r="AC1394">
            <v>1101</v>
          </cell>
          <cell r="AD1394">
            <v>2</v>
          </cell>
          <cell r="AE1394">
            <v>30859</v>
          </cell>
        </row>
        <row r="1395">
          <cell r="A1395" t="str">
            <v>SML</v>
          </cell>
          <cell r="B1395">
            <v>8</v>
          </cell>
          <cell r="C1395" t="str">
            <v>DMNT</v>
          </cell>
          <cell r="D1395">
            <v>82</v>
          </cell>
          <cell r="E1395">
            <v>3</v>
          </cell>
          <cell r="F1395" t="str">
            <v>A4</v>
          </cell>
          <cell r="G1395">
            <v>20</v>
          </cell>
          <cell r="H1395">
            <v>40</v>
          </cell>
          <cell r="I1395">
            <v>801710</v>
          </cell>
          <cell r="J1395">
            <v>0</v>
          </cell>
          <cell r="K1395">
            <v>0</v>
          </cell>
          <cell r="L1395">
            <v>2787</v>
          </cell>
          <cell r="M1395">
            <v>0</v>
          </cell>
          <cell r="N1395">
            <v>0</v>
          </cell>
          <cell r="O1395">
            <v>9199352</v>
          </cell>
          <cell r="P1395">
            <v>2181293</v>
          </cell>
          <cell r="Q1395">
            <v>208585</v>
          </cell>
          <cell r="R1395">
            <v>68664</v>
          </cell>
          <cell r="S1395">
            <v>0</v>
          </cell>
          <cell r="T1395">
            <v>240300</v>
          </cell>
          <cell r="U1395">
            <v>2908851</v>
          </cell>
          <cell r="V1395">
            <v>0</v>
          </cell>
          <cell r="W1395">
            <v>46177</v>
          </cell>
          <cell r="X1395">
            <v>0</v>
          </cell>
          <cell r="Y1395">
            <v>65512</v>
          </cell>
          <cell r="Z1395">
            <v>11635407</v>
          </cell>
          <cell r="AA1395">
            <v>12009883</v>
          </cell>
          <cell r="AB1395" t="str">
            <v>EMCC</v>
          </cell>
          <cell r="AC1395">
            <v>1101</v>
          </cell>
          <cell r="AD1395">
            <v>2</v>
          </cell>
          <cell r="AE1395">
            <v>801710</v>
          </cell>
        </row>
        <row r="1396">
          <cell r="A1396" t="str">
            <v>SML</v>
          </cell>
          <cell r="B1396">
            <v>8</v>
          </cell>
          <cell r="C1396" t="str">
            <v>DMNT</v>
          </cell>
          <cell r="D1396">
            <v>82</v>
          </cell>
          <cell r="E1396">
            <v>3</v>
          </cell>
          <cell r="F1396" t="str">
            <v xml:space="preserve">B </v>
          </cell>
          <cell r="G1396">
            <v>0</v>
          </cell>
          <cell r="H1396">
            <v>3602</v>
          </cell>
          <cell r="I1396">
            <v>1075433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22392891</v>
          </cell>
          <cell r="P1396">
            <v>0</v>
          </cell>
          <cell r="Q1396">
            <v>0</v>
          </cell>
          <cell r="R1396">
            <v>245573</v>
          </cell>
          <cell r="S1396">
            <v>0</v>
          </cell>
          <cell r="T1396">
            <v>1281646</v>
          </cell>
          <cell r="U1396">
            <v>5556769</v>
          </cell>
          <cell r="V1396">
            <v>0</v>
          </cell>
          <cell r="W1396">
            <v>0</v>
          </cell>
          <cell r="X1396">
            <v>0</v>
          </cell>
          <cell r="Y1396">
            <v>1745696</v>
          </cell>
          <cell r="Z1396">
            <v>22392891</v>
          </cell>
          <cell r="AA1396">
            <v>25665806</v>
          </cell>
          <cell r="AB1396" t="str">
            <v>EMCC</v>
          </cell>
          <cell r="AC1396">
            <v>1101</v>
          </cell>
          <cell r="AD1396">
            <v>2</v>
          </cell>
          <cell r="AE1396">
            <v>1044177</v>
          </cell>
        </row>
        <row r="1397">
          <cell r="A1397" t="str">
            <v>SML</v>
          </cell>
          <cell r="B1397">
            <v>8</v>
          </cell>
          <cell r="C1397" t="str">
            <v>DMNT</v>
          </cell>
          <cell r="D1397">
            <v>82</v>
          </cell>
          <cell r="E1397">
            <v>4</v>
          </cell>
          <cell r="F1397" t="str">
            <v xml:space="preserve">B </v>
          </cell>
          <cell r="G1397">
            <v>0</v>
          </cell>
          <cell r="H1397">
            <v>10</v>
          </cell>
          <cell r="I1397">
            <v>4640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45417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8964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45417</v>
          </cell>
          <cell r="AA1397">
            <v>54381</v>
          </cell>
          <cell r="AB1397" t="str">
            <v>EMCC</v>
          </cell>
          <cell r="AC1397">
            <v>1101</v>
          </cell>
          <cell r="AD1397">
            <v>2</v>
          </cell>
          <cell r="AE1397">
            <v>4597</v>
          </cell>
        </row>
        <row r="1398">
          <cell r="A1398" t="str">
            <v>SML</v>
          </cell>
          <cell r="B1398">
            <v>8</v>
          </cell>
          <cell r="C1398" t="str">
            <v>DMNT</v>
          </cell>
          <cell r="D1398">
            <v>82</v>
          </cell>
          <cell r="E1398">
            <v>5</v>
          </cell>
          <cell r="F1398" t="str">
            <v>A4</v>
          </cell>
          <cell r="G1398">
            <v>21</v>
          </cell>
          <cell r="H1398">
            <v>1</v>
          </cell>
          <cell r="I1398">
            <v>36000</v>
          </cell>
          <cell r="J1398">
            <v>2214</v>
          </cell>
          <cell r="K1398">
            <v>33786</v>
          </cell>
          <cell r="L1398">
            <v>138</v>
          </cell>
          <cell r="M1398">
            <v>138</v>
          </cell>
          <cell r="N1398">
            <v>0</v>
          </cell>
          <cell r="O1398">
            <v>354267</v>
          </cell>
          <cell r="P1398">
            <v>95312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112395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449579</v>
          </cell>
          <cell r="AA1398">
            <v>449579</v>
          </cell>
          <cell r="AB1398" t="str">
            <v>EMCC</v>
          </cell>
          <cell r="AC1398">
            <v>1101</v>
          </cell>
          <cell r="AD1398">
            <v>2</v>
          </cell>
          <cell r="AE1398">
            <v>36000</v>
          </cell>
        </row>
        <row r="1399">
          <cell r="A1399" t="str">
            <v>SML</v>
          </cell>
          <cell r="B1399">
            <v>8</v>
          </cell>
          <cell r="C1399" t="str">
            <v>DMNT</v>
          </cell>
          <cell r="D1399">
            <v>82</v>
          </cell>
          <cell r="E1399">
            <v>5</v>
          </cell>
          <cell r="F1399" t="str">
            <v>A4</v>
          </cell>
          <cell r="G1399">
            <v>20</v>
          </cell>
          <cell r="H1399">
            <v>6</v>
          </cell>
          <cell r="I1399">
            <v>49991</v>
          </cell>
          <cell r="J1399">
            <v>0</v>
          </cell>
          <cell r="K1399">
            <v>0</v>
          </cell>
          <cell r="L1399">
            <v>186</v>
          </cell>
          <cell r="M1399">
            <v>0</v>
          </cell>
          <cell r="N1399">
            <v>0</v>
          </cell>
          <cell r="O1399">
            <v>505998</v>
          </cell>
          <cell r="P1399">
            <v>127966</v>
          </cell>
          <cell r="Q1399">
            <v>15264</v>
          </cell>
          <cell r="R1399">
            <v>1944</v>
          </cell>
          <cell r="S1399">
            <v>0</v>
          </cell>
          <cell r="T1399">
            <v>0</v>
          </cell>
          <cell r="U1399">
            <v>98887</v>
          </cell>
          <cell r="V1399">
            <v>0</v>
          </cell>
          <cell r="W1399">
            <v>6653</v>
          </cell>
          <cell r="X1399">
            <v>0</v>
          </cell>
          <cell r="Y1399">
            <v>0</v>
          </cell>
          <cell r="Z1399">
            <v>655881</v>
          </cell>
          <cell r="AA1399">
            <v>657825</v>
          </cell>
          <cell r="AB1399" t="str">
            <v>EMCC</v>
          </cell>
          <cell r="AC1399">
            <v>1101</v>
          </cell>
          <cell r="AD1399">
            <v>2</v>
          </cell>
          <cell r="AE1399">
            <v>49991</v>
          </cell>
        </row>
        <row r="1400">
          <cell r="A1400" t="str">
            <v>SML</v>
          </cell>
          <cell r="B1400">
            <v>8</v>
          </cell>
          <cell r="C1400" t="str">
            <v>DMNT</v>
          </cell>
          <cell r="D1400">
            <v>82</v>
          </cell>
          <cell r="E1400">
            <v>5</v>
          </cell>
          <cell r="F1400" t="str">
            <v xml:space="preserve">B </v>
          </cell>
          <cell r="G1400">
            <v>0</v>
          </cell>
          <cell r="H1400">
            <v>47</v>
          </cell>
          <cell r="I1400">
            <v>41313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749837</v>
          </cell>
          <cell r="P1400">
            <v>0</v>
          </cell>
          <cell r="Q1400">
            <v>0</v>
          </cell>
          <cell r="R1400">
            <v>3785</v>
          </cell>
          <cell r="S1400">
            <v>0</v>
          </cell>
          <cell r="T1400">
            <v>0</v>
          </cell>
          <cell r="U1400">
            <v>104778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749837</v>
          </cell>
          <cell r="AA1400">
            <v>753622</v>
          </cell>
          <cell r="AB1400" t="str">
            <v>EMCC</v>
          </cell>
          <cell r="AC1400">
            <v>1101</v>
          </cell>
          <cell r="AD1400">
            <v>2</v>
          </cell>
          <cell r="AE1400">
            <v>41265</v>
          </cell>
        </row>
        <row r="1401">
          <cell r="A1401" t="str">
            <v>SML</v>
          </cell>
          <cell r="B1401">
            <v>8</v>
          </cell>
          <cell r="C1401" t="str">
            <v>DMNT</v>
          </cell>
          <cell r="D1401">
            <v>82</v>
          </cell>
          <cell r="E1401">
            <v>7</v>
          </cell>
          <cell r="F1401" t="str">
            <v>A4</v>
          </cell>
          <cell r="G1401">
            <v>20</v>
          </cell>
          <cell r="H1401">
            <v>15</v>
          </cell>
          <cell r="I1401">
            <v>466797</v>
          </cell>
          <cell r="J1401">
            <v>0</v>
          </cell>
          <cell r="K1401">
            <v>0</v>
          </cell>
          <cell r="L1401">
            <v>757</v>
          </cell>
          <cell r="M1401">
            <v>0</v>
          </cell>
          <cell r="N1401">
            <v>0</v>
          </cell>
          <cell r="O1401">
            <v>4552824</v>
          </cell>
          <cell r="P1401">
            <v>511144</v>
          </cell>
          <cell r="Q1401">
            <v>247531</v>
          </cell>
          <cell r="R1401">
            <v>0</v>
          </cell>
          <cell r="S1401">
            <v>0</v>
          </cell>
          <cell r="T1401">
            <v>0</v>
          </cell>
          <cell r="U1401">
            <v>1337005</v>
          </cell>
          <cell r="V1401">
            <v>0</v>
          </cell>
          <cell r="W1401">
            <v>36520</v>
          </cell>
          <cell r="X1401">
            <v>0</v>
          </cell>
          <cell r="Y1401">
            <v>0</v>
          </cell>
          <cell r="Z1401">
            <v>5348019</v>
          </cell>
          <cell r="AA1401">
            <v>5348019</v>
          </cell>
          <cell r="AB1401" t="str">
            <v>EMCC</v>
          </cell>
          <cell r="AC1401">
            <v>1101</v>
          </cell>
          <cell r="AD1401">
            <v>2</v>
          </cell>
          <cell r="AE1401">
            <v>466797</v>
          </cell>
        </row>
        <row r="1402">
          <cell r="A1402" t="str">
            <v>SML</v>
          </cell>
          <cell r="B1402">
            <v>8</v>
          </cell>
          <cell r="C1402" t="str">
            <v>DMNT</v>
          </cell>
          <cell r="D1402">
            <v>82</v>
          </cell>
          <cell r="E1402">
            <v>7</v>
          </cell>
          <cell r="F1402" t="str">
            <v xml:space="preserve">B </v>
          </cell>
          <cell r="G1402">
            <v>0</v>
          </cell>
          <cell r="H1402">
            <v>9</v>
          </cell>
          <cell r="I1402">
            <v>18110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320451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80113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320451</v>
          </cell>
          <cell r="AA1402">
            <v>320451</v>
          </cell>
          <cell r="AB1402" t="str">
            <v>EMCC</v>
          </cell>
          <cell r="AC1402">
            <v>1101</v>
          </cell>
          <cell r="AD1402">
            <v>2</v>
          </cell>
          <cell r="AE1402">
            <v>18110</v>
          </cell>
        </row>
        <row r="1403">
          <cell r="A1403" t="str">
            <v>SML</v>
          </cell>
          <cell r="B1403">
            <v>8</v>
          </cell>
          <cell r="C1403" t="str">
            <v>DMNT</v>
          </cell>
          <cell r="D1403">
            <v>82</v>
          </cell>
          <cell r="E1403">
            <v>8</v>
          </cell>
          <cell r="F1403" t="str">
            <v xml:space="preserve">B </v>
          </cell>
          <cell r="G1403">
            <v>0</v>
          </cell>
          <cell r="H1403">
            <v>4</v>
          </cell>
          <cell r="I1403">
            <v>10726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223302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55826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223302</v>
          </cell>
          <cell r="AA1403">
            <v>223302</v>
          </cell>
          <cell r="AB1403" t="str">
            <v>EMCC</v>
          </cell>
          <cell r="AC1403">
            <v>1101</v>
          </cell>
          <cell r="AD1403">
            <v>2</v>
          </cell>
          <cell r="AE1403">
            <v>10726</v>
          </cell>
        </row>
        <row r="1404">
          <cell r="A1404" t="str">
            <v>SML</v>
          </cell>
          <cell r="B1404">
            <v>8</v>
          </cell>
          <cell r="C1404" t="str">
            <v>DMNT</v>
          </cell>
          <cell r="D1404">
            <v>83</v>
          </cell>
          <cell r="E1404">
            <v>1</v>
          </cell>
          <cell r="F1404" t="str">
            <v>A4</v>
          </cell>
          <cell r="G1404">
            <v>20</v>
          </cell>
          <cell r="H1404">
            <v>1</v>
          </cell>
          <cell r="I1404">
            <v>1353</v>
          </cell>
          <cell r="J1404">
            <v>0</v>
          </cell>
          <cell r="K1404">
            <v>0</v>
          </cell>
          <cell r="L1404">
            <v>8</v>
          </cell>
          <cell r="M1404">
            <v>0</v>
          </cell>
          <cell r="N1404">
            <v>0</v>
          </cell>
          <cell r="O1404">
            <v>15525</v>
          </cell>
          <cell r="P1404">
            <v>6261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5447</v>
          </cell>
          <cell r="V1404">
            <v>0</v>
          </cell>
          <cell r="W1404">
            <v>0</v>
          </cell>
          <cell r="X1404">
            <v>0</v>
          </cell>
          <cell r="Y1404">
            <v>1122</v>
          </cell>
          <cell r="Z1404">
            <v>21786</v>
          </cell>
          <cell r="AA1404">
            <v>22908</v>
          </cell>
          <cell r="AB1404" t="str">
            <v>EMJN</v>
          </cell>
          <cell r="AC1404">
            <v>1101</v>
          </cell>
          <cell r="AD1404">
            <v>2</v>
          </cell>
          <cell r="AE1404">
            <v>1353</v>
          </cell>
        </row>
        <row r="1405">
          <cell r="A1405" t="str">
            <v>SML</v>
          </cell>
          <cell r="B1405">
            <v>8</v>
          </cell>
          <cell r="C1405" t="str">
            <v>DMNT</v>
          </cell>
          <cell r="D1405">
            <v>83</v>
          </cell>
          <cell r="E1405">
            <v>1</v>
          </cell>
          <cell r="F1405" t="str">
            <v xml:space="preserve">B </v>
          </cell>
          <cell r="G1405">
            <v>1</v>
          </cell>
          <cell r="H1405">
            <v>3655</v>
          </cell>
          <cell r="I1405">
            <v>92604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1495692</v>
          </cell>
          <cell r="P1405">
            <v>0</v>
          </cell>
          <cell r="Q1405">
            <v>0</v>
          </cell>
          <cell r="R1405">
            <v>44684</v>
          </cell>
          <cell r="S1405">
            <v>0</v>
          </cell>
          <cell r="T1405">
            <v>1195754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191296</v>
          </cell>
          <cell r="Z1405">
            <v>1495692</v>
          </cell>
          <cell r="AA1405">
            <v>2927426</v>
          </cell>
          <cell r="AB1405" t="str">
            <v>EMJN</v>
          </cell>
          <cell r="AC1405">
            <v>1101</v>
          </cell>
          <cell r="AD1405">
            <v>2</v>
          </cell>
          <cell r="AE1405">
            <v>39507</v>
          </cell>
        </row>
        <row r="1406">
          <cell r="A1406" t="str">
            <v>SML</v>
          </cell>
          <cell r="B1406">
            <v>8</v>
          </cell>
          <cell r="C1406" t="str">
            <v>DMNT</v>
          </cell>
          <cell r="D1406">
            <v>83</v>
          </cell>
          <cell r="E1406">
            <v>1</v>
          </cell>
          <cell r="F1406" t="str">
            <v xml:space="preserve">B </v>
          </cell>
          <cell r="G1406">
            <v>2</v>
          </cell>
          <cell r="H1406">
            <v>1272</v>
          </cell>
          <cell r="I1406">
            <v>52275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1011939</v>
          </cell>
          <cell r="P1406">
            <v>0</v>
          </cell>
          <cell r="Q1406">
            <v>0</v>
          </cell>
          <cell r="R1406">
            <v>14474</v>
          </cell>
          <cell r="S1406">
            <v>0</v>
          </cell>
          <cell r="T1406">
            <v>99278</v>
          </cell>
          <cell r="U1406">
            <v>171996</v>
          </cell>
          <cell r="V1406">
            <v>0</v>
          </cell>
          <cell r="W1406">
            <v>0</v>
          </cell>
          <cell r="X1406">
            <v>0</v>
          </cell>
          <cell r="Y1406">
            <v>131712</v>
          </cell>
          <cell r="Z1406">
            <v>1011939</v>
          </cell>
          <cell r="AA1406">
            <v>1257403</v>
          </cell>
          <cell r="AB1406" t="str">
            <v>EMJN</v>
          </cell>
          <cell r="AC1406">
            <v>1101</v>
          </cell>
          <cell r="AD1406">
            <v>2</v>
          </cell>
          <cell r="AE1406">
            <v>52075</v>
          </cell>
        </row>
        <row r="1407">
          <cell r="A1407" t="str">
            <v>SML</v>
          </cell>
          <cell r="B1407">
            <v>8</v>
          </cell>
          <cell r="C1407" t="str">
            <v>DMNT</v>
          </cell>
          <cell r="D1407">
            <v>83</v>
          </cell>
          <cell r="E1407">
            <v>1</v>
          </cell>
          <cell r="F1407" t="str">
            <v xml:space="preserve">B </v>
          </cell>
          <cell r="G1407">
            <v>3</v>
          </cell>
          <cell r="H1407">
            <v>4901</v>
          </cell>
          <cell r="I1407">
            <v>383555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7424701</v>
          </cell>
          <cell r="P1407">
            <v>0</v>
          </cell>
          <cell r="Q1407">
            <v>0</v>
          </cell>
          <cell r="R1407">
            <v>86389</v>
          </cell>
          <cell r="S1407">
            <v>0</v>
          </cell>
          <cell r="T1407">
            <v>516065</v>
          </cell>
          <cell r="U1407">
            <v>1262227</v>
          </cell>
          <cell r="V1407">
            <v>0</v>
          </cell>
          <cell r="W1407">
            <v>0</v>
          </cell>
          <cell r="X1407">
            <v>0</v>
          </cell>
          <cell r="Y1407">
            <v>718480</v>
          </cell>
          <cell r="Z1407">
            <v>7424701</v>
          </cell>
          <cell r="AA1407">
            <v>8745635</v>
          </cell>
          <cell r="AB1407" t="str">
            <v>EMJN</v>
          </cell>
          <cell r="AC1407">
            <v>1101</v>
          </cell>
          <cell r="AD1407">
            <v>2</v>
          </cell>
          <cell r="AE1407">
            <v>372779</v>
          </cell>
        </row>
        <row r="1408">
          <cell r="A1408" t="str">
            <v>SML</v>
          </cell>
          <cell r="B1408">
            <v>8</v>
          </cell>
          <cell r="C1408" t="str">
            <v>DMNT</v>
          </cell>
          <cell r="D1408">
            <v>83</v>
          </cell>
          <cell r="E1408">
            <v>1</v>
          </cell>
          <cell r="F1408" t="str">
            <v xml:space="preserve">B </v>
          </cell>
          <cell r="G1408">
            <v>4</v>
          </cell>
          <cell r="H1408">
            <v>4041</v>
          </cell>
          <cell r="I1408">
            <v>500832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9699117</v>
          </cell>
          <cell r="P1408">
            <v>0</v>
          </cell>
          <cell r="Q1408">
            <v>0</v>
          </cell>
          <cell r="R1408">
            <v>119542</v>
          </cell>
          <cell r="S1408">
            <v>0</v>
          </cell>
          <cell r="T1408">
            <v>442983</v>
          </cell>
          <cell r="U1408">
            <v>1648837</v>
          </cell>
          <cell r="V1408">
            <v>0</v>
          </cell>
          <cell r="W1408">
            <v>0</v>
          </cell>
          <cell r="X1408">
            <v>0</v>
          </cell>
          <cell r="Y1408">
            <v>783945</v>
          </cell>
          <cell r="Z1408">
            <v>9699117</v>
          </cell>
          <cell r="AA1408">
            <v>11045587</v>
          </cell>
          <cell r="AB1408" t="str">
            <v>EMJN</v>
          </cell>
          <cell r="AC1408">
            <v>1101</v>
          </cell>
          <cell r="AD1408">
            <v>2</v>
          </cell>
          <cell r="AE1408">
            <v>500832</v>
          </cell>
        </row>
        <row r="1409">
          <cell r="A1409" t="str">
            <v>SML</v>
          </cell>
          <cell r="B1409">
            <v>8</v>
          </cell>
          <cell r="C1409" t="str">
            <v>DMNT</v>
          </cell>
          <cell r="D1409">
            <v>83</v>
          </cell>
          <cell r="E1409">
            <v>1</v>
          </cell>
          <cell r="F1409" t="str">
            <v xml:space="preserve">B </v>
          </cell>
          <cell r="G1409">
            <v>5</v>
          </cell>
          <cell r="H1409">
            <v>2386</v>
          </cell>
          <cell r="I1409">
            <v>415681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8053293</v>
          </cell>
          <cell r="P1409">
            <v>0</v>
          </cell>
          <cell r="Q1409">
            <v>0</v>
          </cell>
          <cell r="R1409">
            <v>97960</v>
          </cell>
          <cell r="S1409">
            <v>0</v>
          </cell>
          <cell r="T1409">
            <v>269384</v>
          </cell>
          <cell r="U1409">
            <v>1369113</v>
          </cell>
          <cell r="V1409">
            <v>0</v>
          </cell>
          <cell r="W1409">
            <v>0</v>
          </cell>
          <cell r="X1409">
            <v>0</v>
          </cell>
          <cell r="Y1409">
            <v>859813</v>
          </cell>
          <cell r="Z1409">
            <v>8053293</v>
          </cell>
          <cell r="AA1409">
            <v>9280450</v>
          </cell>
          <cell r="AB1409" t="str">
            <v>EMJN</v>
          </cell>
          <cell r="AC1409">
            <v>1101</v>
          </cell>
          <cell r="AD1409">
            <v>2</v>
          </cell>
          <cell r="AE1409">
            <v>415681</v>
          </cell>
        </row>
        <row r="1410">
          <cell r="A1410" t="str">
            <v>SML</v>
          </cell>
          <cell r="B1410">
            <v>8</v>
          </cell>
          <cell r="C1410" t="str">
            <v>DMNT</v>
          </cell>
          <cell r="D1410">
            <v>83</v>
          </cell>
          <cell r="E1410">
            <v>1</v>
          </cell>
          <cell r="F1410" t="str">
            <v xml:space="preserve">B </v>
          </cell>
          <cell r="G1410">
            <v>6</v>
          </cell>
          <cell r="H1410">
            <v>2031</v>
          </cell>
          <cell r="I1410">
            <v>492386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9542628</v>
          </cell>
          <cell r="P1410">
            <v>0</v>
          </cell>
          <cell r="Q1410">
            <v>0</v>
          </cell>
          <cell r="R1410">
            <v>112278</v>
          </cell>
          <cell r="S1410">
            <v>16664</v>
          </cell>
          <cell r="T1410">
            <v>272945</v>
          </cell>
          <cell r="U1410">
            <v>1622611</v>
          </cell>
          <cell r="V1410">
            <v>0</v>
          </cell>
          <cell r="W1410">
            <v>0</v>
          </cell>
          <cell r="X1410">
            <v>0</v>
          </cell>
          <cell r="Y1410">
            <v>718200</v>
          </cell>
          <cell r="Z1410">
            <v>9542628</v>
          </cell>
          <cell r="AA1410">
            <v>10662715</v>
          </cell>
          <cell r="AB1410" t="str">
            <v>EMJN</v>
          </cell>
          <cell r="AC1410">
            <v>1101</v>
          </cell>
          <cell r="AD1410">
            <v>2</v>
          </cell>
          <cell r="AE1410">
            <v>492386</v>
          </cell>
        </row>
        <row r="1411">
          <cell r="A1411" t="str">
            <v>SML</v>
          </cell>
          <cell r="B1411">
            <v>8</v>
          </cell>
          <cell r="C1411" t="str">
            <v>DMNT</v>
          </cell>
          <cell r="D1411">
            <v>83</v>
          </cell>
          <cell r="E1411">
            <v>1</v>
          </cell>
          <cell r="F1411" t="str">
            <v xml:space="preserve">B </v>
          </cell>
          <cell r="G1411">
            <v>7</v>
          </cell>
          <cell r="H1411">
            <v>771</v>
          </cell>
          <cell r="I1411">
            <v>263688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5302647</v>
          </cell>
          <cell r="P1411">
            <v>0</v>
          </cell>
          <cell r="Q1411">
            <v>0</v>
          </cell>
          <cell r="R1411">
            <v>63109</v>
          </cell>
          <cell r="S1411">
            <v>0</v>
          </cell>
          <cell r="T1411">
            <v>114266</v>
          </cell>
          <cell r="U1411">
            <v>1060780</v>
          </cell>
          <cell r="V1411">
            <v>0</v>
          </cell>
          <cell r="W1411">
            <v>0</v>
          </cell>
          <cell r="X1411">
            <v>0</v>
          </cell>
          <cell r="Y1411">
            <v>371943</v>
          </cell>
          <cell r="Z1411">
            <v>5302647</v>
          </cell>
          <cell r="AA1411">
            <v>5851965</v>
          </cell>
          <cell r="AB1411" t="str">
            <v>EMJN</v>
          </cell>
          <cell r="AC1411">
            <v>1101</v>
          </cell>
          <cell r="AD1411">
            <v>2</v>
          </cell>
          <cell r="AE1411">
            <v>263688</v>
          </cell>
        </row>
        <row r="1412">
          <cell r="A1412" t="str">
            <v>SML</v>
          </cell>
          <cell r="B1412">
            <v>8</v>
          </cell>
          <cell r="C1412" t="str">
            <v>DMNT</v>
          </cell>
          <cell r="D1412">
            <v>83</v>
          </cell>
          <cell r="E1412">
            <v>1</v>
          </cell>
          <cell r="F1412" t="str">
            <v xml:space="preserve">B </v>
          </cell>
          <cell r="G1412">
            <v>8</v>
          </cell>
          <cell r="H1412">
            <v>367</v>
          </cell>
          <cell r="I1412">
            <v>164554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3308755</v>
          </cell>
          <cell r="P1412">
            <v>0</v>
          </cell>
          <cell r="Q1412">
            <v>0</v>
          </cell>
          <cell r="R1412">
            <v>32754</v>
          </cell>
          <cell r="S1412">
            <v>0</v>
          </cell>
          <cell r="T1412">
            <v>97677</v>
          </cell>
          <cell r="U1412">
            <v>661867</v>
          </cell>
          <cell r="V1412">
            <v>0</v>
          </cell>
          <cell r="W1412">
            <v>0</v>
          </cell>
          <cell r="X1412">
            <v>0</v>
          </cell>
          <cell r="Y1412">
            <v>178959</v>
          </cell>
          <cell r="Z1412">
            <v>3308755</v>
          </cell>
          <cell r="AA1412">
            <v>3618145</v>
          </cell>
          <cell r="AB1412" t="str">
            <v>EMJN</v>
          </cell>
          <cell r="AC1412">
            <v>1101</v>
          </cell>
          <cell r="AD1412">
            <v>2</v>
          </cell>
          <cell r="AE1412">
            <v>164554</v>
          </cell>
        </row>
        <row r="1413">
          <cell r="A1413" t="str">
            <v>SML</v>
          </cell>
          <cell r="B1413">
            <v>8</v>
          </cell>
          <cell r="C1413" t="str">
            <v>DMNT</v>
          </cell>
          <cell r="D1413">
            <v>83</v>
          </cell>
          <cell r="E1413">
            <v>1</v>
          </cell>
          <cell r="F1413" t="str">
            <v xml:space="preserve">B </v>
          </cell>
          <cell r="G1413">
            <v>9</v>
          </cell>
          <cell r="H1413">
            <v>393</v>
          </cell>
          <cell r="I1413">
            <v>243200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5211470</v>
          </cell>
          <cell r="P1413">
            <v>0</v>
          </cell>
          <cell r="Q1413">
            <v>0</v>
          </cell>
          <cell r="R1413">
            <v>48549</v>
          </cell>
          <cell r="S1413">
            <v>0</v>
          </cell>
          <cell r="T1413">
            <v>135711</v>
          </cell>
          <cell r="U1413">
            <v>1303005</v>
          </cell>
          <cell r="V1413">
            <v>0</v>
          </cell>
          <cell r="W1413">
            <v>0</v>
          </cell>
          <cell r="X1413">
            <v>0</v>
          </cell>
          <cell r="Y1413">
            <v>277530</v>
          </cell>
          <cell r="Z1413">
            <v>5211470</v>
          </cell>
          <cell r="AA1413">
            <v>5673260</v>
          </cell>
          <cell r="AB1413" t="str">
            <v>EMJN</v>
          </cell>
          <cell r="AC1413">
            <v>1101</v>
          </cell>
          <cell r="AD1413">
            <v>2</v>
          </cell>
          <cell r="AE1413">
            <v>243200</v>
          </cell>
        </row>
        <row r="1414">
          <cell r="A1414" t="str">
            <v>SML</v>
          </cell>
          <cell r="B1414">
            <v>8</v>
          </cell>
          <cell r="C1414" t="str">
            <v>DMNT</v>
          </cell>
          <cell r="D1414">
            <v>83</v>
          </cell>
          <cell r="E1414">
            <v>1</v>
          </cell>
          <cell r="F1414" t="str">
            <v xml:space="preserve">B </v>
          </cell>
          <cell r="G1414">
            <v>10</v>
          </cell>
          <cell r="H1414">
            <v>97</v>
          </cell>
          <cell r="I1414">
            <v>85481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1814729</v>
          </cell>
          <cell r="P1414">
            <v>0</v>
          </cell>
          <cell r="Q1414">
            <v>0</v>
          </cell>
          <cell r="R1414">
            <v>18836</v>
          </cell>
          <cell r="S1414">
            <v>0</v>
          </cell>
          <cell r="T1414">
            <v>97105</v>
          </cell>
          <cell r="U1414">
            <v>453707</v>
          </cell>
          <cell r="V1414">
            <v>0</v>
          </cell>
          <cell r="W1414">
            <v>0</v>
          </cell>
          <cell r="X1414">
            <v>0</v>
          </cell>
          <cell r="Y1414">
            <v>71808</v>
          </cell>
          <cell r="Z1414">
            <v>1814729</v>
          </cell>
          <cell r="AA1414">
            <v>2002478</v>
          </cell>
          <cell r="AB1414" t="str">
            <v>EMJN</v>
          </cell>
          <cell r="AC1414">
            <v>1101</v>
          </cell>
          <cell r="AD1414">
            <v>2</v>
          </cell>
          <cell r="AE1414">
            <v>85481</v>
          </cell>
        </row>
        <row r="1415">
          <cell r="A1415" t="str">
            <v>SML</v>
          </cell>
          <cell r="B1415">
            <v>8</v>
          </cell>
          <cell r="C1415" t="str">
            <v>DMNT</v>
          </cell>
          <cell r="D1415">
            <v>83</v>
          </cell>
          <cell r="E1415">
            <v>1</v>
          </cell>
          <cell r="F1415" t="str">
            <v xml:space="preserve">B </v>
          </cell>
          <cell r="G1415">
            <v>11</v>
          </cell>
          <cell r="H1415">
            <v>1818</v>
          </cell>
          <cell r="I1415">
            <v>45952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259949</v>
          </cell>
          <cell r="P1415">
            <v>0</v>
          </cell>
          <cell r="Q1415">
            <v>0</v>
          </cell>
          <cell r="R1415">
            <v>8861</v>
          </cell>
          <cell r="S1415">
            <v>0</v>
          </cell>
          <cell r="T1415">
            <v>92354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94696</v>
          </cell>
          <cell r="Z1415">
            <v>259949</v>
          </cell>
          <cell r="AA1415">
            <v>455860</v>
          </cell>
          <cell r="AB1415" t="str">
            <v>EMJN</v>
          </cell>
          <cell r="AC1415">
            <v>1101</v>
          </cell>
          <cell r="AD1415">
            <v>2</v>
          </cell>
          <cell r="AE1415">
            <v>20562</v>
          </cell>
        </row>
        <row r="1416">
          <cell r="A1416" t="str">
            <v>SML</v>
          </cell>
          <cell r="B1416">
            <v>8</v>
          </cell>
          <cell r="C1416" t="str">
            <v>DMNT</v>
          </cell>
          <cell r="D1416">
            <v>83</v>
          </cell>
          <cell r="E1416">
            <v>1</v>
          </cell>
          <cell r="F1416" t="str">
            <v xml:space="preserve">B </v>
          </cell>
          <cell r="G1416">
            <v>12</v>
          </cell>
          <cell r="H1416">
            <v>1908</v>
          </cell>
          <cell r="I1416">
            <v>123801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1232049</v>
          </cell>
          <cell r="P1416">
            <v>0</v>
          </cell>
          <cell r="Q1416">
            <v>0</v>
          </cell>
          <cell r="R1416">
            <v>45604</v>
          </cell>
          <cell r="S1416">
            <v>0</v>
          </cell>
          <cell r="T1416">
            <v>66441</v>
          </cell>
          <cell r="U1416">
            <v>209524</v>
          </cell>
          <cell r="V1416">
            <v>0</v>
          </cell>
          <cell r="W1416">
            <v>0</v>
          </cell>
          <cell r="X1416">
            <v>0</v>
          </cell>
          <cell r="Y1416">
            <v>250376</v>
          </cell>
          <cell r="Z1416">
            <v>1232049</v>
          </cell>
          <cell r="AA1416">
            <v>1594470</v>
          </cell>
          <cell r="AB1416" t="str">
            <v>EMJN</v>
          </cell>
          <cell r="AC1416">
            <v>1101</v>
          </cell>
          <cell r="AD1416">
            <v>2</v>
          </cell>
          <cell r="AE1416">
            <v>123801</v>
          </cell>
        </row>
        <row r="1417">
          <cell r="A1417" t="str">
            <v>SML</v>
          </cell>
          <cell r="B1417">
            <v>8</v>
          </cell>
          <cell r="C1417" t="str">
            <v>DMNT</v>
          </cell>
          <cell r="D1417">
            <v>83</v>
          </cell>
          <cell r="E1417">
            <v>1</v>
          </cell>
          <cell r="F1417" t="str">
            <v xml:space="preserve">B </v>
          </cell>
          <cell r="G1417">
            <v>13</v>
          </cell>
          <cell r="H1417">
            <v>616</v>
          </cell>
          <cell r="I1417">
            <v>72608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986625</v>
          </cell>
          <cell r="P1417">
            <v>0</v>
          </cell>
          <cell r="Q1417">
            <v>0</v>
          </cell>
          <cell r="R1417">
            <v>11185</v>
          </cell>
          <cell r="S1417">
            <v>0</v>
          </cell>
          <cell r="T1417">
            <v>33848</v>
          </cell>
          <cell r="U1417">
            <v>167748</v>
          </cell>
          <cell r="V1417">
            <v>0</v>
          </cell>
          <cell r="W1417">
            <v>0</v>
          </cell>
          <cell r="X1417">
            <v>0</v>
          </cell>
          <cell r="Y1417">
            <v>121117</v>
          </cell>
          <cell r="Z1417">
            <v>986625</v>
          </cell>
          <cell r="AA1417">
            <v>1152775</v>
          </cell>
          <cell r="AB1417" t="str">
            <v>EMJN</v>
          </cell>
          <cell r="AC1417">
            <v>1101</v>
          </cell>
          <cell r="AD1417">
            <v>2</v>
          </cell>
          <cell r="AE1417">
            <v>72608</v>
          </cell>
        </row>
        <row r="1418">
          <cell r="A1418" t="str">
            <v>SML</v>
          </cell>
          <cell r="B1418">
            <v>8</v>
          </cell>
          <cell r="C1418" t="str">
            <v>DMNT</v>
          </cell>
          <cell r="D1418">
            <v>83</v>
          </cell>
          <cell r="E1418">
            <v>1</v>
          </cell>
          <cell r="F1418" t="str">
            <v xml:space="preserve">B </v>
          </cell>
          <cell r="G1418">
            <v>14</v>
          </cell>
          <cell r="H1418">
            <v>59</v>
          </cell>
          <cell r="I1418">
            <v>8981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114225</v>
          </cell>
          <cell r="P1418">
            <v>0</v>
          </cell>
          <cell r="Q1418">
            <v>0</v>
          </cell>
          <cell r="R1418">
            <v>1257</v>
          </cell>
          <cell r="S1418">
            <v>0</v>
          </cell>
          <cell r="T1418">
            <v>1597</v>
          </cell>
          <cell r="U1418">
            <v>19424</v>
          </cell>
          <cell r="V1418">
            <v>0</v>
          </cell>
          <cell r="W1418">
            <v>0</v>
          </cell>
          <cell r="X1418">
            <v>0</v>
          </cell>
          <cell r="Y1418">
            <v>17668</v>
          </cell>
          <cell r="Z1418">
            <v>114225</v>
          </cell>
          <cell r="AA1418">
            <v>134747</v>
          </cell>
          <cell r="AB1418" t="str">
            <v>EMJN</v>
          </cell>
          <cell r="AC1418">
            <v>1101</v>
          </cell>
          <cell r="AD1418">
            <v>2</v>
          </cell>
          <cell r="AE1418">
            <v>8981</v>
          </cell>
        </row>
        <row r="1419">
          <cell r="A1419" t="str">
            <v>SML</v>
          </cell>
          <cell r="B1419">
            <v>8</v>
          </cell>
          <cell r="C1419" t="str">
            <v>DMNT</v>
          </cell>
          <cell r="D1419">
            <v>83</v>
          </cell>
          <cell r="E1419">
            <v>1</v>
          </cell>
          <cell r="F1419" t="str">
            <v xml:space="preserve">B </v>
          </cell>
          <cell r="G1419">
            <v>15</v>
          </cell>
          <cell r="H1419">
            <v>131</v>
          </cell>
          <cell r="I1419">
            <v>25993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379348</v>
          </cell>
          <cell r="P1419">
            <v>0</v>
          </cell>
          <cell r="Q1419">
            <v>0</v>
          </cell>
          <cell r="R1419">
            <v>4059</v>
          </cell>
          <cell r="S1419">
            <v>0</v>
          </cell>
          <cell r="T1419">
            <v>4191</v>
          </cell>
          <cell r="U1419">
            <v>64651</v>
          </cell>
          <cell r="V1419">
            <v>0</v>
          </cell>
          <cell r="W1419">
            <v>0</v>
          </cell>
          <cell r="X1419">
            <v>0</v>
          </cell>
          <cell r="Y1419">
            <v>47468</v>
          </cell>
          <cell r="Z1419">
            <v>379348</v>
          </cell>
          <cell r="AA1419">
            <v>435066</v>
          </cell>
          <cell r="AB1419" t="str">
            <v>EMJN</v>
          </cell>
          <cell r="AC1419">
            <v>1101</v>
          </cell>
          <cell r="AD1419">
            <v>2</v>
          </cell>
          <cell r="AE1419">
            <v>25993</v>
          </cell>
        </row>
        <row r="1420">
          <cell r="A1420" t="str">
            <v>SML</v>
          </cell>
          <cell r="B1420">
            <v>8</v>
          </cell>
          <cell r="C1420" t="str">
            <v>DMNT</v>
          </cell>
          <cell r="D1420">
            <v>83</v>
          </cell>
          <cell r="E1420">
            <v>2</v>
          </cell>
          <cell r="F1420" t="str">
            <v>A4</v>
          </cell>
          <cell r="G1420">
            <v>20</v>
          </cell>
          <cell r="H1420">
            <v>2</v>
          </cell>
          <cell r="I1420">
            <v>30228</v>
          </cell>
          <cell r="J1420">
            <v>0</v>
          </cell>
          <cell r="K1420">
            <v>0</v>
          </cell>
          <cell r="L1420">
            <v>134</v>
          </cell>
          <cell r="M1420">
            <v>0</v>
          </cell>
          <cell r="N1420">
            <v>0</v>
          </cell>
          <cell r="O1420">
            <v>346856</v>
          </cell>
          <cell r="P1420">
            <v>104878</v>
          </cell>
          <cell r="Q1420">
            <v>37637</v>
          </cell>
          <cell r="R1420">
            <v>9002</v>
          </cell>
          <cell r="S1420">
            <v>0</v>
          </cell>
          <cell r="T1420">
            <v>0</v>
          </cell>
          <cell r="U1420">
            <v>124887</v>
          </cell>
          <cell r="V1420">
            <v>0</v>
          </cell>
          <cell r="W1420">
            <v>10175</v>
          </cell>
          <cell r="X1420">
            <v>0</v>
          </cell>
          <cell r="Y1420">
            <v>4488</v>
          </cell>
          <cell r="Z1420">
            <v>499546</v>
          </cell>
          <cell r="AA1420">
            <v>513036</v>
          </cell>
          <cell r="AB1420" t="str">
            <v>EMJN</v>
          </cell>
          <cell r="AC1420">
            <v>1101</v>
          </cell>
          <cell r="AD1420">
            <v>2</v>
          </cell>
          <cell r="AE1420">
            <v>30228</v>
          </cell>
        </row>
        <row r="1421">
          <cell r="A1421" t="str">
            <v>SML</v>
          </cell>
          <cell r="B1421">
            <v>8</v>
          </cell>
          <cell r="C1421" t="str">
            <v>DMNT</v>
          </cell>
          <cell r="D1421">
            <v>83</v>
          </cell>
          <cell r="E1421">
            <v>2</v>
          </cell>
          <cell r="F1421" t="str">
            <v xml:space="preserve">B </v>
          </cell>
          <cell r="G1421">
            <v>0</v>
          </cell>
          <cell r="H1421">
            <v>70</v>
          </cell>
          <cell r="I1421">
            <v>75475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1571278</v>
          </cell>
          <cell r="P1421">
            <v>0</v>
          </cell>
          <cell r="Q1421">
            <v>0</v>
          </cell>
          <cell r="R1421">
            <v>20967</v>
          </cell>
          <cell r="S1421">
            <v>0</v>
          </cell>
          <cell r="T1421">
            <v>164268</v>
          </cell>
          <cell r="U1421">
            <v>392575</v>
          </cell>
          <cell r="V1421">
            <v>0</v>
          </cell>
          <cell r="W1421">
            <v>0</v>
          </cell>
          <cell r="X1421">
            <v>0</v>
          </cell>
          <cell r="Y1421">
            <v>73686</v>
          </cell>
          <cell r="Z1421">
            <v>1571278</v>
          </cell>
          <cell r="AA1421">
            <v>1830199</v>
          </cell>
          <cell r="AB1421" t="str">
            <v>EMJN</v>
          </cell>
          <cell r="AC1421">
            <v>1101</v>
          </cell>
          <cell r="AD1421">
            <v>2</v>
          </cell>
          <cell r="AE1421">
            <v>74764</v>
          </cell>
        </row>
        <row r="1422">
          <cell r="A1422" t="str">
            <v>SML</v>
          </cell>
          <cell r="B1422">
            <v>8</v>
          </cell>
          <cell r="C1422" t="str">
            <v>DMNT</v>
          </cell>
          <cell r="D1422">
            <v>83</v>
          </cell>
          <cell r="E1422">
            <v>3</v>
          </cell>
          <cell r="F1422" t="str">
            <v>A4</v>
          </cell>
          <cell r="G1422">
            <v>22</v>
          </cell>
          <cell r="H1422">
            <v>1</v>
          </cell>
          <cell r="I1422">
            <v>160448</v>
          </cell>
          <cell r="J1422">
            <v>13647</v>
          </cell>
          <cell r="K1422">
            <v>146801</v>
          </cell>
          <cell r="L1422">
            <v>690</v>
          </cell>
          <cell r="M1422">
            <v>360</v>
          </cell>
          <cell r="N1422">
            <v>330</v>
          </cell>
          <cell r="O1422">
            <v>1133306</v>
          </cell>
          <cell r="P1422">
            <v>931960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516317</v>
          </cell>
          <cell r="V1422">
            <v>0</v>
          </cell>
          <cell r="W1422">
            <v>0</v>
          </cell>
          <cell r="X1422">
            <v>0</v>
          </cell>
          <cell r="Y1422">
            <v>2244</v>
          </cell>
          <cell r="Z1422">
            <v>2065266</v>
          </cell>
          <cell r="AA1422">
            <v>2067510</v>
          </cell>
          <cell r="AB1422" t="str">
            <v>EMJN</v>
          </cell>
          <cell r="AC1422">
            <v>1101</v>
          </cell>
          <cell r="AD1422">
            <v>2</v>
          </cell>
          <cell r="AE1422">
            <v>160448</v>
          </cell>
        </row>
        <row r="1423">
          <cell r="A1423" t="str">
            <v>SML</v>
          </cell>
          <cell r="B1423">
            <v>8</v>
          </cell>
          <cell r="C1423" t="str">
            <v>DMNT</v>
          </cell>
          <cell r="D1423">
            <v>83</v>
          </cell>
          <cell r="E1423">
            <v>3</v>
          </cell>
          <cell r="F1423" t="str">
            <v>A4</v>
          </cell>
          <cell r="G1423">
            <v>21</v>
          </cell>
          <cell r="H1423">
            <v>1</v>
          </cell>
          <cell r="I1423">
            <v>128674</v>
          </cell>
          <cell r="J1423">
            <v>5586</v>
          </cell>
          <cell r="K1423">
            <v>123088</v>
          </cell>
          <cell r="L1423">
            <v>760</v>
          </cell>
          <cell r="M1423">
            <v>760</v>
          </cell>
          <cell r="N1423">
            <v>0</v>
          </cell>
          <cell r="O1423">
            <v>1138203</v>
          </cell>
          <cell r="P1423">
            <v>524907</v>
          </cell>
          <cell r="Q1423">
            <v>168513</v>
          </cell>
          <cell r="R1423">
            <v>0</v>
          </cell>
          <cell r="S1423">
            <v>0</v>
          </cell>
          <cell r="T1423">
            <v>0</v>
          </cell>
          <cell r="U1423">
            <v>457906</v>
          </cell>
          <cell r="V1423">
            <v>0</v>
          </cell>
          <cell r="W1423">
            <v>0</v>
          </cell>
          <cell r="X1423">
            <v>0</v>
          </cell>
          <cell r="Y1423">
            <v>2244</v>
          </cell>
          <cell r="Z1423">
            <v>1831623</v>
          </cell>
          <cell r="AA1423">
            <v>1833867</v>
          </cell>
          <cell r="AB1423" t="str">
            <v>EMJN</v>
          </cell>
          <cell r="AC1423">
            <v>1101</v>
          </cell>
          <cell r="AD1423">
            <v>2</v>
          </cell>
          <cell r="AE1423">
            <v>128674</v>
          </cell>
        </row>
        <row r="1424">
          <cell r="A1424" t="str">
            <v>SML</v>
          </cell>
          <cell r="B1424">
            <v>8</v>
          </cell>
          <cell r="C1424" t="str">
            <v>DMNT</v>
          </cell>
          <cell r="D1424">
            <v>83</v>
          </cell>
          <cell r="E1424">
            <v>3</v>
          </cell>
          <cell r="F1424" t="str">
            <v>A4</v>
          </cell>
          <cell r="G1424">
            <v>20</v>
          </cell>
          <cell r="H1424">
            <v>7</v>
          </cell>
          <cell r="I1424">
            <v>126670</v>
          </cell>
          <cell r="J1424">
            <v>0</v>
          </cell>
          <cell r="K1424">
            <v>0</v>
          </cell>
          <cell r="L1424">
            <v>371</v>
          </cell>
          <cell r="M1424">
            <v>0</v>
          </cell>
          <cell r="N1424">
            <v>0</v>
          </cell>
          <cell r="O1424">
            <v>1453498</v>
          </cell>
          <cell r="P1424">
            <v>290370</v>
          </cell>
          <cell r="Q1424">
            <v>31531</v>
          </cell>
          <cell r="R1424">
            <v>20991</v>
          </cell>
          <cell r="S1424">
            <v>0</v>
          </cell>
          <cell r="T1424">
            <v>0</v>
          </cell>
          <cell r="U1424">
            <v>445416</v>
          </cell>
          <cell r="V1424">
            <v>0</v>
          </cell>
          <cell r="W1424">
            <v>6261</v>
          </cell>
          <cell r="X1424">
            <v>0</v>
          </cell>
          <cell r="Y1424">
            <v>15708</v>
          </cell>
          <cell r="Z1424">
            <v>1781660</v>
          </cell>
          <cell r="AA1424">
            <v>1818359</v>
          </cell>
          <cell r="AB1424" t="str">
            <v>EMJN</v>
          </cell>
          <cell r="AC1424">
            <v>1101</v>
          </cell>
          <cell r="AD1424">
            <v>2</v>
          </cell>
          <cell r="AE1424">
            <v>126670</v>
          </cell>
        </row>
        <row r="1425">
          <cell r="A1425" t="str">
            <v>SML</v>
          </cell>
          <cell r="B1425">
            <v>8</v>
          </cell>
          <cell r="C1425" t="str">
            <v>DMNT</v>
          </cell>
          <cell r="D1425">
            <v>83</v>
          </cell>
          <cell r="E1425">
            <v>3</v>
          </cell>
          <cell r="F1425" t="str">
            <v xml:space="preserve">B </v>
          </cell>
          <cell r="G1425">
            <v>0</v>
          </cell>
          <cell r="H1425">
            <v>1479</v>
          </cell>
          <cell r="I1425">
            <v>383497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7984029</v>
          </cell>
          <cell r="P1425">
            <v>0</v>
          </cell>
          <cell r="Q1425">
            <v>0</v>
          </cell>
          <cell r="R1425">
            <v>112900</v>
          </cell>
          <cell r="S1425">
            <v>0</v>
          </cell>
          <cell r="T1425">
            <v>1087494</v>
          </cell>
          <cell r="U1425">
            <v>1983663</v>
          </cell>
          <cell r="V1425">
            <v>0</v>
          </cell>
          <cell r="W1425">
            <v>0</v>
          </cell>
          <cell r="X1425">
            <v>0</v>
          </cell>
          <cell r="Y1425">
            <v>699754</v>
          </cell>
          <cell r="Z1425">
            <v>7984029</v>
          </cell>
          <cell r="AA1425">
            <v>9884177</v>
          </cell>
          <cell r="AB1425" t="str">
            <v>EMJN</v>
          </cell>
          <cell r="AC1425">
            <v>1101</v>
          </cell>
          <cell r="AD1425">
            <v>2</v>
          </cell>
          <cell r="AE1425">
            <v>372091</v>
          </cell>
        </row>
        <row r="1426">
          <cell r="A1426" t="str">
            <v>SML</v>
          </cell>
          <cell r="B1426">
            <v>8</v>
          </cell>
          <cell r="C1426" t="str">
            <v>DMNT</v>
          </cell>
          <cell r="D1426">
            <v>83</v>
          </cell>
          <cell r="E1426">
            <v>5</v>
          </cell>
          <cell r="F1426" t="str">
            <v xml:space="preserve">B </v>
          </cell>
          <cell r="G1426">
            <v>0</v>
          </cell>
          <cell r="H1426">
            <v>28</v>
          </cell>
          <cell r="I1426">
            <v>29895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564437</v>
          </cell>
          <cell r="P1426">
            <v>0</v>
          </cell>
          <cell r="Q1426">
            <v>0</v>
          </cell>
          <cell r="R1426">
            <v>2904</v>
          </cell>
          <cell r="S1426">
            <v>0</v>
          </cell>
          <cell r="T1426">
            <v>0</v>
          </cell>
          <cell r="U1426">
            <v>97657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564437</v>
          </cell>
          <cell r="AA1426">
            <v>567341</v>
          </cell>
          <cell r="AB1426" t="str">
            <v>EMJN</v>
          </cell>
          <cell r="AC1426">
            <v>1101</v>
          </cell>
          <cell r="AD1426">
            <v>2</v>
          </cell>
          <cell r="AE1426">
            <v>29859</v>
          </cell>
        </row>
        <row r="1427">
          <cell r="A1427" t="str">
            <v>SML</v>
          </cell>
          <cell r="B1427">
            <v>8</v>
          </cell>
          <cell r="C1427" t="str">
            <v>DMNT</v>
          </cell>
          <cell r="D1427">
            <v>83</v>
          </cell>
          <cell r="E1427">
            <v>6</v>
          </cell>
          <cell r="F1427" t="str">
            <v xml:space="preserve">B </v>
          </cell>
          <cell r="G1427">
            <v>0</v>
          </cell>
          <cell r="H1427">
            <v>1</v>
          </cell>
          <cell r="I1427">
            <v>552620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6506178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1626545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6506178</v>
          </cell>
          <cell r="AA1427">
            <v>6506178</v>
          </cell>
          <cell r="AB1427" t="str">
            <v>EMJN</v>
          </cell>
          <cell r="AC1427">
            <v>1101</v>
          </cell>
          <cell r="AD1427">
            <v>2</v>
          </cell>
          <cell r="AE1427">
            <v>552620</v>
          </cell>
        </row>
        <row r="1428">
          <cell r="A1428" t="str">
            <v>SML</v>
          </cell>
          <cell r="B1428">
            <v>8</v>
          </cell>
          <cell r="C1428" t="str">
            <v>DMNT</v>
          </cell>
          <cell r="D1428">
            <v>83</v>
          </cell>
          <cell r="E1428">
            <v>7</v>
          </cell>
          <cell r="F1428" t="str">
            <v>A4</v>
          </cell>
          <cell r="G1428">
            <v>20</v>
          </cell>
          <cell r="H1428">
            <v>18</v>
          </cell>
          <cell r="I1428">
            <v>272674</v>
          </cell>
          <cell r="J1428">
            <v>0</v>
          </cell>
          <cell r="K1428">
            <v>0</v>
          </cell>
          <cell r="L1428">
            <v>617</v>
          </cell>
          <cell r="M1428">
            <v>0</v>
          </cell>
          <cell r="N1428">
            <v>0</v>
          </cell>
          <cell r="O1428">
            <v>2659477</v>
          </cell>
          <cell r="P1428">
            <v>409688</v>
          </cell>
          <cell r="Q1428">
            <v>46475</v>
          </cell>
          <cell r="R1428">
            <v>0</v>
          </cell>
          <cell r="S1428">
            <v>0</v>
          </cell>
          <cell r="T1428">
            <v>63455</v>
          </cell>
          <cell r="U1428">
            <v>780570</v>
          </cell>
          <cell r="V1428">
            <v>0</v>
          </cell>
          <cell r="W1428">
            <v>6640</v>
          </cell>
          <cell r="X1428">
            <v>0</v>
          </cell>
          <cell r="Y1428">
            <v>0</v>
          </cell>
          <cell r="Z1428">
            <v>3122280</v>
          </cell>
          <cell r="AA1428">
            <v>3185735</v>
          </cell>
          <cell r="AB1428" t="str">
            <v>EMJN</v>
          </cell>
          <cell r="AC1428">
            <v>1101</v>
          </cell>
          <cell r="AD1428">
            <v>2</v>
          </cell>
          <cell r="AE1428">
            <v>272674</v>
          </cell>
        </row>
        <row r="1429">
          <cell r="A1429" t="str">
            <v>SML</v>
          </cell>
          <cell r="B1429">
            <v>8</v>
          </cell>
          <cell r="C1429" t="str">
            <v>DMNT</v>
          </cell>
          <cell r="D1429">
            <v>83</v>
          </cell>
          <cell r="E1429">
            <v>7</v>
          </cell>
          <cell r="F1429" t="str">
            <v xml:space="preserve">B </v>
          </cell>
          <cell r="G1429">
            <v>0</v>
          </cell>
          <cell r="H1429">
            <v>2</v>
          </cell>
          <cell r="I1429">
            <v>6290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111298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27824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111298</v>
          </cell>
          <cell r="AA1429">
            <v>111298</v>
          </cell>
          <cell r="AB1429" t="str">
            <v>EMJN</v>
          </cell>
          <cell r="AC1429">
            <v>1101</v>
          </cell>
          <cell r="AD1429">
            <v>2</v>
          </cell>
          <cell r="AE1429">
            <v>6264</v>
          </cell>
        </row>
        <row r="1430">
          <cell r="A1430" t="str">
            <v>SML</v>
          </cell>
          <cell r="B1430">
            <v>8</v>
          </cell>
          <cell r="C1430" t="str">
            <v>DMNT</v>
          </cell>
          <cell r="D1430">
            <v>83</v>
          </cell>
          <cell r="E1430">
            <v>8</v>
          </cell>
          <cell r="F1430" t="str">
            <v xml:space="preserve">B </v>
          </cell>
          <cell r="G1430">
            <v>0</v>
          </cell>
          <cell r="H1430">
            <v>1</v>
          </cell>
          <cell r="I1430">
            <v>901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18757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4689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18757</v>
          </cell>
          <cell r="AA1430">
            <v>18757</v>
          </cell>
          <cell r="AB1430" t="str">
            <v>EMJN</v>
          </cell>
          <cell r="AC1430">
            <v>1101</v>
          </cell>
          <cell r="AD1430">
            <v>2</v>
          </cell>
          <cell r="AE1430">
            <v>901</v>
          </cell>
        </row>
        <row r="1431">
          <cell r="A1431" t="str">
            <v>SML</v>
          </cell>
          <cell r="B1431">
            <v>8</v>
          </cell>
          <cell r="C1431" t="str">
            <v>DMNT</v>
          </cell>
          <cell r="D1431">
            <v>84</v>
          </cell>
          <cell r="E1431">
            <v>1</v>
          </cell>
          <cell r="F1431" t="str">
            <v>A4</v>
          </cell>
          <cell r="G1431">
            <v>20</v>
          </cell>
          <cell r="H1431">
            <v>6</v>
          </cell>
          <cell r="I1431">
            <v>11675</v>
          </cell>
          <cell r="J1431">
            <v>0</v>
          </cell>
          <cell r="K1431">
            <v>0</v>
          </cell>
          <cell r="L1431">
            <v>91</v>
          </cell>
          <cell r="M1431">
            <v>0</v>
          </cell>
          <cell r="N1431">
            <v>0</v>
          </cell>
          <cell r="O1431">
            <v>133660</v>
          </cell>
          <cell r="P1431">
            <v>70997</v>
          </cell>
          <cell r="Q1431">
            <v>23067</v>
          </cell>
          <cell r="R1431">
            <v>1607</v>
          </cell>
          <cell r="S1431">
            <v>0</v>
          </cell>
          <cell r="T1431">
            <v>-3703</v>
          </cell>
          <cell r="U1431">
            <v>58865</v>
          </cell>
          <cell r="V1431">
            <v>0</v>
          </cell>
          <cell r="W1431">
            <v>9392</v>
          </cell>
          <cell r="X1431">
            <v>0</v>
          </cell>
          <cell r="Y1431">
            <v>518</v>
          </cell>
          <cell r="Z1431">
            <v>237116</v>
          </cell>
          <cell r="AA1431">
            <v>235538</v>
          </cell>
          <cell r="AB1431" t="str">
            <v>EMCA</v>
          </cell>
          <cell r="AC1431">
            <v>1101</v>
          </cell>
          <cell r="AD1431">
            <v>2</v>
          </cell>
          <cell r="AE1431">
            <v>11675</v>
          </cell>
        </row>
        <row r="1432">
          <cell r="A1432" t="str">
            <v>SML</v>
          </cell>
          <cell r="B1432">
            <v>8</v>
          </cell>
          <cell r="C1432" t="str">
            <v>DMNT</v>
          </cell>
          <cell r="D1432">
            <v>84</v>
          </cell>
          <cell r="E1432">
            <v>1</v>
          </cell>
          <cell r="F1432" t="str">
            <v xml:space="preserve">B </v>
          </cell>
          <cell r="G1432">
            <v>1</v>
          </cell>
          <cell r="H1432">
            <v>4255</v>
          </cell>
          <cell r="I1432">
            <v>107880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1751020</v>
          </cell>
          <cell r="P1432">
            <v>0</v>
          </cell>
          <cell r="Q1432">
            <v>0</v>
          </cell>
          <cell r="R1432">
            <v>56192</v>
          </cell>
          <cell r="S1432">
            <v>0</v>
          </cell>
          <cell r="T1432">
            <v>1948873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1751020</v>
          </cell>
          <cell r="AA1432">
            <v>3756085</v>
          </cell>
          <cell r="AB1432" t="str">
            <v>EMCA</v>
          </cell>
          <cell r="AC1432">
            <v>1101</v>
          </cell>
          <cell r="AD1432">
            <v>2</v>
          </cell>
          <cell r="AE1432">
            <v>60597</v>
          </cell>
        </row>
        <row r="1433">
          <cell r="A1433" t="str">
            <v>SML</v>
          </cell>
          <cell r="B1433">
            <v>8</v>
          </cell>
          <cell r="C1433" t="str">
            <v>DMNT</v>
          </cell>
          <cell r="D1433">
            <v>84</v>
          </cell>
          <cell r="E1433">
            <v>1</v>
          </cell>
          <cell r="F1433" t="str">
            <v xml:space="preserve">B </v>
          </cell>
          <cell r="G1433">
            <v>2</v>
          </cell>
          <cell r="H1433">
            <v>1808</v>
          </cell>
          <cell r="I1433">
            <v>73228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1420482</v>
          </cell>
          <cell r="P1433">
            <v>0</v>
          </cell>
          <cell r="Q1433">
            <v>0</v>
          </cell>
          <cell r="R1433">
            <v>29102</v>
          </cell>
          <cell r="S1433">
            <v>0</v>
          </cell>
          <cell r="T1433">
            <v>274982</v>
          </cell>
          <cell r="U1433">
            <v>241405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1420482</v>
          </cell>
          <cell r="AA1433">
            <v>1724566</v>
          </cell>
          <cell r="AB1433" t="str">
            <v>EMCA</v>
          </cell>
          <cell r="AC1433">
            <v>1101</v>
          </cell>
          <cell r="AD1433">
            <v>2</v>
          </cell>
          <cell r="AE1433">
            <v>73155</v>
          </cell>
        </row>
        <row r="1434">
          <cell r="A1434" t="str">
            <v>SML</v>
          </cell>
          <cell r="B1434">
            <v>8</v>
          </cell>
          <cell r="C1434" t="str">
            <v>DMNT</v>
          </cell>
          <cell r="D1434">
            <v>84</v>
          </cell>
          <cell r="E1434">
            <v>1</v>
          </cell>
          <cell r="F1434" t="str">
            <v xml:space="preserve">B </v>
          </cell>
          <cell r="G1434">
            <v>3</v>
          </cell>
          <cell r="H1434">
            <v>7828</v>
          </cell>
          <cell r="I1434">
            <v>608738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11804692</v>
          </cell>
          <cell r="P1434">
            <v>0</v>
          </cell>
          <cell r="Q1434">
            <v>0</v>
          </cell>
          <cell r="R1434">
            <v>122020</v>
          </cell>
          <cell r="S1434">
            <v>0</v>
          </cell>
          <cell r="T1434">
            <v>1094500</v>
          </cell>
          <cell r="U1434">
            <v>2006842</v>
          </cell>
          <cell r="V1434">
            <v>0</v>
          </cell>
          <cell r="W1434">
            <v>0</v>
          </cell>
          <cell r="X1434">
            <v>0</v>
          </cell>
          <cell r="Y1434">
            <v>1172493</v>
          </cell>
          <cell r="Z1434">
            <v>11804692</v>
          </cell>
          <cell r="AA1434">
            <v>14193705</v>
          </cell>
          <cell r="AB1434" t="str">
            <v>EMCA</v>
          </cell>
          <cell r="AC1434">
            <v>1101</v>
          </cell>
          <cell r="AD1434">
            <v>2</v>
          </cell>
          <cell r="AE1434">
            <v>595469</v>
          </cell>
        </row>
        <row r="1435">
          <cell r="A1435" t="str">
            <v>SML</v>
          </cell>
          <cell r="B1435">
            <v>8</v>
          </cell>
          <cell r="C1435" t="str">
            <v>DMNT</v>
          </cell>
          <cell r="D1435">
            <v>84</v>
          </cell>
          <cell r="E1435">
            <v>1</v>
          </cell>
          <cell r="F1435" t="str">
            <v xml:space="preserve">B </v>
          </cell>
          <cell r="G1435">
            <v>4</v>
          </cell>
          <cell r="H1435">
            <v>5778</v>
          </cell>
          <cell r="I1435">
            <v>711603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13800479</v>
          </cell>
          <cell r="P1435">
            <v>0</v>
          </cell>
          <cell r="Q1435">
            <v>0</v>
          </cell>
          <cell r="R1435">
            <v>157358</v>
          </cell>
          <cell r="S1435">
            <v>0</v>
          </cell>
          <cell r="T1435">
            <v>817635</v>
          </cell>
          <cell r="U1435">
            <v>2346093</v>
          </cell>
          <cell r="V1435">
            <v>0</v>
          </cell>
          <cell r="W1435">
            <v>0</v>
          </cell>
          <cell r="X1435">
            <v>0</v>
          </cell>
          <cell r="Y1435">
            <v>1346800</v>
          </cell>
          <cell r="Z1435">
            <v>13800479</v>
          </cell>
          <cell r="AA1435">
            <v>16122272</v>
          </cell>
          <cell r="AB1435" t="str">
            <v>EMCA</v>
          </cell>
          <cell r="AC1435">
            <v>1101</v>
          </cell>
          <cell r="AD1435">
            <v>2</v>
          </cell>
          <cell r="AE1435">
            <v>711603</v>
          </cell>
        </row>
        <row r="1436">
          <cell r="A1436" t="str">
            <v>SML</v>
          </cell>
          <cell r="B1436">
            <v>8</v>
          </cell>
          <cell r="C1436" t="str">
            <v>DMNT</v>
          </cell>
          <cell r="D1436">
            <v>84</v>
          </cell>
          <cell r="E1436">
            <v>1</v>
          </cell>
          <cell r="F1436" t="str">
            <v xml:space="preserve">B </v>
          </cell>
          <cell r="G1436">
            <v>5</v>
          </cell>
          <cell r="H1436">
            <v>3199</v>
          </cell>
          <cell r="I1436">
            <v>552846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10722829</v>
          </cell>
          <cell r="P1436">
            <v>0</v>
          </cell>
          <cell r="Q1436">
            <v>0</v>
          </cell>
          <cell r="R1436">
            <v>114150</v>
          </cell>
          <cell r="S1436">
            <v>0</v>
          </cell>
          <cell r="T1436">
            <v>355118</v>
          </cell>
          <cell r="U1436">
            <v>1822915</v>
          </cell>
          <cell r="V1436">
            <v>0</v>
          </cell>
          <cell r="W1436">
            <v>0</v>
          </cell>
          <cell r="X1436">
            <v>0</v>
          </cell>
          <cell r="Y1436">
            <v>747992</v>
          </cell>
          <cell r="Z1436">
            <v>10722829</v>
          </cell>
          <cell r="AA1436">
            <v>11940089</v>
          </cell>
          <cell r="AB1436" t="str">
            <v>EMCA</v>
          </cell>
          <cell r="AC1436">
            <v>1101</v>
          </cell>
          <cell r="AD1436">
            <v>2</v>
          </cell>
          <cell r="AE1436">
            <v>552846</v>
          </cell>
        </row>
        <row r="1437">
          <cell r="A1437" t="str">
            <v>SML</v>
          </cell>
          <cell r="B1437">
            <v>8</v>
          </cell>
          <cell r="C1437" t="str">
            <v>DMNT</v>
          </cell>
          <cell r="D1437">
            <v>84</v>
          </cell>
          <cell r="E1437">
            <v>1</v>
          </cell>
          <cell r="F1437" t="str">
            <v xml:space="preserve">B </v>
          </cell>
          <cell r="G1437">
            <v>6</v>
          </cell>
          <cell r="H1437">
            <v>3210</v>
          </cell>
          <cell r="I1437">
            <v>773009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15009659</v>
          </cell>
          <cell r="P1437">
            <v>0</v>
          </cell>
          <cell r="Q1437">
            <v>0</v>
          </cell>
          <cell r="R1437">
            <v>134237</v>
          </cell>
          <cell r="S1437">
            <v>0</v>
          </cell>
          <cell r="T1437">
            <v>431930</v>
          </cell>
          <cell r="U1437">
            <v>2552159</v>
          </cell>
          <cell r="V1437">
            <v>0</v>
          </cell>
          <cell r="W1437">
            <v>0</v>
          </cell>
          <cell r="X1437">
            <v>0</v>
          </cell>
          <cell r="Y1437">
            <v>751618</v>
          </cell>
          <cell r="Z1437">
            <v>15009659</v>
          </cell>
          <cell r="AA1437">
            <v>16327444</v>
          </cell>
          <cell r="AB1437" t="str">
            <v>EMCA</v>
          </cell>
          <cell r="AC1437">
            <v>1101</v>
          </cell>
          <cell r="AD1437">
            <v>2</v>
          </cell>
          <cell r="AE1437">
            <v>773009</v>
          </cell>
        </row>
        <row r="1438">
          <cell r="A1438" t="str">
            <v>SML</v>
          </cell>
          <cell r="B1438">
            <v>8</v>
          </cell>
          <cell r="C1438" t="str">
            <v>DMNT</v>
          </cell>
          <cell r="D1438">
            <v>84</v>
          </cell>
          <cell r="E1438">
            <v>1</v>
          </cell>
          <cell r="F1438" t="str">
            <v xml:space="preserve">B </v>
          </cell>
          <cell r="G1438">
            <v>7</v>
          </cell>
          <cell r="H1438">
            <v>1549</v>
          </cell>
          <cell r="I1438">
            <v>533676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10737652</v>
          </cell>
          <cell r="P1438">
            <v>0</v>
          </cell>
          <cell r="Q1438">
            <v>0</v>
          </cell>
          <cell r="R1438">
            <v>73302</v>
          </cell>
          <cell r="S1438">
            <v>0</v>
          </cell>
          <cell r="T1438">
            <v>197125</v>
          </cell>
          <cell r="U1438">
            <v>2147925</v>
          </cell>
          <cell r="V1438">
            <v>0</v>
          </cell>
          <cell r="W1438">
            <v>0</v>
          </cell>
          <cell r="X1438">
            <v>0</v>
          </cell>
          <cell r="Y1438">
            <v>370629</v>
          </cell>
          <cell r="Z1438">
            <v>10737652</v>
          </cell>
          <cell r="AA1438">
            <v>11378708</v>
          </cell>
          <cell r="AB1438" t="str">
            <v>EMCA</v>
          </cell>
          <cell r="AC1438">
            <v>1101</v>
          </cell>
          <cell r="AD1438">
            <v>2</v>
          </cell>
          <cell r="AE1438">
            <v>533676</v>
          </cell>
        </row>
        <row r="1439">
          <cell r="A1439" t="str">
            <v>SML</v>
          </cell>
          <cell r="B1439">
            <v>8</v>
          </cell>
          <cell r="C1439" t="str">
            <v>DMNT</v>
          </cell>
          <cell r="D1439">
            <v>84</v>
          </cell>
          <cell r="E1439">
            <v>1</v>
          </cell>
          <cell r="F1439" t="str">
            <v xml:space="preserve">B </v>
          </cell>
          <cell r="G1439">
            <v>8</v>
          </cell>
          <cell r="H1439">
            <v>958</v>
          </cell>
          <cell r="I1439">
            <v>422040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8487050</v>
          </cell>
          <cell r="P1439">
            <v>0</v>
          </cell>
          <cell r="Q1439">
            <v>0</v>
          </cell>
          <cell r="R1439">
            <v>59252</v>
          </cell>
          <cell r="S1439">
            <v>0</v>
          </cell>
          <cell r="T1439">
            <v>111906</v>
          </cell>
          <cell r="U1439">
            <v>1696175</v>
          </cell>
          <cell r="V1439">
            <v>0</v>
          </cell>
          <cell r="W1439">
            <v>0</v>
          </cell>
          <cell r="X1439">
            <v>0</v>
          </cell>
          <cell r="Y1439">
            <v>228956</v>
          </cell>
          <cell r="Z1439">
            <v>8487050</v>
          </cell>
          <cell r="AA1439">
            <v>8887164</v>
          </cell>
          <cell r="AB1439" t="str">
            <v>EMCA</v>
          </cell>
          <cell r="AC1439">
            <v>1101</v>
          </cell>
          <cell r="AD1439">
            <v>2</v>
          </cell>
          <cell r="AE1439">
            <v>422040</v>
          </cell>
        </row>
        <row r="1440">
          <cell r="A1440" t="str">
            <v>SML</v>
          </cell>
          <cell r="B1440">
            <v>8</v>
          </cell>
          <cell r="C1440" t="str">
            <v>DMNT</v>
          </cell>
          <cell r="D1440">
            <v>84</v>
          </cell>
          <cell r="E1440">
            <v>1</v>
          </cell>
          <cell r="F1440" t="str">
            <v xml:space="preserve">B </v>
          </cell>
          <cell r="G1440">
            <v>9</v>
          </cell>
          <cell r="H1440">
            <v>1525</v>
          </cell>
          <cell r="I1440">
            <v>998516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21410191</v>
          </cell>
          <cell r="P1440">
            <v>0</v>
          </cell>
          <cell r="Q1440">
            <v>5643</v>
          </cell>
          <cell r="R1440">
            <v>130988</v>
          </cell>
          <cell r="S1440">
            <v>0</v>
          </cell>
          <cell r="T1440">
            <v>283726</v>
          </cell>
          <cell r="U1440">
            <v>5351662</v>
          </cell>
          <cell r="V1440">
            <v>0</v>
          </cell>
          <cell r="W1440">
            <v>0</v>
          </cell>
          <cell r="X1440">
            <v>0</v>
          </cell>
          <cell r="Y1440">
            <v>361908</v>
          </cell>
          <cell r="Z1440">
            <v>21415834</v>
          </cell>
          <cell r="AA1440">
            <v>22192456</v>
          </cell>
          <cell r="AB1440" t="str">
            <v>EMCA</v>
          </cell>
          <cell r="AC1440">
            <v>1101</v>
          </cell>
          <cell r="AD1440">
            <v>2</v>
          </cell>
          <cell r="AE1440">
            <v>998516</v>
          </cell>
        </row>
        <row r="1441">
          <cell r="A1441" t="str">
            <v>SML</v>
          </cell>
          <cell r="B1441">
            <v>8</v>
          </cell>
          <cell r="C1441" t="str">
            <v>DMNT</v>
          </cell>
          <cell r="D1441">
            <v>84</v>
          </cell>
          <cell r="E1441">
            <v>1</v>
          </cell>
          <cell r="F1441" t="str">
            <v xml:space="preserve">B </v>
          </cell>
          <cell r="G1441">
            <v>10</v>
          </cell>
          <cell r="H1441">
            <v>406</v>
          </cell>
          <cell r="I1441">
            <v>711991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15095497</v>
          </cell>
          <cell r="P1441">
            <v>0</v>
          </cell>
          <cell r="Q1441">
            <v>-32694</v>
          </cell>
          <cell r="R1441">
            <v>65424</v>
          </cell>
          <cell r="S1441">
            <v>0</v>
          </cell>
          <cell r="T1441">
            <v>155215</v>
          </cell>
          <cell r="U1441">
            <v>3772748</v>
          </cell>
          <cell r="V1441">
            <v>0</v>
          </cell>
          <cell r="W1441">
            <v>0</v>
          </cell>
          <cell r="X1441">
            <v>0</v>
          </cell>
          <cell r="Y1441">
            <v>68117</v>
          </cell>
          <cell r="Z1441">
            <v>15062803</v>
          </cell>
          <cell r="AA1441">
            <v>15351559</v>
          </cell>
          <cell r="AB1441" t="str">
            <v>EMCA</v>
          </cell>
          <cell r="AC1441">
            <v>1101</v>
          </cell>
          <cell r="AD1441">
            <v>2</v>
          </cell>
          <cell r="AE1441">
            <v>711991</v>
          </cell>
        </row>
        <row r="1442">
          <cell r="A1442" t="str">
            <v>SML</v>
          </cell>
          <cell r="B1442">
            <v>8</v>
          </cell>
          <cell r="C1442" t="str">
            <v>DMNT</v>
          </cell>
          <cell r="D1442">
            <v>84</v>
          </cell>
          <cell r="E1442">
            <v>1</v>
          </cell>
          <cell r="F1442" t="str">
            <v xml:space="preserve">B </v>
          </cell>
          <cell r="G1442">
            <v>11</v>
          </cell>
          <cell r="H1442">
            <v>5603</v>
          </cell>
          <cell r="I1442">
            <v>144398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819587</v>
          </cell>
          <cell r="P1442">
            <v>0</v>
          </cell>
          <cell r="Q1442">
            <v>0</v>
          </cell>
          <cell r="R1442">
            <v>19339</v>
          </cell>
          <cell r="S1442">
            <v>0</v>
          </cell>
          <cell r="T1442">
            <v>272371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819587</v>
          </cell>
          <cell r="AA1442">
            <v>1111297</v>
          </cell>
          <cell r="AB1442" t="str">
            <v>EMCA</v>
          </cell>
          <cell r="AC1442">
            <v>1101</v>
          </cell>
          <cell r="AD1442">
            <v>2</v>
          </cell>
          <cell r="AE1442">
            <v>79524</v>
          </cell>
        </row>
        <row r="1443">
          <cell r="A1443" t="str">
            <v>SML</v>
          </cell>
          <cell r="B1443">
            <v>8</v>
          </cell>
          <cell r="C1443" t="str">
            <v>DMNT</v>
          </cell>
          <cell r="D1443">
            <v>84</v>
          </cell>
          <cell r="E1443">
            <v>1</v>
          </cell>
          <cell r="F1443" t="str">
            <v xml:space="preserve">B </v>
          </cell>
          <cell r="G1443">
            <v>12</v>
          </cell>
          <cell r="H1443">
            <v>10052</v>
          </cell>
          <cell r="I1443">
            <v>655863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6262865</v>
          </cell>
          <cell r="P1443">
            <v>0</v>
          </cell>
          <cell r="Q1443">
            <v>0</v>
          </cell>
          <cell r="R1443">
            <v>104376</v>
          </cell>
          <cell r="S1443">
            <v>0</v>
          </cell>
          <cell r="T1443">
            <v>334626</v>
          </cell>
          <cell r="U1443">
            <v>1065049</v>
          </cell>
          <cell r="V1443">
            <v>0</v>
          </cell>
          <cell r="W1443">
            <v>0</v>
          </cell>
          <cell r="X1443">
            <v>0</v>
          </cell>
          <cell r="Y1443">
            <v>968401</v>
          </cell>
          <cell r="Z1443">
            <v>6262865</v>
          </cell>
          <cell r="AA1443">
            <v>7670268</v>
          </cell>
          <cell r="AB1443" t="str">
            <v>EMCA</v>
          </cell>
          <cell r="AC1443">
            <v>1101</v>
          </cell>
          <cell r="AD1443">
            <v>2</v>
          </cell>
          <cell r="AE1443">
            <v>655855</v>
          </cell>
        </row>
        <row r="1444">
          <cell r="A1444" t="str">
            <v>SML</v>
          </cell>
          <cell r="B1444">
            <v>8</v>
          </cell>
          <cell r="C1444" t="str">
            <v>DMNT</v>
          </cell>
          <cell r="D1444">
            <v>84</v>
          </cell>
          <cell r="E1444">
            <v>1</v>
          </cell>
          <cell r="F1444" t="str">
            <v xml:space="preserve">B </v>
          </cell>
          <cell r="G1444">
            <v>13</v>
          </cell>
          <cell r="H1444">
            <v>1697</v>
          </cell>
          <cell r="I1444">
            <v>196900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2458837</v>
          </cell>
          <cell r="P1444">
            <v>0</v>
          </cell>
          <cell r="Q1444">
            <v>0</v>
          </cell>
          <cell r="R1444">
            <v>37354</v>
          </cell>
          <cell r="S1444">
            <v>0</v>
          </cell>
          <cell r="T1444">
            <v>106039</v>
          </cell>
          <cell r="U1444">
            <v>418041</v>
          </cell>
          <cell r="V1444">
            <v>0</v>
          </cell>
          <cell r="W1444">
            <v>0</v>
          </cell>
          <cell r="X1444">
            <v>0</v>
          </cell>
          <cell r="Y1444">
            <v>385133</v>
          </cell>
          <cell r="Z1444">
            <v>2458837</v>
          </cell>
          <cell r="AA1444">
            <v>2987363</v>
          </cell>
          <cell r="AB1444" t="str">
            <v>EMCA</v>
          </cell>
          <cell r="AC1444">
            <v>1101</v>
          </cell>
          <cell r="AD1444">
            <v>2</v>
          </cell>
          <cell r="AE1444">
            <v>196900</v>
          </cell>
        </row>
        <row r="1445">
          <cell r="A1445" t="str">
            <v>SML</v>
          </cell>
          <cell r="B1445">
            <v>8</v>
          </cell>
          <cell r="C1445" t="str">
            <v>DMNT</v>
          </cell>
          <cell r="D1445">
            <v>84</v>
          </cell>
          <cell r="E1445">
            <v>1</v>
          </cell>
          <cell r="F1445" t="str">
            <v xml:space="preserve">B </v>
          </cell>
          <cell r="G1445">
            <v>14</v>
          </cell>
          <cell r="H1445">
            <v>221</v>
          </cell>
          <cell r="I1445">
            <v>33664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435824</v>
          </cell>
          <cell r="P1445">
            <v>0</v>
          </cell>
          <cell r="Q1445">
            <v>0</v>
          </cell>
          <cell r="R1445">
            <v>8176</v>
          </cell>
          <cell r="S1445">
            <v>0</v>
          </cell>
          <cell r="T1445">
            <v>12768</v>
          </cell>
          <cell r="U1445">
            <v>74100</v>
          </cell>
          <cell r="V1445">
            <v>0</v>
          </cell>
          <cell r="W1445">
            <v>0</v>
          </cell>
          <cell r="X1445">
            <v>0</v>
          </cell>
          <cell r="Y1445">
            <v>51800</v>
          </cell>
          <cell r="Z1445">
            <v>435824</v>
          </cell>
          <cell r="AA1445">
            <v>508568</v>
          </cell>
          <cell r="AB1445" t="str">
            <v>EMCA</v>
          </cell>
          <cell r="AC1445">
            <v>1101</v>
          </cell>
          <cell r="AD1445">
            <v>2</v>
          </cell>
          <cell r="AE1445">
            <v>33664</v>
          </cell>
        </row>
        <row r="1446">
          <cell r="A1446" t="str">
            <v>SML</v>
          </cell>
          <cell r="B1446">
            <v>8</v>
          </cell>
          <cell r="C1446" t="str">
            <v>DMNT</v>
          </cell>
          <cell r="D1446">
            <v>84</v>
          </cell>
          <cell r="E1446">
            <v>1</v>
          </cell>
          <cell r="F1446" t="str">
            <v xml:space="preserve">B </v>
          </cell>
          <cell r="G1446">
            <v>15</v>
          </cell>
          <cell r="H1446">
            <v>340</v>
          </cell>
          <cell r="I1446">
            <v>62632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920526</v>
          </cell>
          <cell r="P1446">
            <v>0</v>
          </cell>
          <cell r="Q1446">
            <v>0</v>
          </cell>
          <cell r="R1446">
            <v>5841</v>
          </cell>
          <cell r="S1446">
            <v>0</v>
          </cell>
          <cell r="T1446">
            <v>22884</v>
          </cell>
          <cell r="U1446">
            <v>158094</v>
          </cell>
          <cell r="V1446">
            <v>0</v>
          </cell>
          <cell r="W1446">
            <v>0</v>
          </cell>
          <cell r="X1446">
            <v>0</v>
          </cell>
          <cell r="Y1446">
            <v>72779</v>
          </cell>
          <cell r="Z1446">
            <v>920526</v>
          </cell>
          <cell r="AA1446">
            <v>1022030</v>
          </cell>
          <cell r="AB1446" t="str">
            <v>EMCA</v>
          </cell>
          <cell r="AC1446">
            <v>1101</v>
          </cell>
          <cell r="AD1446">
            <v>2</v>
          </cell>
          <cell r="AE1446">
            <v>62632</v>
          </cell>
        </row>
        <row r="1447">
          <cell r="A1447" t="str">
            <v>SML</v>
          </cell>
          <cell r="B1447">
            <v>8</v>
          </cell>
          <cell r="C1447" t="str">
            <v>DMNT</v>
          </cell>
          <cell r="D1447">
            <v>84</v>
          </cell>
          <cell r="E1447">
            <v>2</v>
          </cell>
          <cell r="F1447" t="str">
            <v>A4</v>
          </cell>
          <cell r="G1447">
            <v>22</v>
          </cell>
          <cell r="H1447">
            <v>1</v>
          </cell>
          <cell r="I1447">
            <v>30004</v>
          </cell>
          <cell r="J1447">
            <v>3143</v>
          </cell>
          <cell r="K1447">
            <v>26861</v>
          </cell>
          <cell r="L1447">
            <v>180</v>
          </cell>
          <cell r="M1447">
            <v>90</v>
          </cell>
          <cell r="N1447">
            <v>90</v>
          </cell>
          <cell r="O1447">
            <v>216142</v>
          </cell>
          <cell r="P1447">
            <v>248520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116166</v>
          </cell>
          <cell r="V1447">
            <v>0</v>
          </cell>
          <cell r="W1447">
            <v>0</v>
          </cell>
          <cell r="X1447">
            <v>0</v>
          </cell>
          <cell r="Y1447">
            <v>519</v>
          </cell>
          <cell r="Z1447">
            <v>464662</v>
          </cell>
          <cell r="AA1447">
            <v>465181</v>
          </cell>
          <cell r="AB1447" t="str">
            <v>EMCA</v>
          </cell>
          <cell r="AC1447">
            <v>1101</v>
          </cell>
          <cell r="AD1447">
            <v>2</v>
          </cell>
          <cell r="AE1447">
            <v>30004</v>
          </cell>
        </row>
        <row r="1448">
          <cell r="A1448" t="str">
            <v>SML</v>
          </cell>
          <cell r="B1448">
            <v>8</v>
          </cell>
          <cell r="C1448" t="str">
            <v>DMNT</v>
          </cell>
          <cell r="D1448">
            <v>84</v>
          </cell>
          <cell r="E1448">
            <v>2</v>
          </cell>
          <cell r="F1448" t="str">
            <v>A4</v>
          </cell>
          <cell r="G1448">
            <v>21</v>
          </cell>
          <cell r="H1448">
            <v>5</v>
          </cell>
          <cell r="I1448">
            <v>630379</v>
          </cell>
          <cell r="J1448">
            <v>53555</v>
          </cell>
          <cell r="K1448">
            <v>576824</v>
          </cell>
          <cell r="L1448">
            <v>2375</v>
          </cell>
          <cell r="M1448">
            <v>2375</v>
          </cell>
          <cell r="N1448">
            <v>0</v>
          </cell>
          <cell r="O1448">
            <v>7016879</v>
          </cell>
          <cell r="P1448">
            <v>1640333</v>
          </cell>
          <cell r="Q1448">
            <v>342402</v>
          </cell>
          <cell r="R1448">
            <v>76550</v>
          </cell>
          <cell r="S1448">
            <v>0</v>
          </cell>
          <cell r="T1448">
            <v>0</v>
          </cell>
          <cell r="U1448">
            <v>2260782</v>
          </cell>
          <cell r="V1448">
            <v>0</v>
          </cell>
          <cell r="W1448">
            <v>43512</v>
          </cell>
          <cell r="X1448">
            <v>0</v>
          </cell>
          <cell r="Y1448">
            <v>2595</v>
          </cell>
          <cell r="Z1448">
            <v>9043126</v>
          </cell>
          <cell r="AA1448">
            <v>9122271</v>
          </cell>
          <cell r="AB1448" t="str">
            <v>EMCA</v>
          </cell>
          <cell r="AC1448">
            <v>1101</v>
          </cell>
          <cell r="AD1448">
            <v>2</v>
          </cell>
          <cell r="AE1448">
            <v>630379</v>
          </cell>
        </row>
        <row r="1449">
          <cell r="A1449" t="str">
            <v>SML</v>
          </cell>
          <cell r="B1449">
            <v>8</v>
          </cell>
          <cell r="C1449" t="str">
            <v>DMNT</v>
          </cell>
          <cell r="D1449">
            <v>84</v>
          </cell>
          <cell r="E1449">
            <v>2</v>
          </cell>
          <cell r="F1449" t="str">
            <v>A4</v>
          </cell>
          <cell r="G1449">
            <v>20</v>
          </cell>
          <cell r="H1449">
            <v>23</v>
          </cell>
          <cell r="I1449">
            <v>227596</v>
          </cell>
          <cell r="J1449">
            <v>0</v>
          </cell>
          <cell r="K1449">
            <v>0</v>
          </cell>
          <cell r="L1449">
            <v>889</v>
          </cell>
          <cell r="M1449">
            <v>0</v>
          </cell>
          <cell r="N1449">
            <v>0</v>
          </cell>
          <cell r="O1449">
            <v>2611585</v>
          </cell>
          <cell r="P1449">
            <v>695791</v>
          </cell>
          <cell r="Q1449">
            <v>129238</v>
          </cell>
          <cell r="R1449">
            <v>29633</v>
          </cell>
          <cell r="S1449">
            <v>0</v>
          </cell>
          <cell r="T1449">
            <v>0</v>
          </cell>
          <cell r="U1449">
            <v>869527</v>
          </cell>
          <cell r="V1449">
            <v>0</v>
          </cell>
          <cell r="W1449">
            <v>41483</v>
          </cell>
          <cell r="X1449">
            <v>0</v>
          </cell>
          <cell r="Y1449">
            <v>11418</v>
          </cell>
          <cell r="Z1449">
            <v>3478097</v>
          </cell>
          <cell r="AA1449">
            <v>3519148</v>
          </cell>
          <cell r="AB1449" t="str">
            <v>EMCA</v>
          </cell>
          <cell r="AC1449">
            <v>1101</v>
          </cell>
          <cell r="AD1449">
            <v>2</v>
          </cell>
          <cell r="AE1449">
            <v>227596</v>
          </cell>
        </row>
        <row r="1450">
          <cell r="A1450" t="str">
            <v>SML</v>
          </cell>
          <cell r="B1450">
            <v>8</v>
          </cell>
          <cell r="C1450" t="str">
            <v>DMNT</v>
          </cell>
          <cell r="D1450">
            <v>84</v>
          </cell>
          <cell r="E1450">
            <v>2</v>
          </cell>
          <cell r="F1450" t="str">
            <v xml:space="preserve">B </v>
          </cell>
          <cell r="G1450">
            <v>0</v>
          </cell>
          <cell r="H1450">
            <v>133</v>
          </cell>
          <cell r="I1450">
            <v>164078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3415873</v>
          </cell>
          <cell r="P1450">
            <v>0</v>
          </cell>
          <cell r="Q1450">
            <v>0</v>
          </cell>
          <cell r="R1450">
            <v>37340</v>
          </cell>
          <cell r="S1450">
            <v>0</v>
          </cell>
          <cell r="T1450">
            <v>395191</v>
          </cell>
          <cell r="U1450">
            <v>841887</v>
          </cell>
          <cell r="V1450">
            <v>0</v>
          </cell>
          <cell r="W1450">
            <v>0</v>
          </cell>
          <cell r="X1450">
            <v>0</v>
          </cell>
          <cell r="Y1450">
            <v>62799</v>
          </cell>
          <cell r="Z1450">
            <v>3415873</v>
          </cell>
          <cell r="AA1450">
            <v>3911203</v>
          </cell>
          <cell r="AB1450" t="str">
            <v>EMCA</v>
          </cell>
          <cell r="AC1450">
            <v>1101</v>
          </cell>
          <cell r="AD1450">
            <v>2</v>
          </cell>
          <cell r="AE1450">
            <v>163301</v>
          </cell>
        </row>
        <row r="1451">
          <cell r="A1451" t="str">
            <v>SML</v>
          </cell>
          <cell r="B1451">
            <v>8</v>
          </cell>
          <cell r="C1451" t="str">
            <v>DMNT</v>
          </cell>
          <cell r="D1451">
            <v>84</v>
          </cell>
          <cell r="E1451">
            <v>3</v>
          </cell>
          <cell r="F1451" t="str">
            <v>A4</v>
          </cell>
          <cell r="G1451">
            <v>22</v>
          </cell>
          <cell r="H1451">
            <v>5</v>
          </cell>
          <cell r="I1451">
            <v>1387308</v>
          </cell>
          <cell r="J1451">
            <v>111134</v>
          </cell>
          <cell r="K1451">
            <v>1276174</v>
          </cell>
          <cell r="L1451">
            <v>5679</v>
          </cell>
          <cell r="M1451">
            <v>3128</v>
          </cell>
          <cell r="N1451">
            <v>2551</v>
          </cell>
          <cell r="O1451">
            <v>9750177</v>
          </cell>
          <cell r="P1451">
            <v>7442675</v>
          </cell>
          <cell r="Q1451">
            <v>268501</v>
          </cell>
          <cell r="R1451">
            <v>12541</v>
          </cell>
          <cell r="S1451">
            <v>0</v>
          </cell>
          <cell r="T1451">
            <v>40355</v>
          </cell>
          <cell r="U1451">
            <v>4365340</v>
          </cell>
          <cell r="V1451">
            <v>0</v>
          </cell>
          <cell r="W1451">
            <v>0</v>
          </cell>
          <cell r="X1451">
            <v>0</v>
          </cell>
          <cell r="Y1451">
            <v>2076</v>
          </cell>
          <cell r="Z1451">
            <v>17461353</v>
          </cell>
          <cell r="AA1451">
            <v>17516325</v>
          </cell>
          <cell r="AB1451" t="str">
            <v>EMCA</v>
          </cell>
          <cell r="AC1451">
            <v>1101</v>
          </cell>
          <cell r="AD1451">
            <v>2</v>
          </cell>
          <cell r="AE1451">
            <v>1387308</v>
          </cell>
        </row>
        <row r="1452">
          <cell r="A1452" t="str">
            <v>SML</v>
          </cell>
          <cell r="B1452">
            <v>8</v>
          </cell>
          <cell r="C1452" t="str">
            <v>DMNT</v>
          </cell>
          <cell r="D1452">
            <v>84</v>
          </cell>
          <cell r="E1452">
            <v>3</v>
          </cell>
          <cell r="F1452" t="str">
            <v>A4</v>
          </cell>
          <cell r="G1452">
            <v>21</v>
          </cell>
          <cell r="H1452">
            <v>2</v>
          </cell>
          <cell r="I1452">
            <v>132461</v>
          </cell>
          <cell r="J1452">
            <v>5842</v>
          </cell>
          <cell r="K1452">
            <v>126619</v>
          </cell>
          <cell r="L1452">
            <v>677</v>
          </cell>
          <cell r="M1452">
            <v>650</v>
          </cell>
          <cell r="N1452">
            <v>0</v>
          </cell>
          <cell r="O1452">
            <v>1176741</v>
          </cell>
          <cell r="P1452">
            <v>504841</v>
          </cell>
          <cell r="Q1452">
            <v>11817</v>
          </cell>
          <cell r="R1452">
            <v>26185</v>
          </cell>
          <cell r="S1452">
            <v>0</v>
          </cell>
          <cell r="T1452">
            <v>0</v>
          </cell>
          <cell r="U1452">
            <v>423350</v>
          </cell>
          <cell r="V1452">
            <v>0</v>
          </cell>
          <cell r="W1452">
            <v>0</v>
          </cell>
          <cell r="X1452">
            <v>0</v>
          </cell>
          <cell r="Y1452">
            <v>1038</v>
          </cell>
          <cell r="Z1452">
            <v>1693399</v>
          </cell>
          <cell r="AA1452">
            <v>1720622</v>
          </cell>
          <cell r="AB1452" t="str">
            <v>EMCA</v>
          </cell>
          <cell r="AC1452">
            <v>1101</v>
          </cell>
          <cell r="AD1452">
            <v>2</v>
          </cell>
          <cell r="AE1452">
            <v>132461</v>
          </cell>
        </row>
        <row r="1453">
          <cell r="A1453" t="str">
            <v>SML</v>
          </cell>
          <cell r="B1453">
            <v>8</v>
          </cell>
          <cell r="C1453" t="str">
            <v>DMNT</v>
          </cell>
          <cell r="D1453">
            <v>84</v>
          </cell>
          <cell r="E1453">
            <v>3</v>
          </cell>
          <cell r="F1453" t="str">
            <v>A4</v>
          </cell>
          <cell r="G1453">
            <v>20</v>
          </cell>
          <cell r="H1453">
            <v>52</v>
          </cell>
          <cell r="I1453">
            <v>600029</v>
          </cell>
          <cell r="J1453">
            <v>0</v>
          </cell>
          <cell r="K1453">
            <v>0</v>
          </cell>
          <cell r="L1453">
            <v>2494</v>
          </cell>
          <cell r="M1453">
            <v>0</v>
          </cell>
          <cell r="N1453">
            <v>0</v>
          </cell>
          <cell r="O1453">
            <v>6885127</v>
          </cell>
          <cell r="P1453">
            <v>1951968</v>
          </cell>
          <cell r="Q1453">
            <v>143398</v>
          </cell>
          <cell r="R1453">
            <v>52346</v>
          </cell>
          <cell r="S1453">
            <v>0</v>
          </cell>
          <cell r="T1453">
            <v>255169</v>
          </cell>
          <cell r="U1453">
            <v>2242779</v>
          </cell>
          <cell r="V1453">
            <v>0</v>
          </cell>
          <cell r="W1453">
            <v>-9392</v>
          </cell>
          <cell r="X1453">
            <v>0</v>
          </cell>
          <cell r="Y1453">
            <v>25431</v>
          </cell>
          <cell r="Z1453">
            <v>8971101</v>
          </cell>
          <cell r="AA1453">
            <v>9304047</v>
          </cell>
          <cell r="AB1453" t="str">
            <v>EMCA</v>
          </cell>
          <cell r="AC1453">
            <v>1101</v>
          </cell>
          <cell r="AD1453">
            <v>2</v>
          </cell>
          <cell r="AE1453">
            <v>600029</v>
          </cell>
        </row>
        <row r="1454">
          <cell r="A1454" t="str">
            <v>SML</v>
          </cell>
          <cell r="B1454">
            <v>8</v>
          </cell>
          <cell r="C1454" t="str">
            <v>DMNT</v>
          </cell>
          <cell r="D1454">
            <v>84</v>
          </cell>
          <cell r="E1454">
            <v>3</v>
          </cell>
          <cell r="F1454" t="str">
            <v xml:space="preserve">B </v>
          </cell>
          <cell r="G1454">
            <v>0</v>
          </cell>
          <cell r="H1454">
            <v>3414</v>
          </cell>
          <cell r="I1454">
            <v>1352603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28204472</v>
          </cell>
          <cell r="P1454">
            <v>0</v>
          </cell>
          <cell r="Q1454">
            <v>0</v>
          </cell>
          <cell r="R1454">
            <v>281414</v>
          </cell>
          <cell r="S1454">
            <v>0</v>
          </cell>
          <cell r="T1454">
            <v>1598446</v>
          </cell>
          <cell r="U1454">
            <v>7012967</v>
          </cell>
          <cell r="V1454">
            <v>0</v>
          </cell>
          <cell r="W1454">
            <v>0</v>
          </cell>
          <cell r="X1454">
            <v>0</v>
          </cell>
          <cell r="Y1454">
            <v>1511847</v>
          </cell>
          <cell r="Z1454">
            <v>28204472</v>
          </cell>
          <cell r="AA1454">
            <v>31596179</v>
          </cell>
          <cell r="AB1454" t="str">
            <v>EMCA</v>
          </cell>
          <cell r="AC1454">
            <v>1101</v>
          </cell>
          <cell r="AD1454">
            <v>2</v>
          </cell>
          <cell r="AE1454">
            <v>1330629</v>
          </cell>
        </row>
        <row r="1455">
          <cell r="A1455" t="str">
            <v>SML</v>
          </cell>
          <cell r="B1455">
            <v>8</v>
          </cell>
          <cell r="C1455" t="str">
            <v>DMNT</v>
          </cell>
          <cell r="D1455">
            <v>84</v>
          </cell>
          <cell r="E1455">
            <v>4</v>
          </cell>
          <cell r="F1455" t="str">
            <v xml:space="preserve">B </v>
          </cell>
          <cell r="G1455">
            <v>0</v>
          </cell>
          <cell r="H1455">
            <v>1</v>
          </cell>
          <cell r="I1455">
            <v>777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7605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7605</v>
          </cell>
          <cell r="AA1455">
            <v>7605</v>
          </cell>
          <cell r="AB1455" t="str">
            <v>EMCA</v>
          </cell>
          <cell r="AC1455">
            <v>1101</v>
          </cell>
          <cell r="AD1455">
            <v>2</v>
          </cell>
          <cell r="AE1455">
            <v>777</v>
          </cell>
        </row>
        <row r="1456">
          <cell r="A1456" t="str">
            <v>SML</v>
          </cell>
          <cell r="B1456">
            <v>8</v>
          </cell>
          <cell r="C1456" t="str">
            <v>DMNT</v>
          </cell>
          <cell r="D1456">
            <v>84</v>
          </cell>
          <cell r="E1456">
            <v>5</v>
          </cell>
          <cell r="F1456" t="str">
            <v>A4</v>
          </cell>
          <cell r="G1456">
            <v>21</v>
          </cell>
          <cell r="H1456">
            <v>2</v>
          </cell>
          <cell r="I1456">
            <v>59051</v>
          </cell>
          <cell r="J1456">
            <v>2208</v>
          </cell>
          <cell r="K1456">
            <v>56843</v>
          </cell>
          <cell r="L1456">
            <v>510</v>
          </cell>
          <cell r="M1456">
            <v>510</v>
          </cell>
          <cell r="N1456">
            <v>0</v>
          </cell>
          <cell r="O1456">
            <v>502784</v>
          </cell>
          <cell r="P1456">
            <v>352240</v>
          </cell>
          <cell r="Q1456">
            <v>16328</v>
          </cell>
          <cell r="R1456">
            <v>10795</v>
          </cell>
          <cell r="S1456">
            <v>0</v>
          </cell>
          <cell r="T1456">
            <v>0</v>
          </cell>
          <cell r="U1456">
            <v>217838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871352</v>
          </cell>
          <cell r="AA1456">
            <v>882147</v>
          </cell>
          <cell r="AB1456" t="str">
            <v>EMCA</v>
          </cell>
          <cell r="AC1456">
            <v>1101</v>
          </cell>
          <cell r="AD1456">
            <v>2</v>
          </cell>
          <cell r="AE1456">
            <v>59051</v>
          </cell>
        </row>
        <row r="1457">
          <cell r="A1457" t="str">
            <v>SML</v>
          </cell>
          <cell r="B1457">
            <v>8</v>
          </cell>
          <cell r="C1457" t="str">
            <v>DMNT</v>
          </cell>
          <cell r="D1457">
            <v>84</v>
          </cell>
          <cell r="E1457">
            <v>5</v>
          </cell>
          <cell r="F1457" t="str">
            <v>A4</v>
          </cell>
          <cell r="G1457">
            <v>20</v>
          </cell>
          <cell r="H1457">
            <v>38</v>
          </cell>
          <cell r="I1457">
            <v>783459</v>
          </cell>
          <cell r="J1457">
            <v>0</v>
          </cell>
          <cell r="K1457">
            <v>0</v>
          </cell>
          <cell r="L1457">
            <v>4068</v>
          </cell>
          <cell r="M1457">
            <v>0</v>
          </cell>
          <cell r="N1457">
            <v>0</v>
          </cell>
          <cell r="O1457">
            <v>8357995</v>
          </cell>
          <cell r="P1457">
            <v>2878650</v>
          </cell>
          <cell r="Q1457">
            <v>175558</v>
          </cell>
          <cell r="R1457">
            <v>70011</v>
          </cell>
          <cell r="S1457">
            <v>0</v>
          </cell>
          <cell r="T1457">
            <v>21237</v>
          </cell>
          <cell r="U1457">
            <v>2164670</v>
          </cell>
          <cell r="V1457">
            <v>0</v>
          </cell>
          <cell r="W1457">
            <v>64374</v>
          </cell>
          <cell r="X1457">
            <v>0</v>
          </cell>
          <cell r="Y1457">
            <v>0</v>
          </cell>
          <cell r="Z1457">
            <v>11476577</v>
          </cell>
          <cell r="AA1457">
            <v>11567825</v>
          </cell>
          <cell r="AB1457" t="str">
            <v>EMCA</v>
          </cell>
          <cell r="AC1457">
            <v>1101</v>
          </cell>
          <cell r="AD1457">
            <v>2</v>
          </cell>
          <cell r="AE1457">
            <v>783459</v>
          </cell>
        </row>
        <row r="1458">
          <cell r="A1458" t="str">
            <v>SML</v>
          </cell>
          <cell r="B1458">
            <v>8</v>
          </cell>
          <cell r="C1458" t="str">
            <v>DMNT</v>
          </cell>
          <cell r="D1458">
            <v>84</v>
          </cell>
          <cell r="E1458">
            <v>5</v>
          </cell>
          <cell r="F1458" t="str">
            <v xml:space="preserve">B </v>
          </cell>
          <cell r="G1458">
            <v>0</v>
          </cell>
          <cell r="H1458">
            <v>165</v>
          </cell>
          <cell r="I1458">
            <v>175748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3410345</v>
          </cell>
          <cell r="P1458">
            <v>0</v>
          </cell>
          <cell r="Q1458">
            <v>0</v>
          </cell>
          <cell r="R1458">
            <v>23425</v>
          </cell>
          <cell r="S1458">
            <v>0</v>
          </cell>
          <cell r="T1458">
            <v>61347</v>
          </cell>
          <cell r="U1458">
            <v>666225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3410345</v>
          </cell>
          <cell r="AA1458">
            <v>3495117</v>
          </cell>
          <cell r="AB1458" t="str">
            <v>EMCA</v>
          </cell>
          <cell r="AC1458">
            <v>1101</v>
          </cell>
          <cell r="AD1458">
            <v>2</v>
          </cell>
          <cell r="AE1458">
            <v>175184</v>
          </cell>
        </row>
        <row r="1459">
          <cell r="A1459" t="str">
            <v>SML</v>
          </cell>
          <cell r="B1459">
            <v>8</v>
          </cell>
          <cell r="C1459" t="str">
            <v>DMNT</v>
          </cell>
          <cell r="D1459">
            <v>84</v>
          </cell>
          <cell r="E1459">
            <v>7</v>
          </cell>
          <cell r="F1459" t="str">
            <v>A4</v>
          </cell>
          <cell r="G1459">
            <v>20</v>
          </cell>
          <cell r="H1459">
            <v>19</v>
          </cell>
          <cell r="I1459">
            <v>526007</v>
          </cell>
          <cell r="J1459">
            <v>0</v>
          </cell>
          <cell r="K1459">
            <v>0</v>
          </cell>
          <cell r="L1459">
            <v>1166</v>
          </cell>
          <cell r="M1459">
            <v>0</v>
          </cell>
          <cell r="N1459">
            <v>0</v>
          </cell>
          <cell r="O1459">
            <v>5130317</v>
          </cell>
          <cell r="P1459">
            <v>774224</v>
          </cell>
          <cell r="Q1459">
            <v>317383</v>
          </cell>
          <cell r="R1459">
            <v>0</v>
          </cell>
          <cell r="S1459">
            <v>0</v>
          </cell>
          <cell r="T1459">
            <v>0</v>
          </cell>
          <cell r="U1459">
            <v>1565110</v>
          </cell>
          <cell r="V1459">
            <v>0</v>
          </cell>
          <cell r="W1459">
            <v>38512</v>
          </cell>
          <cell r="X1459">
            <v>0</v>
          </cell>
          <cell r="Y1459">
            <v>0</v>
          </cell>
          <cell r="Z1459">
            <v>6260436</v>
          </cell>
          <cell r="AA1459">
            <v>6260436</v>
          </cell>
          <cell r="AB1459" t="str">
            <v>EMCA</v>
          </cell>
          <cell r="AC1459">
            <v>1101</v>
          </cell>
          <cell r="AD1459">
            <v>2</v>
          </cell>
          <cell r="AE1459">
            <v>526007</v>
          </cell>
        </row>
        <row r="1460">
          <cell r="A1460" t="str">
            <v>SML</v>
          </cell>
          <cell r="B1460">
            <v>8</v>
          </cell>
          <cell r="C1460" t="str">
            <v>DMNT</v>
          </cell>
          <cell r="D1460">
            <v>84</v>
          </cell>
          <cell r="E1460">
            <v>7</v>
          </cell>
          <cell r="F1460" t="str">
            <v xml:space="preserve">B </v>
          </cell>
          <cell r="G1460">
            <v>0</v>
          </cell>
          <cell r="H1460">
            <v>15</v>
          </cell>
          <cell r="I1460">
            <v>84566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1496366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374091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1496366</v>
          </cell>
          <cell r="AA1460">
            <v>1496366</v>
          </cell>
          <cell r="AB1460" t="str">
            <v>EMCA</v>
          </cell>
          <cell r="AC1460">
            <v>1101</v>
          </cell>
          <cell r="AD1460">
            <v>2</v>
          </cell>
          <cell r="AE1460">
            <v>84431</v>
          </cell>
        </row>
        <row r="1461">
          <cell r="A1461" t="str">
            <v>SML</v>
          </cell>
          <cell r="B1461">
            <v>8</v>
          </cell>
          <cell r="C1461" t="str">
            <v>DMNT</v>
          </cell>
          <cell r="D1461">
            <v>84</v>
          </cell>
          <cell r="E1461">
            <v>8</v>
          </cell>
          <cell r="F1461" t="str">
            <v xml:space="preserve">B </v>
          </cell>
          <cell r="G1461">
            <v>0</v>
          </cell>
          <cell r="H1461">
            <v>1</v>
          </cell>
          <cell r="I1461">
            <v>5555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115648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28912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115648</v>
          </cell>
          <cell r="AA1461">
            <v>115648</v>
          </cell>
          <cell r="AB1461" t="str">
            <v>EMCA</v>
          </cell>
          <cell r="AC1461">
            <v>1101</v>
          </cell>
          <cell r="AD1461">
            <v>2</v>
          </cell>
          <cell r="AE1461">
            <v>5555</v>
          </cell>
        </row>
        <row r="1462">
          <cell r="A1462" t="str">
            <v>SML</v>
          </cell>
          <cell r="B1462">
            <v>8</v>
          </cell>
          <cell r="C1462" t="str">
            <v>DMNT</v>
          </cell>
          <cell r="D1462">
            <v>85</v>
          </cell>
          <cell r="E1462">
            <v>1</v>
          </cell>
          <cell r="F1462" t="str">
            <v xml:space="preserve">B </v>
          </cell>
          <cell r="G1462">
            <v>1</v>
          </cell>
          <cell r="H1462">
            <v>4191</v>
          </cell>
          <cell r="I1462">
            <v>106025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1718093</v>
          </cell>
          <cell r="P1462">
            <v>0</v>
          </cell>
          <cell r="Q1462">
            <v>0</v>
          </cell>
          <cell r="R1462">
            <v>45128</v>
          </cell>
          <cell r="S1462">
            <v>0</v>
          </cell>
          <cell r="T1462">
            <v>1105172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1718093</v>
          </cell>
          <cell r="AA1462">
            <v>2868393</v>
          </cell>
          <cell r="AB1462" t="str">
            <v>EMAF</v>
          </cell>
          <cell r="AC1462">
            <v>1101</v>
          </cell>
          <cell r="AD1462">
            <v>2</v>
          </cell>
          <cell r="AE1462">
            <v>62296</v>
          </cell>
        </row>
        <row r="1463">
          <cell r="A1463" t="str">
            <v>SML</v>
          </cell>
          <cell r="B1463">
            <v>8</v>
          </cell>
          <cell r="C1463" t="str">
            <v>DMNT</v>
          </cell>
          <cell r="D1463">
            <v>85</v>
          </cell>
          <cell r="E1463">
            <v>1</v>
          </cell>
          <cell r="F1463" t="str">
            <v xml:space="preserve">B </v>
          </cell>
          <cell r="G1463">
            <v>2</v>
          </cell>
          <cell r="H1463">
            <v>2013</v>
          </cell>
          <cell r="I1463">
            <v>82674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1603284</v>
          </cell>
          <cell r="P1463">
            <v>0</v>
          </cell>
          <cell r="Q1463">
            <v>0</v>
          </cell>
          <cell r="R1463">
            <v>19916</v>
          </cell>
          <cell r="S1463">
            <v>0</v>
          </cell>
          <cell r="T1463">
            <v>230085</v>
          </cell>
          <cell r="U1463">
            <v>272498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1603284</v>
          </cell>
          <cell r="AA1463">
            <v>1853285</v>
          </cell>
          <cell r="AB1463" t="str">
            <v>EMAF</v>
          </cell>
          <cell r="AC1463">
            <v>1101</v>
          </cell>
          <cell r="AD1463">
            <v>2</v>
          </cell>
          <cell r="AE1463">
            <v>82674</v>
          </cell>
        </row>
        <row r="1464">
          <cell r="A1464" t="str">
            <v>SML</v>
          </cell>
          <cell r="B1464">
            <v>8</v>
          </cell>
          <cell r="C1464" t="str">
            <v>DMNT</v>
          </cell>
          <cell r="D1464">
            <v>85</v>
          </cell>
          <cell r="E1464">
            <v>1</v>
          </cell>
          <cell r="F1464" t="str">
            <v xml:space="preserve">B </v>
          </cell>
          <cell r="G1464">
            <v>3</v>
          </cell>
          <cell r="H1464">
            <v>8734</v>
          </cell>
          <cell r="I1464">
            <v>674407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13074820</v>
          </cell>
          <cell r="P1464">
            <v>0</v>
          </cell>
          <cell r="Q1464">
            <v>0</v>
          </cell>
          <cell r="R1464">
            <v>145818</v>
          </cell>
          <cell r="S1464">
            <v>0</v>
          </cell>
          <cell r="T1464">
            <v>817402</v>
          </cell>
          <cell r="U1464">
            <v>2222909</v>
          </cell>
          <cell r="V1464">
            <v>0</v>
          </cell>
          <cell r="W1464">
            <v>0</v>
          </cell>
          <cell r="X1464">
            <v>0</v>
          </cell>
          <cell r="Y1464">
            <v>1356383</v>
          </cell>
          <cell r="Z1464">
            <v>13074820</v>
          </cell>
          <cell r="AA1464">
            <v>15394423</v>
          </cell>
          <cell r="AB1464" t="str">
            <v>EMAF</v>
          </cell>
          <cell r="AC1464">
            <v>1101</v>
          </cell>
          <cell r="AD1464">
            <v>2</v>
          </cell>
          <cell r="AE1464">
            <v>673557</v>
          </cell>
        </row>
        <row r="1465">
          <cell r="A1465" t="str">
            <v>SML</v>
          </cell>
          <cell r="B1465">
            <v>8</v>
          </cell>
          <cell r="C1465" t="str">
            <v>DMNT</v>
          </cell>
          <cell r="D1465">
            <v>85</v>
          </cell>
          <cell r="E1465">
            <v>1</v>
          </cell>
          <cell r="F1465" t="str">
            <v xml:space="preserve">B </v>
          </cell>
          <cell r="G1465">
            <v>4</v>
          </cell>
          <cell r="H1465">
            <v>6320</v>
          </cell>
          <cell r="I1465">
            <v>777507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15077341</v>
          </cell>
          <cell r="P1465">
            <v>0</v>
          </cell>
          <cell r="Q1465">
            <v>0</v>
          </cell>
          <cell r="R1465">
            <v>172135</v>
          </cell>
          <cell r="S1465">
            <v>0</v>
          </cell>
          <cell r="T1465">
            <v>592832</v>
          </cell>
          <cell r="U1465">
            <v>2563161</v>
          </cell>
          <cell r="V1465">
            <v>0</v>
          </cell>
          <cell r="W1465">
            <v>0</v>
          </cell>
          <cell r="X1465">
            <v>0</v>
          </cell>
          <cell r="Y1465">
            <v>1486401</v>
          </cell>
          <cell r="Z1465">
            <v>15077341</v>
          </cell>
          <cell r="AA1465">
            <v>17328709</v>
          </cell>
          <cell r="AB1465" t="str">
            <v>EMAF</v>
          </cell>
          <cell r="AC1465">
            <v>1101</v>
          </cell>
          <cell r="AD1465">
            <v>2</v>
          </cell>
          <cell r="AE1465">
            <v>777507</v>
          </cell>
        </row>
        <row r="1466">
          <cell r="A1466" t="str">
            <v>SML</v>
          </cell>
          <cell r="B1466">
            <v>8</v>
          </cell>
          <cell r="C1466" t="str">
            <v>DMNT</v>
          </cell>
          <cell r="D1466">
            <v>85</v>
          </cell>
          <cell r="E1466">
            <v>1</v>
          </cell>
          <cell r="F1466" t="str">
            <v xml:space="preserve">B </v>
          </cell>
          <cell r="G1466">
            <v>5</v>
          </cell>
          <cell r="H1466">
            <v>3285</v>
          </cell>
          <cell r="I1466">
            <v>565436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10963402</v>
          </cell>
          <cell r="P1466">
            <v>0</v>
          </cell>
          <cell r="Q1466">
            <v>0</v>
          </cell>
          <cell r="R1466">
            <v>125057</v>
          </cell>
          <cell r="S1466">
            <v>0</v>
          </cell>
          <cell r="T1466">
            <v>379142</v>
          </cell>
          <cell r="U1466">
            <v>1863841</v>
          </cell>
          <cell r="V1466">
            <v>0</v>
          </cell>
          <cell r="W1466">
            <v>0</v>
          </cell>
          <cell r="X1466">
            <v>0</v>
          </cell>
          <cell r="Y1466">
            <v>754726</v>
          </cell>
          <cell r="Z1466">
            <v>10963402</v>
          </cell>
          <cell r="AA1466">
            <v>12222327</v>
          </cell>
          <cell r="AB1466" t="str">
            <v>EMAF</v>
          </cell>
          <cell r="AC1466">
            <v>1101</v>
          </cell>
          <cell r="AD1466">
            <v>2</v>
          </cell>
          <cell r="AE1466">
            <v>565436</v>
          </cell>
        </row>
        <row r="1467">
          <cell r="A1467" t="str">
            <v>SML</v>
          </cell>
          <cell r="B1467">
            <v>8</v>
          </cell>
          <cell r="C1467" t="str">
            <v>DMNT</v>
          </cell>
          <cell r="D1467">
            <v>85</v>
          </cell>
          <cell r="E1467">
            <v>1</v>
          </cell>
          <cell r="F1467" t="str">
            <v xml:space="preserve">B </v>
          </cell>
          <cell r="G1467">
            <v>6</v>
          </cell>
          <cell r="H1467">
            <v>2295</v>
          </cell>
          <cell r="I1467">
            <v>547428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10612777</v>
          </cell>
          <cell r="P1467">
            <v>0</v>
          </cell>
          <cell r="Q1467">
            <v>0</v>
          </cell>
          <cell r="R1467">
            <v>119779</v>
          </cell>
          <cell r="S1467">
            <v>0</v>
          </cell>
          <cell r="T1467">
            <v>322004</v>
          </cell>
          <cell r="U1467">
            <v>1804758</v>
          </cell>
          <cell r="V1467">
            <v>0</v>
          </cell>
          <cell r="W1467">
            <v>0</v>
          </cell>
          <cell r="X1467">
            <v>0</v>
          </cell>
          <cell r="Y1467">
            <v>529137</v>
          </cell>
          <cell r="Z1467">
            <v>10612777</v>
          </cell>
          <cell r="AA1467">
            <v>11583697</v>
          </cell>
          <cell r="AB1467" t="str">
            <v>EMAF</v>
          </cell>
          <cell r="AC1467">
            <v>1101</v>
          </cell>
          <cell r="AD1467">
            <v>2</v>
          </cell>
          <cell r="AE1467">
            <v>547428</v>
          </cell>
        </row>
        <row r="1468">
          <cell r="A1468" t="str">
            <v>SML</v>
          </cell>
          <cell r="B1468">
            <v>8</v>
          </cell>
          <cell r="C1468" t="str">
            <v>DMNT</v>
          </cell>
          <cell r="D1468">
            <v>85</v>
          </cell>
          <cell r="E1468">
            <v>1</v>
          </cell>
          <cell r="F1468" t="str">
            <v xml:space="preserve">B </v>
          </cell>
          <cell r="G1468">
            <v>7</v>
          </cell>
          <cell r="H1468">
            <v>762</v>
          </cell>
          <cell r="I1468">
            <v>261955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5267655</v>
          </cell>
          <cell r="P1468">
            <v>0</v>
          </cell>
          <cell r="Q1468">
            <v>0</v>
          </cell>
          <cell r="R1468">
            <v>57465</v>
          </cell>
          <cell r="S1468">
            <v>0</v>
          </cell>
          <cell r="T1468">
            <v>117032</v>
          </cell>
          <cell r="U1468">
            <v>1053871</v>
          </cell>
          <cell r="V1468">
            <v>0</v>
          </cell>
          <cell r="W1468">
            <v>0</v>
          </cell>
          <cell r="X1468">
            <v>0</v>
          </cell>
          <cell r="Y1468">
            <v>179487</v>
          </cell>
          <cell r="Z1468">
            <v>5267655</v>
          </cell>
          <cell r="AA1468">
            <v>5621639</v>
          </cell>
          <cell r="AB1468" t="str">
            <v>EMAF</v>
          </cell>
          <cell r="AC1468">
            <v>1101</v>
          </cell>
          <cell r="AD1468">
            <v>2</v>
          </cell>
          <cell r="AE1468">
            <v>261955</v>
          </cell>
        </row>
        <row r="1469">
          <cell r="A1469" t="str">
            <v>SML</v>
          </cell>
          <cell r="B1469">
            <v>8</v>
          </cell>
          <cell r="C1469" t="str">
            <v>DMNT</v>
          </cell>
          <cell r="D1469">
            <v>85</v>
          </cell>
          <cell r="E1469">
            <v>1</v>
          </cell>
          <cell r="F1469" t="str">
            <v xml:space="preserve">B </v>
          </cell>
          <cell r="G1469">
            <v>8</v>
          </cell>
          <cell r="H1469">
            <v>273</v>
          </cell>
          <cell r="I1469">
            <v>119301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2400524</v>
          </cell>
          <cell r="P1469">
            <v>0</v>
          </cell>
          <cell r="Q1469">
            <v>0</v>
          </cell>
          <cell r="R1469">
            <v>22820</v>
          </cell>
          <cell r="S1469">
            <v>0</v>
          </cell>
          <cell r="T1469">
            <v>81057</v>
          </cell>
          <cell r="U1469">
            <v>480205</v>
          </cell>
          <cell r="V1469">
            <v>0</v>
          </cell>
          <cell r="W1469">
            <v>0</v>
          </cell>
          <cell r="X1469">
            <v>0</v>
          </cell>
          <cell r="Y1469">
            <v>63455</v>
          </cell>
          <cell r="Z1469">
            <v>2400524</v>
          </cell>
          <cell r="AA1469">
            <v>2567856</v>
          </cell>
          <cell r="AB1469" t="str">
            <v>EMAF</v>
          </cell>
          <cell r="AC1469">
            <v>1101</v>
          </cell>
          <cell r="AD1469">
            <v>2</v>
          </cell>
          <cell r="AE1469">
            <v>119301</v>
          </cell>
        </row>
        <row r="1470">
          <cell r="A1470" t="str">
            <v>SML</v>
          </cell>
          <cell r="B1470">
            <v>8</v>
          </cell>
          <cell r="C1470" t="str">
            <v>DMNT</v>
          </cell>
          <cell r="D1470">
            <v>85</v>
          </cell>
          <cell r="E1470">
            <v>1</v>
          </cell>
          <cell r="F1470" t="str">
            <v xml:space="preserve">B </v>
          </cell>
          <cell r="G1470">
            <v>9</v>
          </cell>
          <cell r="H1470">
            <v>200</v>
          </cell>
          <cell r="I1470">
            <v>118901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2550272</v>
          </cell>
          <cell r="P1470">
            <v>0</v>
          </cell>
          <cell r="Q1470">
            <v>0</v>
          </cell>
          <cell r="R1470">
            <v>24678</v>
          </cell>
          <cell r="S1470">
            <v>0</v>
          </cell>
          <cell r="T1470">
            <v>70570</v>
          </cell>
          <cell r="U1470">
            <v>637681</v>
          </cell>
          <cell r="V1470">
            <v>0</v>
          </cell>
          <cell r="W1470">
            <v>0</v>
          </cell>
          <cell r="X1470">
            <v>0</v>
          </cell>
          <cell r="Y1470">
            <v>46102</v>
          </cell>
          <cell r="Z1470">
            <v>2550272</v>
          </cell>
          <cell r="AA1470">
            <v>2691622</v>
          </cell>
          <cell r="AB1470" t="str">
            <v>EMAF</v>
          </cell>
          <cell r="AC1470">
            <v>1101</v>
          </cell>
          <cell r="AD1470">
            <v>2</v>
          </cell>
          <cell r="AE1470">
            <v>118901</v>
          </cell>
        </row>
        <row r="1471">
          <cell r="A1471" t="str">
            <v>SML</v>
          </cell>
          <cell r="B1471">
            <v>8</v>
          </cell>
          <cell r="C1471" t="str">
            <v>DMNT</v>
          </cell>
          <cell r="D1471">
            <v>85</v>
          </cell>
          <cell r="E1471">
            <v>1</v>
          </cell>
          <cell r="F1471" t="str">
            <v xml:space="preserve">B </v>
          </cell>
          <cell r="G1471">
            <v>10</v>
          </cell>
          <cell r="H1471">
            <v>26</v>
          </cell>
          <cell r="I1471">
            <v>-5903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-132323</v>
          </cell>
          <cell r="P1471">
            <v>0</v>
          </cell>
          <cell r="Q1471">
            <v>0</v>
          </cell>
          <cell r="R1471">
            <v>6004</v>
          </cell>
          <cell r="S1471">
            <v>0</v>
          </cell>
          <cell r="T1471">
            <v>-1284</v>
          </cell>
          <cell r="U1471">
            <v>-33083</v>
          </cell>
          <cell r="V1471">
            <v>0</v>
          </cell>
          <cell r="W1471">
            <v>0</v>
          </cell>
          <cell r="X1471">
            <v>0</v>
          </cell>
          <cell r="Y1471">
            <v>2072</v>
          </cell>
          <cell r="Z1471">
            <v>-132323</v>
          </cell>
          <cell r="AA1471">
            <v>-125531</v>
          </cell>
          <cell r="AB1471" t="str">
            <v>EMAF</v>
          </cell>
          <cell r="AC1471">
            <v>1101</v>
          </cell>
          <cell r="AD1471">
            <v>2</v>
          </cell>
          <cell r="AE1471">
            <v>-5903</v>
          </cell>
        </row>
        <row r="1472">
          <cell r="A1472" t="str">
            <v>SML</v>
          </cell>
          <cell r="B1472">
            <v>8</v>
          </cell>
          <cell r="C1472" t="str">
            <v>DMNT</v>
          </cell>
          <cell r="D1472">
            <v>85</v>
          </cell>
          <cell r="E1472">
            <v>1</v>
          </cell>
          <cell r="F1472" t="str">
            <v xml:space="preserve">B </v>
          </cell>
          <cell r="G1472">
            <v>11</v>
          </cell>
          <cell r="H1472">
            <v>3940</v>
          </cell>
          <cell r="I1472">
            <v>100409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566663</v>
          </cell>
          <cell r="P1472">
            <v>0</v>
          </cell>
          <cell r="Q1472">
            <v>0</v>
          </cell>
          <cell r="R1472">
            <v>16099</v>
          </cell>
          <cell r="S1472">
            <v>0</v>
          </cell>
          <cell r="T1472">
            <v>245092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566663</v>
          </cell>
          <cell r="AA1472">
            <v>827854</v>
          </cell>
          <cell r="AB1472" t="str">
            <v>EMAF</v>
          </cell>
          <cell r="AC1472">
            <v>1101</v>
          </cell>
          <cell r="AD1472">
            <v>2</v>
          </cell>
          <cell r="AE1472">
            <v>60074</v>
          </cell>
        </row>
        <row r="1473">
          <cell r="A1473" t="str">
            <v>SML</v>
          </cell>
          <cell r="B1473">
            <v>8</v>
          </cell>
          <cell r="C1473" t="str">
            <v>DMNT</v>
          </cell>
          <cell r="D1473">
            <v>85</v>
          </cell>
          <cell r="E1473">
            <v>1</v>
          </cell>
          <cell r="F1473" t="str">
            <v xml:space="preserve">B </v>
          </cell>
          <cell r="G1473">
            <v>12</v>
          </cell>
          <cell r="H1473">
            <v>7550</v>
          </cell>
          <cell r="I1473">
            <v>491764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4660286</v>
          </cell>
          <cell r="P1473">
            <v>0</v>
          </cell>
          <cell r="Q1473">
            <v>0</v>
          </cell>
          <cell r="R1473">
            <v>61475</v>
          </cell>
          <cell r="S1473">
            <v>0</v>
          </cell>
          <cell r="T1473">
            <v>220569</v>
          </cell>
          <cell r="U1473">
            <v>792479</v>
          </cell>
          <cell r="V1473">
            <v>0</v>
          </cell>
          <cell r="W1473">
            <v>0</v>
          </cell>
          <cell r="X1473">
            <v>0</v>
          </cell>
          <cell r="Y1473">
            <v>744315</v>
          </cell>
          <cell r="Z1473">
            <v>4660286</v>
          </cell>
          <cell r="AA1473">
            <v>5686645</v>
          </cell>
          <cell r="AB1473" t="str">
            <v>EMAF</v>
          </cell>
          <cell r="AC1473">
            <v>1101</v>
          </cell>
          <cell r="AD1473">
            <v>2</v>
          </cell>
          <cell r="AE1473">
            <v>491764</v>
          </cell>
        </row>
        <row r="1474">
          <cell r="A1474" t="str">
            <v>SML</v>
          </cell>
          <cell r="B1474">
            <v>8</v>
          </cell>
          <cell r="C1474" t="str">
            <v>DMNT</v>
          </cell>
          <cell r="D1474">
            <v>85</v>
          </cell>
          <cell r="E1474">
            <v>1</v>
          </cell>
          <cell r="F1474" t="str">
            <v xml:space="preserve">B </v>
          </cell>
          <cell r="G1474">
            <v>13</v>
          </cell>
          <cell r="H1474">
            <v>1327</v>
          </cell>
          <cell r="I1474">
            <v>153417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1917199</v>
          </cell>
          <cell r="P1474">
            <v>0</v>
          </cell>
          <cell r="Q1474">
            <v>0</v>
          </cell>
          <cell r="R1474">
            <v>19816</v>
          </cell>
          <cell r="S1474">
            <v>0</v>
          </cell>
          <cell r="T1474">
            <v>45389</v>
          </cell>
          <cell r="U1474">
            <v>325956</v>
          </cell>
          <cell r="V1474">
            <v>0</v>
          </cell>
          <cell r="W1474">
            <v>0</v>
          </cell>
          <cell r="X1474">
            <v>0</v>
          </cell>
          <cell r="Y1474">
            <v>315721</v>
          </cell>
          <cell r="Z1474">
            <v>1917199</v>
          </cell>
          <cell r="AA1474">
            <v>2298125</v>
          </cell>
          <cell r="AB1474" t="str">
            <v>EMAF</v>
          </cell>
          <cell r="AC1474">
            <v>1101</v>
          </cell>
          <cell r="AD1474">
            <v>2</v>
          </cell>
          <cell r="AE1474">
            <v>153417</v>
          </cell>
        </row>
        <row r="1475">
          <cell r="A1475" t="str">
            <v>SML</v>
          </cell>
          <cell r="B1475">
            <v>8</v>
          </cell>
          <cell r="C1475" t="str">
            <v>DMNT</v>
          </cell>
          <cell r="D1475">
            <v>85</v>
          </cell>
          <cell r="E1475">
            <v>1</v>
          </cell>
          <cell r="F1475" t="str">
            <v xml:space="preserve">B </v>
          </cell>
          <cell r="G1475">
            <v>14</v>
          </cell>
          <cell r="H1475">
            <v>166</v>
          </cell>
          <cell r="I1475">
            <v>24734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313816</v>
          </cell>
          <cell r="P1475">
            <v>0</v>
          </cell>
          <cell r="Q1475">
            <v>0</v>
          </cell>
          <cell r="R1475">
            <v>3232</v>
          </cell>
          <cell r="S1475">
            <v>0</v>
          </cell>
          <cell r="T1475">
            <v>13663</v>
          </cell>
          <cell r="U1475">
            <v>53360</v>
          </cell>
          <cell r="V1475">
            <v>0</v>
          </cell>
          <cell r="W1475">
            <v>0</v>
          </cell>
          <cell r="X1475">
            <v>0</v>
          </cell>
          <cell r="Y1475">
            <v>40404</v>
          </cell>
          <cell r="Z1475">
            <v>313816</v>
          </cell>
          <cell r="AA1475">
            <v>371115</v>
          </cell>
          <cell r="AB1475" t="str">
            <v>EMAF</v>
          </cell>
          <cell r="AC1475">
            <v>1101</v>
          </cell>
          <cell r="AD1475">
            <v>2</v>
          </cell>
          <cell r="AE1475">
            <v>24734</v>
          </cell>
        </row>
        <row r="1476">
          <cell r="A1476" t="str">
            <v>SML</v>
          </cell>
          <cell r="B1476">
            <v>8</v>
          </cell>
          <cell r="C1476" t="str">
            <v>DMNT</v>
          </cell>
          <cell r="D1476">
            <v>85</v>
          </cell>
          <cell r="E1476">
            <v>1</v>
          </cell>
          <cell r="F1476" t="str">
            <v xml:space="preserve">B </v>
          </cell>
          <cell r="G1476">
            <v>15</v>
          </cell>
          <cell r="H1476">
            <v>219</v>
          </cell>
          <cell r="I1476">
            <v>28403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321059</v>
          </cell>
          <cell r="P1476">
            <v>0</v>
          </cell>
          <cell r="Q1476">
            <v>0</v>
          </cell>
          <cell r="R1476">
            <v>9426</v>
          </cell>
          <cell r="S1476">
            <v>0</v>
          </cell>
          <cell r="T1476">
            <v>7724</v>
          </cell>
          <cell r="U1476">
            <v>32290</v>
          </cell>
          <cell r="V1476">
            <v>0</v>
          </cell>
          <cell r="W1476">
            <v>0</v>
          </cell>
          <cell r="X1476">
            <v>0</v>
          </cell>
          <cell r="Y1476">
            <v>51800</v>
          </cell>
          <cell r="Z1476">
            <v>321059</v>
          </cell>
          <cell r="AA1476">
            <v>390009</v>
          </cell>
          <cell r="AB1476" t="str">
            <v>EMAF</v>
          </cell>
          <cell r="AC1476">
            <v>1101</v>
          </cell>
          <cell r="AD1476">
            <v>2</v>
          </cell>
          <cell r="AE1476">
            <v>28403</v>
          </cell>
        </row>
        <row r="1477">
          <cell r="A1477" t="str">
            <v>SML</v>
          </cell>
          <cell r="B1477">
            <v>8</v>
          </cell>
          <cell r="C1477" t="str">
            <v>DMNT</v>
          </cell>
          <cell r="D1477">
            <v>85</v>
          </cell>
          <cell r="E1477">
            <v>2</v>
          </cell>
          <cell r="F1477" t="str">
            <v>A4</v>
          </cell>
          <cell r="G1477">
            <v>20</v>
          </cell>
          <cell r="H1477">
            <v>6</v>
          </cell>
          <cell r="I1477">
            <v>74155</v>
          </cell>
          <cell r="J1477">
            <v>0</v>
          </cell>
          <cell r="K1477">
            <v>0</v>
          </cell>
          <cell r="L1477">
            <v>404</v>
          </cell>
          <cell r="M1477">
            <v>0</v>
          </cell>
          <cell r="N1477">
            <v>0</v>
          </cell>
          <cell r="O1477">
            <v>850907</v>
          </cell>
          <cell r="P1477">
            <v>316197</v>
          </cell>
          <cell r="Q1477">
            <v>-6357</v>
          </cell>
          <cell r="R1477">
            <v>10427</v>
          </cell>
          <cell r="S1477">
            <v>0</v>
          </cell>
          <cell r="T1477">
            <v>0</v>
          </cell>
          <cell r="U1477">
            <v>289405</v>
          </cell>
          <cell r="V1477">
            <v>0</v>
          </cell>
          <cell r="W1477">
            <v>-3130</v>
          </cell>
          <cell r="X1477">
            <v>0</v>
          </cell>
          <cell r="Y1477">
            <v>3114</v>
          </cell>
          <cell r="Z1477">
            <v>1157617</v>
          </cell>
          <cell r="AA1477">
            <v>1171158</v>
          </cell>
          <cell r="AB1477" t="str">
            <v>EMAF</v>
          </cell>
          <cell r="AC1477">
            <v>1101</v>
          </cell>
          <cell r="AD1477">
            <v>2</v>
          </cell>
          <cell r="AE1477">
            <v>74155</v>
          </cell>
        </row>
        <row r="1478">
          <cell r="A1478" t="str">
            <v>SML</v>
          </cell>
          <cell r="B1478">
            <v>8</v>
          </cell>
          <cell r="C1478" t="str">
            <v>DMNT</v>
          </cell>
          <cell r="D1478">
            <v>85</v>
          </cell>
          <cell r="E1478">
            <v>2</v>
          </cell>
          <cell r="F1478" t="str">
            <v xml:space="preserve">B </v>
          </cell>
          <cell r="G1478">
            <v>0</v>
          </cell>
          <cell r="H1478">
            <v>149</v>
          </cell>
          <cell r="I1478">
            <v>143326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2985623</v>
          </cell>
          <cell r="P1478">
            <v>0</v>
          </cell>
          <cell r="Q1478">
            <v>0</v>
          </cell>
          <cell r="R1478">
            <v>62489</v>
          </cell>
          <cell r="S1478">
            <v>0</v>
          </cell>
          <cell r="T1478">
            <v>472527</v>
          </cell>
          <cell r="U1478">
            <v>742200</v>
          </cell>
          <cell r="V1478">
            <v>0</v>
          </cell>
          <cell r="W1478">
            <v>0</v>
          </cell>
          <cell r="X1478">
            <v>0</v>
          </cell>
          <cell r="Y1478">
            <v>60723</v>
          </cell>
          <cell r="Z1478">
            <v>2985623</v>
          </cell>
          <cell r="AA1478">
            <v>3581362</v>
          </cell>
          <cell r="AB1478" t="str">
            <v>EMAF</v>
          </cell>
          <cell r="AC1478">
            <v>1101</v>
          </cell>
          <cell r="AD1478">
            <v>2</v>
          </cell>
          <cell r="AE1478">
            <v>141720</v>
          </cell>
        </row>
        <row r="1479">
          <cell r="A1479" t="str">
            <v>SML</v>
          </cell>
          <cell r="B1479">
            <v>8</v>
          </cell>
          <cell r="C1479" t="str">
            <v>DMNT</v>
          </cell>
          <cell r="D1479">
            <v>85</v>
          </cell>
          <cell r="E1479">
            <v>3</v>
          </cell>
          <cell r="F1479" t="str">
            <v>A4</v>
          </cell>
          <cell r="G1479">
            <v>20</v>
          </cell>
          <cell r="H1479">
            <v>17</v>
          </cell>
          <cell r="I1479">
            <v>328998</v>
          </cell>
          <cell r="J1479">
            <v>0</v>
          </cell>
          <cell r="K1479">
            <v>0</v>
          </cell>
          <cell r="L1479">
            <v>1051</v>
          </cell>
          <cell r="M1479">
            <v>0</v>
          </cell>
          <cell r="N1479">
            <v>0</v>
          </cell>
          <cell r="O1479">
            <v>3775140</v>
          </cell>
          <cell r="P1479">
            <v>822583</v>
          </cell>
          <cell r="Q1479">
            <v>111706</v>
          </cell>
          <cell r="R1479">
            <v>16426</v>
          </cell>
          <cell r="S1479">
            <v>0</v>
          </cell>
          <cell r="T1479">
            <v>0</v>
          </cell>
          <cell r="U1479">
            <v>1184404</v>
          </cell>
          <cell r="V1479">
            <v>0</v>
          </cell>
          <cell r="W1479">
            <v>28176</v>
          </cell>
          <cell r="X1479">
            <v>0</v>
          </cell>
          <cell r="Y1479">
            <v>8823</v>
          </cell>
          <cell r="Z1479">
            <v>4737605</v>
          </cell>
          <cell r="AA1479">
            <v>4762854</v>
          </cell>
          <cell r="AB1479" t="str">
            <v>EMAF</v>
          </cell>
          <cell r="AC1479">
            <v>1101</v>
          </cell>
          <cell r="AD1479">
            <v>2</v>
          </cell>
          <cell r="AE1479">
            <v>328998</v>
          </cell>
        </row>
        <row r="1480">
          <cell r="A1480" t="str">
            <v>SML</v>
          </cell>
          <cell r="B1480">
            <v>8</v>
          </cell>
          <cell r="C1480" t="str">
            <v>DMNT</v>
          </cell>
          <cell r="D1480">
            <v>85</v>
          </cell>
          <cell r="E1480">
            <v>3</v>
          </cell>
          <cell r="F1480" t="str">
            <v xml:space="preserve">B </v>
          </cell>
          <cell r="G1480">
            <v>0</v>
          </cell>
          <cell r="H1480">
            <v>2204</v>
          </cell>
          <cell r="I1480">
            <v>586642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12217540</v>
          </cell>
          <cell r="P1480">
            <v>0</v>
          </cell>
          <cell r="Q1480">
            <v>0</v>
          </cell>
          <cell r="R1480">
            <v>169089</v>
          </cell>
          <cell r="S1480">
            <v>0</v>
          </cell>
          <cell r="T1480">
            <v>1419912</v>
          </cell>
          <cell r="U1480">
            <v>3032237</v>
          </cell>
          <cell r="V1480">
            <v>0</v>
          </cell>
          <cell r="W1480">
            <v>0</v>
          </cell>
          <cell r="X1480">
            <v>0</v>
          </cell>
          <cell r="Y1480">
            <v>1016721</v>
          </cell>
          <cell r="Z1480">
            <v>12217540</v>
          </cell>
          <cell r="AA1480">
            <v>14823262</v>
          </cell>
          <cell r="AB1480" t="str">
            <v>EMAF</v>
          </cell>
          <cell r="AC1480">
            <v>1101</v>
          </cell>
          <cell r="AD1480">
            <v>2</v>
          </cell>
          <cell r="AE1480">
            <v>571092</v>
          </cell>
        </row>
        <row r="1481">
          <cell r="A1481" t="str">
            <v>SML</v>
          </cell>
          <cell r="B1481">
            <v>8</v>
          </cell>
          <cell r="C1481" t="str">
            <v>DMNT</v>
          </cell>
          <cell r="D1481">
            <v>85</v>
          </cell>
          <cell r="E1481">
            <v>5</v>
          </cell>
          <cell r="F1481" t="str">
            <v>A4</v>
          </cell>
          <cell r="G1481">
            <v>20</v>
          </cell>
          <cell r="H1481">
            <v>3</v>
          </cell>
          <cell r="I1481">
            <v>29561</v>
          </cell>
          <cell r="J1481">
            <v>0</v>
          </cell>
          <cell r="K1481">
            <v>0</v>
          </cell>
          <cell r="L1481">
            <v>123</v>
          </cell>
          <cell r="M1481">
            <v>0</v>
          </cell>
          <cell r="N1481">
            <v>0</v>
          </cell>
          <cell r="O1481">
            <v>332263</v>
          </cell>
          <cell r="P1481">
            <v>94311</v>
          </cell>
          <cell r="Q1481">
            <v>1954</v>
          </cell>
          <cell r="R1481">
            <v>0</v>
          </cell>
          <cell r="S1481">
            <v>0</v>
          </cell>
          <cell r="T1481">
            <v>0</v>
          </cell>
          <cell r="U1481">
            <v>99972</v>
          </cell>
          <cell r="V1481">
            <v>0</v>
          </cell>
          <cell r="W1481">
            <v>587</v>
          </cell>
          <cell r="X1481">
            <v>0</v>
          </cell>
          <cell r="Y1481">
            <v>0</v>
          </cell>
          <cell r="Z1481">
            <v>429115</v>
          </cell>
          <cell r="AA1481">
            <v>429115</v>
          </cell>
          <cell r="AB1481" t="str">
            <v>EMAF</v>
          </cell>
          <cell r="AC1481">
            <v>1101</v>
          </cell>
          <cell r="AD1481">
            <v>2</v>
          </cell>
          <cell r="AE1481">
            <v>29561</v>
          </cell>
        </row>
        <row r="1482">
          <cell r="A1482" t="str">
            <v>SML</v>
          </cell>
          <cell r="B1482">
            <v>8</v>
          </cell>
          <cell r="C1482" t="str">
            <v>DMNT</v>
          </cell>
          <cell r="D1482">
            <v>85</v>
          </cell>
          <cell r="E1482">
            <v>5</v>
          </cell>
          <cell r="F1482" t="str">
            <v xml:space="preserve">B </v>
          </cell>
          <cell r="G1482">
            <v>0</v>
          </cell>
          <cell r="H1482">
            <v>80</v>
          </cell>
          <cell r="I1482">
            <v>89937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1671373</v>
          </cell>
          <cell r="P1482">
            <v>0</v>
          </cell>
          <cell r="Q1482">
            <v>0</v>
          </cell>
          <cell r="R1482">
            <v>2470</v>
          </cell>
          <cell r="S1482">
            <v>0</v>
          </cell>
          <cell r="T1482">
            <v>0</v>
          </cell>
          <cell r="U1482">
            <v>267099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1671373</v>
          </cell>
          <cell r="AA1482">
            <v>1673843</v>
          </cell>
          <cell r="AB1482" t="str">
            <v>EMAF</v>
          </cell>
          <cell r="AC1482">
            <v>1101</v>
          </cell>
          <cell r="AD1482">
            <v>2</v>
          </cell>
          <cell r="AE1482">
            <v>89876</v>
          </cell>
        </row>
        <row r="1483">
          <cell r="A1483" t="str">
            <v>SML</v>
          </cell>
          <cell r="B1483">
            <v>8</v>
          </cell>
          <cell r="C1483" t="str">
            <v>DMNT</v>
          </cell>
          <cell r="D1483">
            <v>85</v>
          </cell>
          <cell r="E1483">
            <v>7</v>
          </cell>
          <cell r="F1483" t="str">
            <v>A4</v>
          </cell>
          <cell r="G1483">
            <v>22</v>
          </cell>
          <cell r="H1483">
            <v>2</v>
          </cell>
          <cell r="I1483">
            <v>387531</v>
          </cell>
          <cell r="J1483">
            <v>31919</v>
          </cell>
          <cell r="K1483">
            <v>355612</v>
          </cell>
          <cell r="L1483">
            <v>1589</v>
          </cell>
          <cell r="M1483">
            <v>802</v>
          </cell>
          <cell r="N1483">
            <v>787</v>
          </cell>
          <cell r="O1483">
            <v>2320072</v>
          </cell>
          <cell r="P1483">
            <v>1855627</v>
          </cell>
          <cell r="Q1483">
            <v>40424</v>
          </cell>
          <cell r="R1483">
            <v>0</v>
          </cell>
          <cell r="S1483">
            <v>0</v>
          </cell>
          <cell r="T1483">
            <v>0</v>
          </cell>
          <cell r="U1483">
            <v>1060191</v>
          </cell>
          <cell r="V1483">
            <v>0</v>
          </cell>
          <cell r="W1483">
            <v>24640</v>
          </cell>
          <cell r="X1483">
            <v>0</v>
          </cell>
          <cell r="Y1483">
            <v>0</v>
          </cell>
          <cell r="Z1483">
            <v>4240763</v>
          </cell>
          <cell r="AA1483">
            <v>4240763</v>
          </cell>
          <cell r="AB1483" t="str">
            <v>EMAF</v>
          </cell>
          <cell r="AC1483">
            <v>1101</v>
          </cell>
          <cell r="AD1483">
            <v>2</v>
          </cell>
          <cell r="AE1483">
            <v>387531</v>
          </cell>
        </row>
        <row r="1484">
          <cell r="A1484" t="str">
            <v>SML</v>
          </cell>
          <cell r="B1484">
            <v>8</v>
          </cell>
          <cell r="C1484" t="str">
            <v>DMNT</v>
          </cell>
          <cell r="D1484">
            <v>85</v>
          </cell>
          <cell r="E1484">
            <v>7</v>
          </cell>
          <cell r="F1484" t="str">
            <v>A4</v>
          </cell>
          <cell r="G1484">
            <v>20</v>
          </cell>
          <cell r="H1484">
            <v>7</v>
          </cell>
          <cell r="I1484">
            <v>104964</v>
          </cell>
          <cell r="J1484">
            <v>0</v>
          </cell>
          <cell r="K1484">
            <v>0</v>
          </cell>
          <cell r="L1484">
            <v>182</v>
          </cell>
          <cell r="M1484">
            <v>0</v>
          </cell>
          <cell r="N1484">
            <v>0</v>
          </cell>
          <cell r="O1484">
            <v>1023749</v>
          </cell>
          <cell r="P1484">
            <v>120848</v>
          </cell>
          <cell r="Q1484">
            <v>20531</v>
          </cell>
          <cell r="R1484">
            <v>0</v>
          </cell>
          <cell r="S1484">
            <v>0</v>
          </cell>
          <cell r="T1484">
            <v>0</v>
          </cell>
          <cell r="U1484">
            <v>292279</v>
          </cell>
          <cell r="V1484">
            <v>0</v>
          </cell>
          <cell r="W1484">
            <v>3984</v>
          </cell>
          <cell r="X1484">
            <v>0</v>
          </cell>
          <cell r="Y1484">
            <v>0</v>
          </cell>
          <cell r="Z1484">
            <v>1169112</v>
          </cell>
          <cell r="AA1484">
            <v>1169112</v>
          </cell>
          <cell r="AB1484" t="str">
            <v>EMAF</v>
          </cell>
          <cell r="AC1484">
            <v>1101</v>
          </cell>
          <cell r="AD1484">
            <v>2</v>
          </cell>
          <cell r="AE1484">
            <v>104964</v>
          </cell>
        </row>
        <row r="1485">
          <cell r="A1485" t="str">
            <v>SML</v>
          </cell>
          <cell r="B1485">
            <v>8</v>
          </cell>
          <cell r="C1485" t="str">
            <v>DMNT</v>
          </cell>
          <cell r="D1485">
            <v>85</v>
          </cell>
          <cell r="E1485">
            <v>7</v>
          </cell>
          <cell r="F1485" t="str">
            <v xml:space="preserve">B </v>
          </cell>
          <cell r="G1485">
            <v>0</v>
          </cell>
          <cell r="H1485">
            <v>14</v>
          </cell>
          <cell r="I1485">
            <v>183348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3244281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811069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3244281</v>
          </cell>
          <cell r="AA1485">
            <v>3244281</v>
          </cell>
          <cell r="AB1485" t="str">
            <v>EMAF</v>
          </cell>
          <cell r="AC1485">
            <v>1101</v>
          </cell>
          <cell r="AD1485">
            <v>2</v>
          </cell>
          <cell r="AE1485">
            <v>183053</v>
          </cell>
        </row>
        <row r="1486">
          <cell r="A1486" t="str">
            <v>SML</v>
          </cell>
          <cell r="B1486">
            <v>8</v>
          </cell>
          <cell r="C1486" t="str">
            <v>DMNT</v>
          </cell>
          <cell r="D1486">
            <v>85</v>
          </cell>
          <cell r="E1486">
            <v>8</v>
          </cell>
          <cell r="F1486" t="str">
            <v xml:space="preserve">B </v>
          </cell>
          <cell r="G1486">
            <v>0</v>
          </cell>
          <cell r="H1486">
            <v>1</v>
          </cell>
          <cell r="I1486">
            <v>3443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71679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17920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71679</v>
          </cell>
          <cell r="AA1486">
            <v>71679</v>
          </cell>
          <cell r="AB1486" t="str">
            <v>EMAF</v>
          </cell>
          <cell r="AC1486">
            <v>1101</v>
          </cell>
          <cell r="AD1486">
            <v>2</v>
          </cell>
          <cell r="AE1486">
            <v>3443</v>
          </cell>
        </row>
        <row r="1487">
          <cell r="A1487" t="str">
            <v>SML</v>
          </cell>
          <cell r="B1487">
            <v>9</v>
          </cell>
          <cell r="C1487" t="str">
            <v>DMSU</v>
          </cell>
          <cell r="D1487">
            <v>91</v>
          </cell>
          <cell r="E1487">
            <v>1</v>
          </cell>
          <cell r="F1487" t="str">
            <v xml:space="preserve">B </v>
          </cell>
          <cell r="G1487">
            <v>1</v>
          </cell>
          <cell r="H1487">
            <v>4964</v>
          </cell>
          <cell r="I1487">
            <v>128166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2101083</v>
          </cell>
          <cell r="P1487">
            <v>0</v>
          </cell>
          <cell r="Q1487">
            <v>0</v>
          </cell>
          <cell r="R1487">
            <v>69274</v>
          </cell>
          <cell r="S1487">
            <v>0</v>
          </cell>
          <cell r="T1487">
            <v>2453979</v>
          </cell>
          <cell r="U1487">
            <v>990</v>
          </cell>
          <cell r="V1487">
            <v>0</v>
          </cell>
          <cell r="W1487">
            <v>0</v>
          </cell>
          <cell r="X1487">
            <v>0</v>
          </cell>
          <cell r="Y1487">
            <v>231</v>
          </cell>
          <cell r="Z1487">
            <v>2101083</v>
          </cell>
          <cell r="AA1487">
            <v>4624567</v>
          </cell>
          <cell r="AB1487" t="str">
            <v>EMPZ</v>
          </cell>
          <cell r="AC1487">
            <v>1101</v>
          </cell>
          <cell r="AD1487">
            <v>2</v>
          </cell>
          <cell r="AE1487">
            <v>82511</v>
          </cell>
        </row>
        <row r="1488">
          <cell r="A1488" t="str">
            <v>SML</v>
          </cell>
          <cell r="B1488">
            <v>9</v>
          </cell>
          <cell r="C1488" t="str">
            <v>DMSU</v>
          </cell>
          <cell r="D1488">
            <v>91</v>
          </cell>
          <cell r="E1488">
            <v>1</v>
          </cell>
          <cell r="F1488" t="str">
            <v xml:space="preserve">B </v>
          </cell>
          <cell r="G1488">
            <v>2</v>
          </cell>
          <cell r="H1488">
            <v>1828</v>
          </cell>
          <cell r="I1488">
            <v>74507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1444478</v>
          </cell>
          <cell r="P1488">
            <v>0</v>
          </cell>
          <cell r="Q1488">
            <v>0</v>
          </cell>
          <cell r="R1488">
            <v>15218</v>
          </cell>
          <cell r="S1488">
            <v>0</v>
          </cell>
          <cell r="T1488">
            <v>289837</v>
          </cell>
          <cell r="U1488">
            <v>245500</v>
          </cell>
          <cell r="V1488">
            <v>0</v>
          </cell>
          <cell r="W1488">
            <v>0</v>
          </cell>
          <cell r="X1488">
            <v>0</v>
          </cell>
          <cell r="Y1488">
            <v>135674</v>
          </cell>
          <cell r="Z1488">
            <v>1444478</v>
          </cell>
          <cell r="AA1488">
            <v>1885207</v>
          </cell>
          <cell r="AB1488" t="str">
            <v>EMPZ</v>
          </cell>
          <cell r="AC1488">
            <v>1101</v>
          </cell>
          <cell r="AD1488">
            <v>2</v>
          </cell>
          <cell r="AE1488">
            <v>74498</v>
          </cell>
        </row>
        <row r="1489">
          <cell r="A1489" t="str">
            <v>SML</v>
          </cell>
          <cell r="B1489">
            <v>9</v>
          </cell>
          <cell r="C1489" t="str">
            <v>DMSU</v>
          </cell>
          <cell r="D1489">
            <v>91</v>
          </cell>
          <cell r="E1489">
            <v>1</v>
          </cell>
          <cell r="F1489" t="str">
            <v xml:space="preserve">B </v>
          </cell>
          <cell r="G1489">
            <v>3</v>
          </cell>
          <cell r="H1489">
            <v>8058</v>
          </cell>
          <cell r="I1489">
            <v>634842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12305957</v>
          </cell>
          <cell r="P1489">
            <v>0</v>
          </cell>
          <cell r="Q1489">
            <v>0</v>
          </cell>
          <cell r="R1489">
            <v>163558</v>
          </cell>
          <cell r="S1489">
            <v>0</v>
          </cell>
          <cell r="T1489">
            <v>1013507</v>
          </cell>
          <cell r="U1489">
            <v>2091991</v>
          </cell>
          <cell r="V1489">
            <v>0</v>
          </cell>
          <cell r="W1489">
            <v>0</v>
          </cell>
          <cell r="X1489">
            <v>0</v>
          </cell>
          <cell r="Y1489">
            <v>596012</v>
          </cell>
          <cell r="Z1489">
            <v>12305957</v>
          </cell>
          <cell r="AA1489">
            <v>14079034</v>
          </cell>
          <cell r="AB1489" t="str">
            <v>EMPZ</v>
          </cell>
          <cell r="AC1489">
            <v>1101</v>
          </cell>
          <cell r="AD1489">
            <v>2</v>
          </cell>
          <cell r="AE1489">
            <v>629631</v>
          </cell>
        </row>
        <row r="1490">
          <cell r="A1490" t="str">
            <v>SML</v>
          </cell>
          <cell r="B1490">
            <v>9</v>
          </cell>
          <cell r="C1490" t="str">
            <v>DMSU</v>
          </cell>
          <cell r="D1490">
            <v>91</v>
          </cell>
          <cell r="E1490">
            <v>1</v>
          </cell>
          <cell r="F1490" t="str">
            <v xml:space="preserve">B </v>
          </cell>
          <cell r="G1490">
            <v>4</v>
          </cell>
          <cell r="H1490">
            <v>6214</v>
          </cell>
          <cell r="I1490">
            <v>766434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14859521</v>
          </cell>
          <cell r="P1490">
            <v>0</v>
          </cell>
          <cell r="Q1490">
            <v>0</v>
          </cell>
          <cell r="R1490">
            <v>196211</v>
          </cell>
          <cell r="S1490">
            <v>0</v>
          </cell>
          <cell r="T1490">
            <v>970999</v>
          </cell>
          <cell r="U1490">
            <v>2526145</v>
          </cell>
          <cell r="V1490">
            <v>0</v>
          </cell>
          <cell r="W1490">
            <v>0</v>
          </cell>
          <cell r="X1490">
            <v>0</v>
          </cell>
          <cell r="Y1490">
            <v>931559</v>
          </cell>
          <cell r="Z1490">
            <v>14859521</v>
          </cell>
          <cell r="AA1490">
            <v>16958290</v>
          </cell>
          <cell r="AB1490" t="str">
            <v>EMPZ</v>
          </cell>
          <cell r="AC1490">
            <v>1101</v>
          </cell>
          <cell r="AD1490">
            <v>2</v>
          </cell>
          <cell r="AE1490">
            <v>766434</v>
          </cell>
        </row>
        <row r="1491">
          <cell r="A1491" t="str">
            <v>SML</v>
          </cell>
          <cell r="B1491">
            <v>9</v>
          </cell>
          <cell r="C1491" t="str">
            <v>DMSU</v>
          </cell>
          <cell r="D1491">
            <v>91</v>
          </cell>
          <cell r="E1491">
            <v>1</v>
          </cell>
          <cell r="F1491" t="str">
            <v xml:space="preserve">B </v>
          </cell>
          <cell r="G1491">
            <v>5</v>
          </cell>
          <cell r="H1491">
            <v>2991</v>
          </cell>
          <cell r="I1491">
            <v>511292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9912873</v>
          </cell>
          <cell r="P1491">
            <v>0</v>
          </cell>
          <cell r="Q1491">
            <v>0</v>
          </cell>
          <cell r="R1491">
            <v>156237</v>
          </cell>
          <cell r="S1491">
            <v>0</v>
          </cell>
          <cell r="T1491">
            <v>578080</v>
          </cell>
          <cell r="U1491">
            <v>1685243</v>
          </cell>
          <cell r="V1491">
            <v>0</v>
          </cell>
          <cell r="W1491">
            <v>0</v>
          </cell>
          <cell r="X1491">
            <v>0</v>
          </cell>
          <cell r="Y1491">
            <v>437100</v>
          </cell>
          <cell r="Z1491">
            <v>9912873</v>
          </cell>
          <cell r="AA1491">
            <v>11084290</v>
          </cell>
          <cell r="AB1491" t="str">
            <v>EMPZ</v>
          </cell>
          <cell r="AC1491">
            <v>1101</v>
          </cell>
          <cell r="AD1491">
            <v>2</v>
          </cell>
          <cell r="AE1491">
            <v>511292</v>
          </cell>
        </row>
        <row r="1492">
          <cell r="A1492" t="str">
            <v>SML</v>
          </cell>
          <cell r="B1492">
            <v>9</v>
          </cell>
          <cell r="C1492" t="str">
            <v>DMSU</v>
          </cell>
          <cell r="D1492">
            <v>91</v>
          </cell>
          <cell r="E1492">
            <v>1</v>
          </cell>
          <cell r="F1492" t="str">
            <v xml:space="preserve">B </v>
          </cell>
          <cell r="G1492">
            <v>6</v>
          </cell>
          <cell r="H1492">
            <v>2127</v>
          </cell>
          <cell r="I1492">
            <v>506864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9824282</v>
          </cell>
          <cell r="P1492">
            <v>0</v>
          </cell>
          <cell r="Q1492">
            <v>0</v>
          </cell>
          <cell r="R1492">
            <v>111484</v>
          </cell>
          <cell r="S1492">
            <v>0</v>
          </cell>
          <cell r="T1492">
            <v>469585</v>
          </cell>
          <cell r="U1492">
            <v>1670661</v>
          </cell>
          <cell r="V1492">
            <v>0</v>
          </cell>
          <cell r="W1492">
            <v>0</v>
          </cell>
          <cell r="X1492">
            <v>0</v>
          </cell>
          <cell r="Y1492">
            <v>312273</v>
          </cell>
          <cell r="Z1492">
            <v>9824282</v>
          </cell>
          <cell r="AA1492">
            <v>10717624</v>
          </cell>
          <cell r="AB1492" t="str">
            <v>EMPZ</v>
          </cell>
          <cell r="AC1492">
            <v>1101</v>
          </cell>
          <cell r="AD1492">
            <v>2</v>
          </cell>
          <cell r="AE1492">
            <v>506864</v>
          </cell>
        </row>
        <row r="1493">
          <cell r="A1493" t="str">
            <v>SML</v>
          </cell>
          <cell r="B1493">
            <v>9</v>
          </cell>
          <cell r="C1493" t="str">
            <v>DMSU</v>
          </cell>
          <cell r="D1493">
            <v>91</v>
          </cell>
          <cell r="E1493">
            <v>1</v>
          </cell>
          <cell r="F1493" t="str">
            <v xml:space="preserve">B </v>
          </cell>
          <cell r="G1493">
            <v>7</v>
          </cell>
          <cell r="H1493">
            <v>716</v>
          </cell>
          <cell r="I1493">
            <v>231382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4653731</v>
          </cell>
          <cell r="P1493">
            <v>0</v>
          </cell>
          <cell r="Q1493">
            <v>0</v>
          </cell>
          <cell r="R1493">
            <v>52135</v>
          </cell>
          <cell r="S1493">
            <v>0</v>
          </cell>
          <cell r="T1493">
            <v>190843</v>
          </cell>
          <cell r="U1493">
            <v>931070</v>
          </cell>
          <cell r="V1493">
            <v>0</v>
          </cell>
          <cell r="W1493">
            <v>0</v>
          </cell>
          <cell r="X1493">
            <v>0</v>
          </cell>
          <cell r="Y1493">
            <v>193858</v>
          </cell>
          <cell r="Z1493">
            <v>4653731</v>
          </cell>
          <cell r="AA1493">
            <v>5090567</v>
          </cell>
          <cell r="AB1493" t="str">
            <v>EMPZ</v>
          </cell>
          <cell r="AC1493">
            <v>1101</v>
          </cell>
          <cell r="AD1493">
            <v>2</v>
          </cell>
          <cell r="AE1493">
            <v>231382</v>
          </cell>
        </row>
        <row r="1494">
          <cell r="A1494" t="str">
            <v>SML</v>
          </cell>
          <cell r="B1494">
            <v>9</v>
          </cell>
          <cell r="C1494" t="str">
            <v>DMSU</v>
          </cell>
          <cell r="D1494">
            <v>91</v>
          </cell>
          <cell r="E1494">
            <v>1</v>
          </cell>
          <cell r="F1494" t="str">
            <v xml:space="preserve">B </v>
          </cell>
          <cell r="G1494">
            <v>8</v>
          </cell>
          <cell r="H1494">
            <v>354</v>
          </cell>
          <cell r="I1494">
            <v>149560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3006435</v>
          </cell>
          <cell r="P1494">
            <v>0</v>
          </cell>
          <cell r="Q1494">
            <v>0</v>
          </cell>
          <cell r="R1494">
            <v>27818</v>
          </cell>
          <cell r="S1494">
            <v>0</v>
          </cell>
          <cell r="T1494">
            <v>111951</v>
          </cell>
          <cell r="U1494">
            <v>601407</v>
          </cell>
          <cell r="V1494">
            <v>0</v>
          </cell>
          <cell r="W1494">
            <v>0</v>
          </cell>
          <cell r="X1494">
            <v>0</v>
          </cell>
          <cell r="Y1494">
            <v>95172</v>
          </cell>
          <cell r="Z1494">
            <v>3006435</v>
          </cell>
          <cell r="AA1494">
            <v>3241376</v>
          </cell>
          <cell r="AB1494" t="str">
            <v>EMPZ</v>
          </cell>
          <cell r="AC1494">
            <v>1101</v>
          </cell>
          <cell r="AD1494">
            <v>2</v>
          </cell>
          <cell r="AE1494">
            <v>149560</v>
          </cell>
        </row>
        <row r="1495">
          <cell r="A1495" t="str">
            <v>SML</v>
          </cell>
          <cell r="B1495">
            <v>9</v>
          </cell>
          <cell r="C1495" t="str">
            <v>DMSU</v>
          </cell>
          <cell r="D1495">
            <v>91</v>
          </cell>
          <cell r="E1495">
            <v>1</v>
          </cell>
          <cell r="F1495" t="str">
            <v xml:space="preserve">B </v>
          </cell>
          <cell r="G1495">
            <v>9</v>
          </cell>
          <cell r="H1495">
            <v>492</v>
          </cell>
          <cell r="I1495">
            <v>301747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6480692</v>
          </cell>
          <cell r="P1495">
            <v>0</v>
          </cell>
          <cell r="Q1495">
            <v>0</v>
          </cell>
          <cell r="R1495">
            <v>50229</v>
          </cell>
          <cell r="S1495">
            <v>0</v>
          </cell>
          <cell r="T1495">
            <v>272157</v>
          </cell>
          <cell r="U1495">
            <v>1620403</v>
          </cell>
          <cell r="V1495">
            <v>0</v>
          </cell>
          <cell r="W1495">
            <v>0</v>
          </cell>
          <cell r="X1495">
            <v>0</v>
          </cell>
          <cell r="Y1495">
            <v>374625</v>
          </cell>
          <cell r="Z1495">
            <v>6480692</v>
          </cell>
          <cell r="AA1495">
            <v>7177703</v>
          </cell>
          <cell r="AB1495" t="str">
            <v>EMPZ</v>
          </cell>
          <cell r="AC1495">
            <v>1101</v>
          </cell>
          <cell r="AD1495">
            <v>2</v>
          </cell>
          <cell r="AE1495">
            <v>301098</v>
          </cell>
        </row>
        <row r="1496">
          <cell r="A1496" t="str">
            <v>SML</v>
          </cell>
          <cell r="B1496">
            <v>9</v>
          </cell>
          <cell r="C1496" t="str">
            <v>DMSU</v>
          </cell>
          <cell r="D1496">
            <v>91</v>
          </cell>
          <cell r="E1496">
            <v>1</v>
          </cell>
          <cell r="F1496" t="str">
            <v xml:space="preserve">B </v>
          </cell>
          <cell r="G1496">
            <v>10</v>
          </cell>
          <cell r="H1496">
            <v>144</v>
          </cell>
          <cell r="I1496">
            <v>188427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4028463</v>
          </cell>
          <cell r="P1496">
            <v>0</v>
          </cell>
          <cell r="Q1496">
            <v>0</v>
          </cell>
          <cell r="R1496">
            <v>34866</v>
          </cell>
          <cell r="S1496">
            <v>0</v>
          </cell>
          <cell r="T1496">
            <v>311034</v>
          </cell>
          <cell r="U1496">
            <v>1007180</v>
          </cell>
          <cell r="V1496">
            <v>0</v>
          </cell>
          <cell r="W1496">
            <v>0</v>
          </cell>
          <cell r="X1496">
            <v>0</v>
          </cell>
          <cell r="Y1496">
            <v>212843</v>
          </cell>
          <cell r="Z1496">
            <v>4028463</v>
          </cell>
          <cell r="AA1496">
            <v>4587206</v>
          </cell>
          <cell r="AB1496" t="str">
            <v>EMPZ</v>
          </cell>
          <cell r="AC1496">
            <v>1101</v>
          </cell>
          <cell r="AD1496">
            <v>2</v>
          </cell>
          <cell r="AE1496">
            <v>188427</v>
          </cell>
        </row>
        <row r="1497">
          <cell r="A1497" t="str">
            <v>SML</v>
          </cell>
          <cell r="B1497">
            <v>9</v>
          </cell>
          <cell r="C1497" t="str">
            <v>DMSU</v>
          </cell>
          <cell r="D1497">
            <v>91</v>
          </cell>
          <cell r="E1497">
            <v>1</v>
          </cell>
          <cell r="F1497" t="str">
            <v xml:space="preserve">B </v>
          </cell>
          <cell r="G1497">
            <v>11</v>
          </cell>
          <cell r="H1497">
            <v>6961</v>
          </cell>
          <cell r="I1497">
            <v>185752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1052778</v>
          </cell>
          <cell r="P1497">
            <v>0</v>
          </cell>
          <cell r="Q1497">
            <v>0</v>
          </cell>
          <cell r="R1497">
            <v>36053</v>
          </cell>
          <cell r="S1497">
            <v>0</v>
          </cell>
          <cell r="T1497">
            <v>453028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1052778</v>
          </cell>
          <cell r="AA1497">
            <v>1541859</v>
          </cell>
          <cell r="AB1497" t="str">
            <v>EMPZ</v>
          </cell>
          <cell r="AC1497">
            <v>1101</v>
          </cell>
          <cell r="AD1497">
            <v>2</v>
          </cell>
          <cell r="AE1497">
            <v>116440</v>
          </cell>
        </row>
        <row r="1498">
          <cell r="A1498" t="str">
            <v>SML</v>
          </cell>
          <cell r="B1498">
            <v>9</v>
          </cell>
          <cell r="C1498" t="str">
            <v>DMSU</v>
          </cell>
          <cell r="D1498">
            <v>91</v>
          </cell>
          <cell r="E1498">
            <v>1</v>
          </cell>
          <cell r="F1498" t="str">
            <v xml:space="preserve">B </v>
          </cell>
          <cell r="G1498">
            <v>12</v>
          </cell>
          <cell r="H1498">
            <v>8846</v>
          </cell>
          <cell r="I1498">
            <v>581185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5568117</v>
          </cell>
          <cell r="P1498">
            <v>0</v>
          </cell>
          <cell r="Q1498">
            <v>0</v>
          </cell>
          <cell r="R1498">
            <v>92176</v>
          </cell>
          <cell r="S1498">
            <v>0</v>
          </cell>
          <cell r="T1498">
            <v>324427</v>
          </cell>
          <cell r="U1498">
            <v>946931</v>
          </cell>
          <cell r="V1498">
            <v>0</v>
          </cell>
          <cell r="W1498">
            <v>0</v>
          </cell>
          <cell r="X1498">
            <v>0</v>
          </cell>
          <cell r="Y1498">
            <v>658399</v>
          </cell>
          <cell r="Z1498">
            <v>5568117</v>
          </cell>
          <cell r="AA1498">
            <v>6643119</v>
          </cell>
          <cell r="AB1498" t="str">
            <v>EMPZ</v>
          </cell>
          <cell r="AC1498">
            <v>1101</v>
          </cell>
          <cell r="AD1498">
            <v>2</v>
          </cell>
          <cell r="AE1498">
            <v>581185</v>
          </cell>
        </row>
        <row r="1499">
          <cell r="A1499" t="str">
            <v>SML</v>
          </cell>
          <cell r="B1499">
            <v>9</v>
          </cell>
          <cell r="C1499" t="str">
            <v>DMSU</v>
          </cell>
          <cell r="D1499">
            <v>91</v>
          </cell>
          <cell r="E1499">
            <v>1</v>
          </cell>
          <cell r="F1499" t="str">
            <v xml:space="preserve">B </v>
          </cell>
          <cell r="G1499">
            <v>13</v>
          </cell>
          <cell r="H1499">
            <v>1865</v>
          </cell>
          <cell r="I1499">
            <v>220291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2728951</v>
          </cell>
          <cell r="P1499">
            <v>0</v>
          </cell>
          <cell r="Q1499">
            <v>0</v>
          </cell>
          <cell r="R1499">
            <v>38913</v>
          </cell>
          <cell r="S1499">
            <v>0</v>
          </cell>
          <cell r="T1499">
            <v>146612</v>
          </cell>
          <cell r="U1499">
            <v>463965</v>
          </cell>
          <cell r="V1499">
            <v>0</v>
          </cell>
          <cell r="W1499">
            <v>0</v>
          </cell>
          <cell r="X1499">
            <v>0</v>
          </cell>
          <cell r="Y1499">
            <v>285426</v>
          </cell>
          <cell r="Z1499">
            <v>2728951</v>
          </cell>
          <cell r="AA1499">
            <v>3199902</v>
          </cell>
          <cell r="AB1499" t="str">
            <v>EMPZ</v>
          </cell>
          <cell r="AC1499">
            <v>1101</v>
          </cell>
          <cell r="AD1499">
            <v>2</v>
          </cell>
          <cell r="AE1499">
            <v>220291</v>
          </cell>
        </row>
        <row r="1500">
          <cell r="A1500" t="str">
            <v>SML</v>
          </cell>
          <cell r="B1500">
            <v>9</v>
          </cell>
          <cell r="C1500" t="str">
            <v>DMSU</v>
          </cell>
          <cell r="D1500">
            <v>91</v>
          </cell>
          <cell r="E1500">
            <v>1</v>
          </cell>
          <cell r="F1500" t="str">
            <v xml:space="preserve">B </v>
          </cell>
          <cell r="G1500">
            <v>14</v>
          </cell>
          <cell r="H1500">
            <v>230</v>
          </cell>
          <cell r="I1500">
            <v>35719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468733</v>
          </cell>
          <cell r="P1500">
            <v>0</v>
          </cell>
          <cell r="Q1500">
            <v>0</v>
          </cell>
          <cell r="R1500">
            <v>11938</v>
          </cell>
          <cell r="S1500">
            <v>0</v>
          </cell>
          <cell r="T1500">
            <v>9724</v>
          </cell>
          <cell r="U1500">
            <v>79699</v>
          </cell>
          <cell r="V1500">
            <v>0</v>
          </cell>
          <cell r="W1500">
            <v>0</v>
          </cell>
          <cell r="X1500">
            <v>0</v>
          </cell>
          <cell r="Y1500">
            <v>34226</v>
          </cell>
          <cell r="Z1500">
            <v>468733</v>
          </cell>
          <cell r="AA1500">
            <v>524621</v>
          </cell>
          <cell r="AB1500" t="str">
            <v>EMPZ</v>
          </cell>
          <cell r="AC1500">
            <v>1101</v>
          </cell>
          <cell r="AD1500">
            <v>2</v>
          </cell>
          <cell r="AE1500">
            <v>35719</v>
          </cell>
        </row>
        <row r="1501">
          <cell r="A1501" t="str">
            <v>SML</v>
          </cell>
          <cell r="B1501">
            <v>9</v>
          </cell>
          <cell r="C1501" t="str">
            <v>DMSU</v>
          </cell>
          <cell r="D1501">
            <v>91</v>
          </cell>
          <cell r="E1501">
            <v>1</v>
          </cell>
          <cell r="F1501" t="str">
            <v xml:space="preserve">B </v>
          </cell>
          <cell r="G1501">
            <v>15</v>
          </cell>
          <cell r="H1501">
            <v>448</v>
          </cell>
          <cell r="I1501">
            <v>67599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926547</v>
          </cell>
          <cell r="P1501">
            <v>0</v>
          </cell>
          <cell r="Q1501">
            <v>0</v>
          </cell>
          <cell r="R1501">
            <v>11061</v>
          </cell>
          <cell r="S1501">
            <v>0</v>
          </cell>
          <cell r="T1501">
            <v>55346</v>
          </cell>
          <cell r="U1501">
            <v>141571</v>
          </cell>
          <cell r="V1501">
            <v>0</v>
          </cell>
          <cell r="W1501">
            <v>0</v>
          </cell>
          <cell r="X1501">
            <v>0</v>
          </cell>
          <cell r="Y1501">
            <v>58524</v>
          </cell>
          <cell r="Z1501">
            <v>926547</v>
          </cell>
          <cell r="AA1501">
            <v>1051478</v>
          </cell>
          <cell r="AB1501" t="str">
            <v>EMPZ</v>
          </cell>
          <cell r="AC1501">
            <v>1101</v>
          </cell>
          <cell r="AD1501">
            <v>2</v>
          </cell>
          <cell r="AE1501">
            <v>67599</v>
          </cell>
        </row>
        <row r="1502">
          <cell r="A1502" t="str">
            <v>SML</v>
          </cell>
          <cell r="B1502">
            <v>9</v>
          </cell>
          <cell r="C1502" t="str">
            <v>DMSU</v>
          </cell>
          <cell r="D1502">
            <v>91</v>
          </cell>
          <cell r="E1502">
            <v>2</v>
          </cell>
          <cell r="F1502" t="str">
            <v>A4</v>
          </cell>
          <cell r="G1502">
            <v>22</v>
          </cell>
          <cell r="H1502">
            <v>13</v>
          </cell>
          <cell r="I1502">
            <v>6548017</v>
          </cell>
          <cell r="J1502">
            <v>550608</v>
          </cell>
          <cell r="K1502">
            <v>5997409</v>
          </cell>
          <cell r="L1502">
            <v>19043</v>
          </cell>
          <cell r="M1502">
            <v>11579</v>
          </cell>
          <cell r="N1502">
            <v>10069</v>
          </cell>
          <cell r="O1502">
            <v>46205996</v>
          </cell>
          <cell r="P1502">
            <v>30126992</v>
          </cell>
          <cell r="Q1502">
            <v>713745</v>
          </cell>
          <cell r="R1502">
            <v>182549</v>
          </cell>
          <cell r="S1502">
            <v>0</v>
          </cell>
          <cell r="T1502">
            <v>1668274</v>
          </cell>
          <cell r="U1502">
            <v>19313453</v>
          </cell>
          <cell r="V1502">
            <v>0</v>
          </cell>
          <cell r="W1502">
            <v>207078</v>
          </cell>
          <cell r="X1502">
            <v>0</v>
          </cell>
          <cell r="Y1502">
            <v>135762</v>
          </cell>
          <cell r="Z1502">
            <v>77253811</v>
          </cell>
          <cell r="AA1502">
            <v>79240396</v>
          </cell>
          <cell r="AB1502" t="str">
            <v>EMPZ</v>
          </cell>
          <cell r="AC1502">
            <v>1101</v>
          </cell>
          <cell r="AD1502">
            <v>2</v>
          </cell>
          <cell r="AE1502">
            <v>6548017</v>
          </cell>
        </row>
        <row r="1503">
          <cell r="A1503" t="str">
            <v>SML</v>
          </cell>
          <cell r="B1503">
            <v>9</v>
          </cell>
          <cell r="C1503" t="str">
            <v>DMSU</v>
          </cell>
          <cell r="D1503">
            <v>91</v>
          </cell>
          <cell r="E1503">
            <v>2</v>
          </cell>
          <cell r="F1503" t="str">
            <v>A4</v>
          </cell>
          <cell r="G1503">
            <v>21</v>
          </cell>
          <cell r="H1503">
            <v>13</v>
          </cell>
          <cell r="I1503">
            <v>1278056</v>
          </cell>
          <cell r="J1503">
            <v>53821</v>
          </cell>
          <cell r="K1503">
            <v>1224235</v>
          </cell>
          <cell r="L1503">
            <v>5946</v>
          </cell>
          <cell r="M1503">
            <v>5946</v>
          </cell>
          <cell r="N1503">
            <v>0</v>
          </cell>
          <cell r="O1503">
            <v>11213777</v>
          </cell>
          <cell r="P1503">
            <v>4106706</v>
          </cell>
          <cell r="Q1503">
            <v>76267</v>
          </cell>
          <cell r="R1503">
            <v>89672</v>
          </cell>
          <cell r="S1503">
            <v>0</v>
          </cell>
          <cell r="T1503">
            <v>934715</v>
          </cell>
          <cell r="U1503">
            <v>3849187</v>
          </cell>
          <cell r="V1503">
            <v>0</v>
          </cell>
          <cell r="W1503">
            <v>0</v>
          </cell>
          <cell r="X1503">
            <v>0</v>
          </cell>
          <cell r="Y1503">
            <v>135762</v>
          </cell>
          <cell r="Z1503">
            <v>15396750</v>
          </cell>
          <cell r="AA1503">
            <v>16556899</v>
          </cell>
          <cell r="AB1503" t="str">
            <v>EMPZ</v>
          </cell>
          <cell r="AC1503">
            <v>1101</v>
          </cell>
          <cell r="AD1503">
            <v>2</v>
          </cell>
          <cell r="AE1503">
            <v>1278056</v>
          </cell>
        </row>
        <row r="1504">
          <cell r="A1504" t="str">
            <v>SML</v>
          </cell>
          <cell r="B1504">
            <v>9</v>
          </cell>
          <cell r="C1504" t="str">
            <v>DMSU</v>
          </cell>
          <cell r="D1504">
            <v>91</v>
          </cell>
          <cell r="E1504">
            <v>2</v>
          </cell>
          <cell r="F1504" t="str">
            <v>A4</v>
          </cell>
          <cell r="G1504">
            <v>20</v>
          </cell>
          <cell r="H1504">
            <v>62</v>
          </cell>
          <cell r="I1504">
            <v>1227837</v>
          </cell>
          <cell r="J1504">
            <v>0</v>
          </cell>
          <cell r="K1504">
            <v>0</v>
          </cell>
          <cell r="L1504">
            <v>5476</v>
          </cell>
          <cell r="M1504">
            <v>0</v>
          </cell>
          <cell r="N1504">
            <v>0</v>
          </cell>
          <cell r="O1504">
            <v>14089020</v>
          </cell>
          <cell r="P1504">
            <v>4285881</v>
          </cell>
          <cell r="Q1504">
            <v>825916</v>
          </cell>
          <cell r="R1504">
            <v>144661</v>
          </cell>
          <cell r="S1504">
            <v>0</v>
          </cell>
          <cell r="T1504">
            <v>1116176</v>
          </cell>
          <cell r="U1504">
            <v>4984924</v>
          </cell>
          <cell r="V1504">
            <v>0</v>
          </cell>
          <cell r="W1504">
            <v>738839</v>
          </cell>
          <cell r="X1504">
            <v>0</v>
          </cell>
          <cell r="Y1504">
            <v>535166</v>
          </cell>
          <cell r="Z1504">
            <v>19939656</v>
          </cell>
          <cell r="AA1504">
            <v>21735659</v>
          </cell>
          <cell r="AB1504" t="str">
            <v>EMPZ</v>
          </cell>
          <cell r="AC1504">
            <v>1101</v>
          </cell>
          <cell r="AD1504">
            <v>2</v>
          </cell>
          <cell r="AE1504">
            <v>1227837</v>
          </cell>
        </row>
        <row r="1505">
          <cell r="A1505" t="str">
            <v>SML</v>
          </cell>
          <cell r="B1505">
            <v>9</v>
          </cell>
          <cell r="C1505" t="str">
            <v>DMSU</v>
          </cell>
          <cell r="D1505">
            <v>91</v>
          </cell>
          <cell r="E1505">
            <v>2</v>
          </cell>
          <cell r="F1505" t="str">
            <v xml:space="preserve">B </v>
          </cell>
          <cell r="G1505">
            <v>0</v>
          </cell>
          <cell r="H1505">
            <v>89</v>
          </cell>
          <cell r="I1505">
            <v>88596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1844419</v>
          </cell>
          <cell r="P1505">
            <v>0</v>
          </cell>
          <cell r="Q1505">
            <v>0</v>
          </cell>
          <cell r="R1505">
            <v>-9282</v>
          </cell>
          <cell r="S1505">
            <v>0</v>
          </cell>
          <cell r="T1505">
            <v>442369</v>
          </cell>
          <cell r="U1505">
            <v>460658</v>
          </cell>
          <cell r="V1505">
            <v>0</v>
          </cell>
          <cell r="W1505">
            <v>0</v>
          </cell>
          <cell r="X1505">
            <v>0</v>
          </cell>
          <cell r="Y1505">
            <v>211496</v>
          </cell>
          <cell r="Z1505">
            <v>1844419</v>
          </cell>
          <cell r="AA1505">
            <v>2489002</v>
          </cell>
          <cell r="AB1505" t="str">
            <v>EMPZ</v>
          </cell>
          <cell r="AC1505">
            <v>1101</v>
          </cell>
          <cell r="AD1505">
            <v>2</v>
          </cell>
          <cell r="AE1505">
            <v>87847</v>
          </cell>
        </row>
        <row r="1506">
          <cell r="A1506" t="str">
            <v>SML</v>
          </cell>
          <cell r="B1506">
            <v>9</v>
          </cell>
          <cell r="C1506" t="str">
            <v>DMSU</v>
          </cell>
          <cell r="D1506">
            <v>91</v>
          </cell>
          <cell r="E1506">
            <v>3</v>
          </cell>
          <cell r="F1506" t="str">
            <v>A3</v>
          </cell>
          <cell r="G1506">
            <v>26</v>
          </cell>
          <cell r="H1506">
            <v>1</v>
          </cell>
          <cell r="I1506">
            <v>381031</v>
          </cell>
          <cell r="J1506">
            <v>37843</v>
          </cell>
          <cell r="K1506">
            <v>343188</v>
          </cell>
          <cell r="L1506">
            <v>835</v>
          </cell>
          <cell r="M1506">
            <v>835</v>
          </cell>
          <cell r="N1506">
            <v>778</v>
          </cell>
          <cell r="O1506">
            <v>2221568</v>
          </cell>
          <cell r="P1506">
            <v>1720566</v>
          </cell>
          <cell r="Q1506">
            <v>77672</v>
          </cell>
          <cell r="R1506">
            <v>0</v>
          </cell>
          <cell r="S1506">
            <v>0</v>
          </cell>
          <cell r="T1506">
            <v>0</v>
          </cell>
          <cell r="U1506">
            <v>1004952</v>
          </cell>
          <cell r="V1506">
            <v>0</v>
          </cell>
          <cell r="W1506">
            <v>0</v>
          </cell>
          <cell r="X1506">
            <v>0</v>
          </cell>
          <cell r="Y1506">
            <v>12342</v>
          </cell>
          <cell r="Z1506">
            <v>4019806</v>
          </cell>
          <cell r="AA1506">
            <v>4032148</v>
          </cell>
          <cell r="AB1506" t="str">
            <v>EMPZ</v>
          </cell>
          <cell r="AC1506">
            <v>1101</v>
          </cell>
          <cell r="AD1506">
            <v>2</v>
          </cell>
          <cell r="AE1506">
            <v>381031</v>
          </cell>
        </row>
        <row r="1507">
          <cell r="A1507" t="str">
            <v>SML</v>
          </cell>
          <cell r="B1507">
            <v>9</v>
          </cell>
          <cell r="C1507" t="str">
            <v>DMSU</v>
          </cell>
          <cell r="D1507">
            <v>91</v>
          </cell>
          <cell r="E1507">
            <v>3</v>
          </cell>
          <cell r="F1507" t="str">
            <v>A4</v>
          </cell>
          <cell r="G1507">
            <v>22</v>
          </cell>
          <cell r="H1507">
            <v>2</v>
          </cell>
          <cell r="I1507">
            <v>1511905</v>
          </cell>
          <cell r="J1507">
            <v>98788</v>
          </cell>
          <cell r="K1507">
            <v>1413117</v>
          </cell>
          <cell r="L1507">
            <v>6600</v>
          </cell>
          <cell r="M1507">
            <v>3900</v>
          </cell>
          <cell r="N1507">
            <v>2700</v>
          </cell>
          <cell r="O1507">
            <v>10466774</v>
          </cell>
          <cell r="P1507">
            <v>8284400</v>
          </cell>
          <cell r="Q1507">
            <v>0</v>
          </cell>
          <cell r="R1507">
            <v>0</v>
          </cell>
          <cell r="S1507">
            <v>0</v>
          </cell>
          <cell r="T1507">
            <v>3703</v>
          </cell>
          <cell r="U1507">
            <v>4687794</v>
          </cell>
          <cell r="V1507">
            <v>0</v>
          </cell>
          <cell r="W1507">
            <v>0</v>
          </cell>
          <cell r="X1507">
            <v>0</v>
          </cell>
          <cell r="Y1507">
            <v>24684</v>
          </cell>
          <cell r="Z1507">
            <v>18751174</v>
          </cell>
          <cell r="AA1507">
            <v>18779561</v>
          </cell>
          <cell r="AB1507" t="str">
            <v>EMPZ</v>
          </cell>
          <cell r="AC1507">
            <v>1101</v>
          </cell>
          <cell r="AD1507">
            <v>2</v>
          </cell>
          <cell r="AE1507">
            <v>1511905</v>
          </cell>
        </row>
        <row r="1508">
          <cell r="A1508" t="str">
            <v>SML</v>
          </cell>
          <cell r="B1508">
            <v>9</v>
          </cell>
          <cell r="C1508" t="str">
            <v>DMSU</v>
          </cell>
          <cell r="D1508">
            <v>91</v>
          </cell>
          <cell r="E1508">
            <v>3</v>
          </cell>
          <cell r="F1508" t="str">
            <v>A4</v>
          </cell>
          <cell r="G1508">
            <v>21</v>
          </cell>
          <cell r="H1508">
            <v>1</v>
          </cell>
          <cell r="I1508">
            <v>33960</v>
          </cell>
          <cell r="J1508">
            <v>524</v>
          </cell>
          <cell r="K1508">
            <v>33436</v>
          </cell>
          <cell r="L1508">
            <v>160</v>
          </cell>
          <cell r="M1508">
            <v>160</v>
          </cell>
          <cell r="N1508">
            <v>0</v>
          </cell>
          <cell r="O1508">
            <v>248119</v>
          </cell>
          <cell r="P1508">
            <v>110507</v>
          </cell>
          <cell r="Q1508">
            <v>15084</v>
          </cell>
          <cell r="R1508">
            <v>14823</v>
          </cell>
          <cell r="S1508">
            <v>0</v>
          </cell>
          <cell r="T1508">
            <v>0</v>
          </cell>
          <cell r="U1508">
            <v>93427</v>
          </cell>
          <cell r="V1508">
            <v>0</v>
          </cell>
          <cell r="W1508">
            <v>0</v>
          </cell>
          <cell r="X1508">
            <v>0</v>
          </cell>
          <cell r="Y1508">
            <v>12342</v>
          </cell>
          <cell r="Z1508">
            <v>373710</v>
          </cell>
          <cell r="AA1508">
            <v>400875</v>
          </cell>
          <cell r="AB1508" t="str">
            <v>EMPZ</v>
          </cell>
          <cell r="AC1508">
            <v>1101</v>
          </cell>
          <cell r="AD1508">
            <v>2</v>
          </cell>
          <cell r="AE1508">
            <v>33960</v>
          </cell>
        </row>
        <row r="1509">
          <cell r="A1509" t="str">
            <v>SML</v>
          </cell>
          <cell r="B1509">
            <v>9</v>
          </cell>
          <cell r="C1509" t="str">
            <v>DMSU</v>
          </cell>
          <cell r="D1509">
            <v>91</v>
          </cell>
          <cell r="E1509">
            <v>3</v>
          </cell>
          <cell r="F1509" t="str">
            <v>A4</v>
          </cell>
          <cell r="G1509">
            <v>20</v>
          </cell>
          <cell r="H1509">
            <v>95</v>
          </cell>
          <cell r="I1509">
            <v>1361836</v>
          </cell>
          <cell r="J1509">
            <v>0</v>
          </cell>
          <cell r="K1509">
            <v>0</v>
          </cell>
          <cell r="L1509">
            <v>5223</v>
          </cell>
          <cell r="M1509">
            <v>0</v>
          </cell>
          <cell r="N1509">
            <v>0</v>
          </cell>
          <cell r="O1509">
            <v>15626608</v>
          </cell>
          <cell r="P1509">
            <v>4087871</v>
          </cell>
          <cell r="Q1509">
            <v>450611</v>
          </cell>
          <cell r="R1509">
            <v>70817</v>
          </cell>
          <cell r="S1509">
            <v>0</v>
          </cell>
          <cell r="T1509">
            <v>183012</v>
          </cell>
          <cell r="U1509">
            <v>5072005</v>
          </cell>
          <cell r="V1509">
            <v>0</v>
          </cell>
          <cell r="W1509">
            <v>122879</v>
          </cell>
          <cell r="X1509">
            <v>0</v>
          </cell>
          <cell r="Y1509">
            <v>776308</v>
          </cell>
          <cell r="Z1509">
            <v>20287969</v>
          </cell>
          <cell r="AA1509">
            <v>21318106</v>
          </cell>
          <cell r="AB1509" t="str">
            <v>EMPZ</v>
          </cell>
          <cell r="AC1509">
            <v>1101</v>
          </cell>
          <cell r="AD1509">
            <v>2</v>
          </cell>
          <cell r="AE1509">
            <v>1361836</v>
          </cell>
        </row>
        <row r="1510">
          <cell r="A1510" t="str">
            <v>SML</v>
          </cell>
          <cell r="B1510">
            <v>9</v>
          </cell>
          <cell r="C1510" t="str">
            <v>DMSU</v>
          </cell>
          <cell r="D1510">
            <v>91</v>
          </cell>
          <cell r="E1510">
            <v>3</v>
          </cell>
          <cell r="F1510" t="str">
            <v xml:space="preserve">B </v>
          </cell>
          <cell r="G1510">
            <v>0</v>
          </cell>
          <cell r="H1510">
            <v>4163</v>
          </cell>
          <cell r="I1510">
            <v>1326335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27644541</v>
          </cell>
          <cell r="P1510">
            <v>0</v>
          </cell>
          <cell r="Q1510">
            <v>23671</v>
          </cell>
          <cell r="R1510">
            <v>512606</v>
          </cell>
          <cell r="S1510">
            <v>-21306</v>
          </cell>
          <cell r="T1510">
            <v>4517856</v>
          </cell>
          <cell r="U1510">
            <v>6871518</v>
          </cell>
          <cell r="V1510">
            <v>0</v>
          </cell>
          <cell r="W1510">
            <v>0</v>
          </cell>
          <cell r="X1510">
            <v>0</v>
          </cell>
          <cell r="Y1510">
            <v>2268532</v>
          </cell>
          <cell r="Z1510">
            <v>27668212</v>
          </cell>
          <cell r="AA1510">
            <v>34945900</v>
          </cell>
          <cell r="AB1510" t="str">
            <v>EMPZ</v>
          </cell>
          <cell r="AC1510">
            <v>1101</v>
          </cell>
          <cell r="AD1510">
            <v>2</v>
          </cell>
          <cell r="AE1510">
            <v>1300680</v>
          </cell>
        </row>
        <row r="1511">
          <cell r="A1511" t="str">
            <v>SML</v>
          </cell>
          <cell r="B1511">
            <v>9</v>
          </cell>
          <cell r="C1511" t="str">
            <v>DMSU</v>
          </cell>
          <cell r="D1511">
            <v>91</v>
          </cell>
          <cell r="E1511">
            <v>4</v>
          </cell>
          <cell r="F1511" t="str">
            <v xml:space="preserve">B </v>
          </cell>
          <cell r="G1511">
            <v>0</v>
          </cell>
          <cell r="H1511">
            <v>8</v>
          </cell>
          <cell r="I1511">
            <v>9276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90794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32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90794</v>
          </cell>
          <cell r="AA1511">
            <v>90826</v>
          </cell>
          <cell r="AB1511" t="str">
            <v>EMPZ</v>
          </cell>
          <cell r="AC1511">
            <v>1101</v>
          </cell>
          <cell r="AD1511">
            <v>2</v>
          </cell>
          <cell r="AE1511">
            <v>9175</v>
          </cell>
        </row>
        <row r="1512">
          <cell r="A1512" t="str">
            <v>SML</v>
          </cell>
          <cell r="B1512">
            <v>9</v>
          </cell>
          <cell r="C1512" t="str">
            <v>DMSU</v>
          </cell>
          <cell r="D1512">
            <v>91</v>
          </cell>
          <cell r="E1512">
            <v>5</v>
          </cell>
          <cell r="F1512" t="str">
            <v>A4</v>
          </cell>
          <cell r="G1512">
            <v>20</v>
          </cell>
          <cell r="H1512">
            <v>10</v>
          </cell>
          <cell r="I1512">
            <v>234683</v>
          </cell>
          <cell r="J1512">
            <v>0</v>
          </cell>
          <cell r="K1512">
            <v>0</v>
          </cell>
          <cell r="L1512">
            <v>953</v>
          </cell>
          <cell r="M1512">
            <v>0</v>
          </cell>
          <cell r="N1512">
            <v>0</v>
          </cell>
          <cell r="O1512">
            <v>2545508</v>
          </cell>
          <cell r="P1512">
            <v>716530</v>
          </cell>
          <cell r="Q1512">
            <v>41885</v>
          </cell>
          <cell r="R1512">
            <v>52915</v>
          </cell>
          <cell r="S1512">
            <v>0</v>
          </cell>
          <cell r="T1512">
            <v>0</v>
          </cell>
          <cell r="U1512">
            <v>696229</v>
          </cell>
          <cell r="V1512">
            <v>0</v>
          </cell>
          <cell r="W1512">
            <v>18393</v>
          </cell>
          <cell r="X1512">
            <v>0</v>
          </cell>
          <cell r="Y1512">
            <v>0</v>
          </cell>
          <cell r="Z1512">
            <v>3322316</v>
          </cell>
          <cell r="AA1512">
            <v>3375231</v>
          </cell>
          <cell r="AB1512" t="str">
            <v>EMPZ</v>
          </cell>
          <cell r="AC1512">
            <v>1101</v>
          </cell>
          <cell r="AD1512">
            <v>2</v>
          </cell>
          <cell r="AE1512">
            <v>234683</v>
          </cell>
        </row>
        <row r="1513">
          <cell r="A1513" t="str">
            <v>SML</v>
          </cell>
          <cell r="B1513">
            <v>9</v>
          </cell>
          <cell r="C1513" t="str">
            <v>DMSU</v>
          </cell>
          <cell r="D1513">
            <v>91</v>
          </cell>
          <cell r="E1513">
            <v>5</v>
          </cell>
          <cell r="F1513" t="str">
            <v xml:space="preserve">B </v>
          </cell>
          <cell r="G1513">
            <v>0</v>
          </cell>
          <cell r="H1513">
            <v>116</v>
          </cell>
          <cell r="I1513">
            <v>94934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1790536</v>
          </cell>
          <cell r="P1513">
            <v>0</v>
          </cell>
          <cell r="Q1513">
            <v>0</v>
          </cell>
          <cell r="R1513">
            <v>6677</v>
          </cell>
          <cell r="S1513">
            <v>0</v>
          </cell>
          <cell r="T1513">
            <v>32</v>
          </cell>
          <cell r="U1513">
            <v>308249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1790536</v>
          </cell>
          <cell r="AA1513">
            <v>1797245</v>
          </cell>
          <cell r="AB1513" t="str">
            <v>EMPZ</v>
          </cell>
          <cell r="AC1513">
            <v>1101</v>
          </cell>
          <cell r="AD1513">
            <v>2</v>
          </cell>
          <cell r="AE1513">
            <v>94156</v>
          </cell>
        </row>
        <row r="1514">
          <cell r="A1514" t="str">
            <v>SML</v>
          </cell>
          <cell r="B1514">
            <v>9</v>
          </cell>
          <cell r="C1514" t="str">
            <v>DMSU</v>
          </cell>
          <cell r="D1514">
            <v>91</v>
          </cell>
          <cell r="E1514">
            <v>6</v>
          </cell>
          <cell r="F1514" t="str">
            <v xml:space="preserve">B </v>
          </cell>
          <cell r="G1514">
            <v>0</v>
          </cell>
          <cell r="H1514">
            <v>1</v>
          </cell>
          <cell r="I1514">
            <v>373585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4398340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1099585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4398340</v>
          </cell>
          <cell r="AA1514">
            <v>4398340</v>
          </cell>
          <cell r="AB1514" t="str">
            <v>EMPZ</v>
          </cell>
          <cell r="AC1514">
            <v>1101</v>
          </cell>
          <cell r="AD1514">
            <v>2</v>
          </cell>
          <cell r="AE1514">
            <v>373585</v>
          </cell>
        </row>
        <row r="1515">
          <cell r="A1515" t="str">
            <v>SML</v>
          </cell>
          <cell r="B1515">
            <v>9</v>
          </cell>
          <cell r="C1515" t="str">
            <v>DMSU</v>
          </cell>
          <cell r="D1515">
            <v>91</v>
          </cell>
          <cell r="E1515">
            <v>7</v>
          </cell>
          <cell r="F1515" t="str">
            <v>A4</v>
          </cell>
          <cell r="G1515">
            <v>20</v>
          </cell>
          <cell r="H1515">
            <v>5</v>
          </cell>
          <cell r="I1515">
            <v>242799</v>
          </cell>
          <cell r="J1515">
            <v>0</v>
          </cell>
          <cell r="K1515">
            <v>0</v>
          </cell>
          <cell r="L1515">
            <v>700</v>
          </cell>
          <cell r="M1515">
            <v>0</v>
          </cell>
          <cell r="N1515">
            <v>0</v>
          </cell>
          <cell r="O1515">
            <v>2368099</v>
          </cell>
          <cell r="P1515">
            <v>464800</v>
          </cell>
          <cell r="Q1515">
            <v>90804</v>
          </cell>
          <cell r="R1515">
            <v>0</v>
          </cell>
          <cell r="S1515">
            <v>0</v>
          </cell>
          <cell r="T1515">
            <v>0</v>
          </cell>
          <cell r="U1515">
            <v>735575</v>
          </cell>
          <cell r="V1515">
            <v>0</v>
          </cell>
          <cell r="W1515">
            <v>18592</v>
          </cell>
          <cell r="X1515">
            <v>0</v>
          </cell>
          <cell r="Y1515">
            <v>0</v>
          </cell>
          <cell r="Z1515">
            <v>2942295</v>
          </cell>
          <cell r="AA1515">
            <v>2942295</v>
          </cell>
          <cell r="AB1515" t="str">
            <v>EMPZ</v>
          </cell>
          <cell r="AC1515">
            <v>1101</v>
          </cell>
          <cell r="AD1515">
            <v>2</v>
          </cell>
          <cell r="AE1515">
            <v>242799</v>
          </cell>
        </row>
        <row r="1516">
          <cell r="A1516" t="str">
            <v>SML</v>
          </cell>
          <cell r="B1516">
            <v>9</v>
          </cell>
          <cell r="C1516" t="str">
            <v>DMSU</v>
          </cell>
          <cell r="D1516">
            <v>91</v>
          </cell>
          <cell r="E1516">
            <v>7</v>
          </cell>
          <cell r="F1516" t="str">
            <v xml:space="preserve">B </v>
          </cell>
          <cell r="G1516">
            <v>0</v>
          </cell>
          <cell r="H1516">
            <v>3</v>
          </cell>
          <cell r="I1516">
            <v>12603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223006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55751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223006</v>
          </cell>
          <cell r="AA1516">
            <v>223006</v>
          </cell>
          <cell r="AB1516" t="str">
            <v>EMPZ</v>
          </cell>
          <cell r="AC1516">
            <v>1101</v>
          </cell>
          <cell r="AD1516">
            <v>2</v>
          </cell>
          <cell r="AE1516">
            <v>12575</v>
          </cell>
        </row>
        <row r="1517">
          <cell r="A1517" t="str">
            <v>SML</v>
          </cell>
          <cell r="B1517">
            <v>9</v>
          </cell>
          <cell r="C1517" t="str">
            <v>DMSU</v>
          </cell>
          <cell r="D1517">
            <v>91</v>
          </cell>
          <cell r="E1517">
            <v>8</v>
          </cell>
          <cell r="F1517" t="str">
            <v xml:space="preserve">B </v>
          </cell>
          <cell r="G1517">
            <v>0</v>
          </cell>
          <cell r="H1517">
            <v>2</v>
          </cell>
          <cell r="I1517">
            <v>132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2748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687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2748</v>
          </cell>
          <cell r="AA1517">
            <v>2748</v>
          </cell>
          <cell r="AB1517" t="str">
            <v>EMPZ</v>
          </cell>
          <cell r="AC1517">
            <v>1101</v>
          </cell>
          <cell r="AD1517">
            <v>2</v>
          </cell>
          <cell r="AE1517">
            <v>132</v>
          </cell>
        </row>
        <row r="1518">
          <cell r="A1518" t="str">
            <v>SML</v>
          </cell>
          <cell r="B1518">
            <v>9</v>
          </cell>
          <cell r="C1518" t="str">
            <v>DMSU</v>
          </cell>
          <cell r="D1518">
            <v>92</v>
          </cell>
          <cell r="E1518">
            <v>1</v>
          </cell>
          <cell r="F1518" t="str">
            <v>A4</v>
          </cell>
          <cell r="G1518">
            <v>20</v>
          </cell>
          <cell r="H1518">
            <v>1</v>
          </cell>
          <cell r="I1518">
            <v>564</v>
          </cell>
          <cell r="J1518">
            <v>0</v>
          </cell>
          <cell r="K1518">
            <v>0</v>
          </cell>
          <cell r="L1518">
            <v>5</v>
          </cell>
          <cell r="M1518">
            <v>0</v>
          </cell>
          <cell r="N1518">
            <v>0</v>
          </cell>
          <cell r="O1518">
            <v>6472</v>
          </cell>
          <cell r="P1518">
            <v>3913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2596</v>
          </cell>
          <cell r="V1518">
            <v>0</v>
          </cell>
          <cell r="W1518">
            <v>0</v>
          </cell>
          <cell r="X1518">
            <v>0</v>
          </cell>
          <cell r="Y1518">
            <v>925</v>
          </cell>
          <cell r="Z1518">
            <v>10385</v>
          </cell>
          <cell r="AA1518">
            <v>11310</v>
          </cell>
          <cell r="AB1518" t="str">
            <v>EMCV</v>
          </cell>
          <cell r="AC1518">
            <v>1101</v>
          </cell>
          <cell r="AD1518">
            <v>2</v>
          </cell>
          <cell r="AE1518">
            <v>564</v>
          </cell>
        </row>
        <row r="1519">
          <cell r="A1519" t="str">
            <v>SML</v>
          </cell>
          <cell r="B1519">
            <v>9</v>
          </cell>
          <cell r="C1519" t="str">
            <v>DMSU</v>
          </cell>
          <cell r="D1519">
            <v>92</v>
          </cell>
          <cell r="E1519">
            <v>1</v>
          </cell>
          <cell r="F1519" t="str">
            <v xml:space="preserve">B </v>
          </cell>
          <cell r="G1519">
            <v>1</v>
          </cell>
          <cell r="H1519">
            <v>3790</v>
          </cell>
          <cell r="I1519">
            <v>94076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1524253</v>
          </cell>
          <cell r="P1519">
            <v>0</v>
          </cell>
          <cell r="Q1519">
            <v>0</v>
          </cell>
          <cell r="R1519">
            <v>50652</v>
          </cell>
          <cell r="S1519">
            <v>0</v>
          </cell>
          <cell r="T1519">
            <v>1517967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1524253</v>
          </cell>
          <cell r="AA1519">
            <v>3092872</v>
          </cell>
          <cell r="AB1519" t="str">
            <v>EMCV</v>
          </cell>
          <cell r="AC1519">
            <v>1101</v>
          </cell>
          <cell r="AD1519">
            <v>2</v>
          </cell>
          <cell r="AE1519">
            <v>63594</v>
          </cell>
        </row>
        <row r="1520">
          <cell r="A1520" t="str">
            <v>SML</v>
          </cell>
          <cell r="B1520">
            <v>9</v>
          </cell>
          <cell r="C1520" t="str">
            <v>DMSU</v>
          </cell>
          <cell r="D1520">
            <v>92</v>
          </cell>
          <cell r="E1520">
            <v>1</v>
          </cell>
          <cell r="F1520" t="str">
            <v xml:space="preserve">B </v>
          </cell>
          <cell r="G1520">
            <v>2</v>
          </cell>
          <cell r="H1520">
            <v>2087</v>
          </cell>
          <cell r="I1520">
            <v>85444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1656746</v>
          </cell>
          <cell r="P1520">
            <v>0</v>
          </cell>
          <cell r="Q1520">
            <v>0</v>
          </cell>
          <cell r="R1520">
            <v>27050</v>
          </cell>
          <cell r="S1520">
            <v>0</v>
          </cell>
          <cell r="T1520">
            <v>324863</v>
          </cell>
          <cell r="U1520">
            <v>281621</v>
          </cell>
          <cell r="V1520">
            <v>0</v>
          </cell>
          <cell r="W1520">
            <v>0</v>
          </cell>
          <cell r="X1520">
            <v>0</v>
          </cell>
          <cell r="Y1520">
            <v>124355</v>
          </cell>
          <cell r="Z1520">
            <v>1656746</v>
          </cell>
          <cell r="AA1520">
            <v>2133014</v>
          </cell>
          <cell r="AB1520" t="str">
            <v>EMCV</v>
          </cell>
          <cell r="AC1520">
            <v>1101</v>
          </cell>
          <cell r="AD1520">
            <v>2</v>
          </cell>
          <cell r="AE1520">
            <v>85444</v>
          </cell>
        </row>
        <row r="1521">
          <cell r="A1521" t="str">
            <v>SML</v>
          </cell>
          <cell r="B1521">
            <v>9</v>
          </cell>
          <cell r="C1521" t="str">
            <v>DMSU</v>
          </cell>
          <cell r="D1521">
            <v>92</v>
          </cell>
          <cell r="E1521">
            <v>1</v>
          </cell>
          <cell r="F1521" t="str">
            <v xml:space="preserve">B </v>
          </cell>
          <cell r="G1521">
            <v>3</v>
          </cell>
          <cell r="H1521">
            <v>8647</v>
          </cell>
          <cell r="I1521">
            <v>666971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12934688</v>
          </cell>
          <cell r="P1521">
            <v>0</v>
          </cell>
          <cell r="Q1521">
            <v>0</v>
          </cell>
          <cell r="R1521">
            <v>138992</v>
          </cell>
          <cell r="S1521">
            <v>0</v>
          </cell>
          <cell r="T1521">
            <v>1131773</v>
          </cell>
          <cell r="U1521">
            <v>2198852</v>
          </cell>
          <cell r="V1521">
            <v>0</v>
          </cell>
          <cell r="W1521">
            <v>0</v>
          </cell>
          <cell r="X1521">
            <v>0</v>
          </cell>
          <cell r="Y1521">
            <v>815045</v>
          </cell>
          <cell r="Z1521">
            <v>12934688</v>
          </cell>
          <cell r="AA1521">
            <v>15020498</v>
          </cell>
          <cell r="AB1521" t="str">
            <v>EMCV</v>
          </cell>
          <cell r="AC1521">
            <v>1101</v>
          </cell>
          <cell r="AD1521">
            <v>2</v>
          </cell>
          <cell r="AE1521">
            <v>666164</v>
          </cell>
        </row>
        <row r="1522">
          <cell r="A1522" t="str">
            <v>SML</v>
          </cell>
          <cell r="B1522">
            <v>9</v>
          </cell>
          <cell r="C1522" t="str">
            <v>DMSU</v>
          </cell>
          <cell r="D1522">
            <v>92</v>
          </cell>
          <cell r="E1522">
            <v>1</v>
          </cell>
          <cell r="F1522" t="str">
            <v xml:space="preserve">B </v>
          </cell>
          <cell r="G1522">
            <v>4</v>
          </cell>
          <cell r="H1522">
            <v>5819</v>
          </cell>
          <cell r="I1522">
            <v>710266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13771956</v>
          </cell>
          <cell r="P1522">
            <v>0</v>
          </cell>
          <cell r="Q1522">
            <v>0</v>
          </cell>
          <cell r="R1522">
            <v>155953</v>
          </cell>
          <cell r="S1522">
            <v>0</v>
          </cell>
          <cell r="T1522">
            <v>954239</v>
          </cell>
          <cell r="U1522">
            <v>2341297</v>
          </cell>
          <cell r="V1522">
            <v>0</v>
          </cell>
          <cell r="W1522">
            <v>0</v>
          </cell>
          <cell r="X1522">
            <v>0</v>
          </cell>
          <cell r="Y1522">
            <v>1012911</v>
          </cell>
          <cell r="Z1522">
            <v>13771956</v>
          </cell>
          <cell r="AA1522">
            <v>15895059</v>
          </cell>
          <cell r="AB1522" t="str">
            <v>EMCV</v>
          </cell>
          <cell r="AC1522">
            <v>1101</v>
          </cell>
          <cell r="AD1522">
            <v>2</v>
          </cell>
          <cell r="AE1522">
            <v>710266</v>
          </cell>
        </row>
        <row r="1523">
          <cell r="A1523" t="str">
            <v>SML</v>
          </cell>
          <cell r="B1523">
            <v>9</v>
          </cell>
          <cell r="C1523" t="str">
            <v>DMSU</v>
          </cell>
          <cell r="D1523">
            <v>92</v>
          </cell>
          <cell r="E1523">
            <v>1</v>
          </cell>
          <cell r="F1523" t="str">
            <v xml:space="preserve">B </v>
          </cell>
          <cell r="G1523">
            <v>5</v>
          </cell>
          <cell r="H1523">
            <v>2475</v>
          </cell>
          <cell r="I1523">
            <v>425593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8248143</v>
          </cell>
          <cell r="P1523">
            <v>0</v>
          </cell>
          <cell r="Q1523">
            <v>0</v>
          </cell>
          <cell r="R1523">
            <v>97559</v>
          </cell>
          <cell r="S1523">
            <v>0</v>
          </cell>
          <cell r="T1523">
            <v>462537</v>
          </cell>
          <cell r="U1523">
            <v>1402209</v>
          </cell>
          <cell r="V1523">
            <v>0</v>
          </cell>
          <cell r="W1523">
            <v>0</v>
          </cell>
          <cell r="X1523">
            <v>0</v>
          </cell>
          <cell r="Y1523">
            <v>435888</v>
          </cell>
          <cell r="Z1523">
            <v>8248143</v>
          </cell>
          <cell r="AA1523">
            <v>9244127</v>
          </cell>
          <cell r="AB1523" t="str">
            <v>EMCV</v>
          </cell>
          <cell r="AC1523">
            <v>1101</v>
          </cell>
          <cell r="AD1523">
            <v>2</v>
          </cell>
          <cell r="AE1523">
            <v>425593</v>
          </cell>
        </row>
        <row r="1524">
          <cell r="A1524" t="str">
            <v>SML</v>
          </cell>
          <cell r="B1524">
            <v>9</v>
          </cell>
          <cell r="C1524" t="str">
            <v>DMSU</v>
          </cell>
          <cell r="D1524">
            <v>92</v>
          </cell>
          <cell r="E1524">
            <v>1</v>
          </cell>
          <cell r="F1524" t="str">
            <v xml:space="preserve">B </v>
          </cell>
          <cell r="G1524">
            <v>6</v>
          </cell>
          <cell r="H1524">
            <v>1412</v>
          </cell>
          <cell r="I1524">
            <v>335741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6507577</v>
          </cell>
          <cell r="P1524">
            <v>0</v>
          </cell>
          <cell r="Q1524">
            <v>0</v>
          </cell>
          <cell r="R1524">
            <v>75796</v>
          </cell>
          <cell r="S1524">
            <v>0</v>
          </cell>
          <cell r="T1524">
            <v>357391</v>
          </cell>
          <cell r="U1524">
            <v>1106643</v>
          </cell>
          <cell r="V1524">
            <v>0</v>
          </cell>
          <cell r="W1524">
            <v>0</v>
          </cell>
          <cell r="X1524">
            <v>0</v>
          </cell>
          <cell r="Y1524">
            <v>250728</v>
          </cell>
          <cell r="Z1524">
            <v>6507577</v>
          </cell>
          <cell r="AA1524">
            <v>7191492</v>
          </cell>
          <cell r="AB1524" t="str">
            <v>EMCV</v>
          </cell>
          <cell r="AC1524">
            <v>1101</v>
          </cell>
          <cell r="AD1524">
            <v>2</v>
          </cell>
          <cell r="AE1524">
            <v>335741</v>
          </cell>
        </row>
        <row r="1525">
          <cell r="A1525" t="str">
            <v>SML</v>
          </cell>
          <cell r="B1525">
            <v>9</v>
          </cell>
          <cell r="C1525" t="str">
            <v>DMSU</v>
          </cell>
          <cell r="D1525">
            <v>92</v>
          </cell>
          <cell r="E1525">
            <v>1</v>
          </cell>
          <cell r="F1525" t="str">
            <v xml:space="preserve">B </v>
          </cell>
          <cell r="G1525">
            <v>7</v>
          </cell>
          <cell r="H1525">
            <v>375</v>
          </cell>
          <cell r="I1525">
            <v>126184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2536152</v>
          </cell>
          <cell r="P1525">
            <v>0</v>
          </cell>
          <cell r="Q1525">
            <v>0</v>
          </cell>
          <cell r="R1525">
            <v>65437</v>
          </cell>
          <cell r="S1525">
            <v>0</v>
          </cell>
          <cell r="T1525">
            <v>67503</v>
          </cell>
          <cell r="U1525">
            <v>507400</v>
          </cell>
          <cell r="V1525">
            <v>0</v>
          </cell>
          <cell r="W1525">
            <v>0</v>
          </cell>
          <cell r="X1525">
            <v>0</v>
          </cell>
          <cell r="Y1525">
            <v>95018</v>
          </cell>
          <cell r="Z1525">
            <v>2536152</v>
          </cell>
          <cell r="AA1525">
            <v>2764110</v>
          </cell>
          <cell r="AB1525" t="str">
            <v>EMCV</v>
          </cell>
          <cell r="AC1525">
            <v>1101</v>
          </cell>
          <cell r="AD1525">
            <v>2</v>
          </cell>
          <cell r="AE1525">
            <v>126184</v>
          </cell>
        </row>
        <row r="1526">
          <cell r="A1526" t="str">
            <v>SML</v>
          </cell>
          <cell r="B1526">
            <v>9</v>
          </cell>
          <cell r="C1526" t="str">
            <v>DMSU</v>
          </cell>
          <cell r="D1526">
            <v>92</v>
          </cell>
          <cell r="E1526">
            <v>1</v>
          </cell>
          <cell r="F1526" t="str">
            <v xml:space="preserve">B </v>
          </cell>
          <cell r="G1526">
            <v>8</v>
          </cell>
          <cell r="H1526">
            <v>117</v>
          </cell>
          <cell r="I1526">
            <v>48901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982511</v>
          </cell>
          <cell r="P1526">
            <v>0</v>
          </cell>
          <cell r="Q1526">
            <v>0</v>
          </cell>
          <cell r="R1526">
            <v>9221</v>
          </cell>
          <cell r="S1526">
            <v>0</v>
          </cell>
          <cell r="T1526">
            <v>49376</v>
          </cell>
          <cell r="U1526">
            <v>196559</v>
          </cell>
          <cell r="V1526">
            <v>0</v>
          </cell>
          <cell r="W1526">
            <v>0</v>
          </cell>
          <cell r="X1526">
            <v>0</v>
          </cell>
          <cell r="Y1526">
            <v>28210</v>
          </cell>
          <cell r="Z1526">
            <v>982511</v>
          </cell>
          <cell r="AA1526">
            <v>1069318</v>
          </cell>
          <cell r="AB1526" t="str">
            <v>EMCV</v>
          </cell>
          <cell r="AC1526">
            <v>1101</v>
          </cell>
          <cell r="AD1526">
            <v>2</v>
          </cell>
          <cell r="AE1526">
            <v>48901</v>
          </cell>
        </row>
        <row r="1527">
          <cell r="A1527" t="str">
            <v>SML</v>
          </cell>
          <cell r="B1527">
            <v>9</v>
          </cell>
          <cell r="C1527" t="str">
            <v>DMSU</v>
          </cell>
          <cell r="D1527">
            <v>92</v>
          </cell>
          <cell r="E1527">
            <v>1</v>
          </cell>
          <cell r="F1527" t="str">
            <v xml:space="preserve">B </v>
          </cell>
          <cell r="G1527">
            <v>9</v>
          </cell>
          <cell r="H1527">
            <v>98</v>
          </cell>
          <cell r="I1527">
            <v>57171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1224405</v>
          </cell>
          <cell r="P1527">
            <v>0</v>
          </cell>
          <cell r="Q1527">
            <v>0</v>
          </cell>
          <cell r="R1527">
            <v>11938</v>
          </cell>
          <cell r="S1527">
            <v>0</v>
          </cell>
          <cell r="T1527">
            <v>44325</v>
          </cell>
          <cell r="U1527">
            <v>306149</v>
          </cell>
          <cell r="V1527">
            <v>0</v>
          </cell>
          <cell r="W1527">
            <v>0</v>
          </cell>
          <cell r="X1527">
            <v>0</v>
          </cell>
          <cell r="Y1527">
            <v>59977</v>
          </cell>
          <cell r="Z1527">
            <v>1224405</v>
          </cell>
          <cell r="AA1527">
            <v>1340645</v>
          </cell>
          <cell r="AB1527" t="str">
            <v>EMCV</v>
          </cell>
          <cell r="AC1527">
            <v>1101</v>
          </cell>
          <cell r="AD1527">
            <v>2</v>
          </cell>
          <cell r="AE1527">
            <v>57171</v>
          </cell>
        </row>
        <row r="1528">
          <cell r="A1528" t="str">
            <v>SML</v>
          </cell>
          <cell r="B1528">
            <v>9</v>
          </cell>
          <cell r="C1528" t="str">
            <v>DMSU</v>
          </cell>
          <cell r="D1528">
            <v>92</v>
          </cell>
          <cell r="E1528">
            <v>1</v>
          </cell>
          <cell r="F1528" t="str">
            <v xml:space="preserve">B </v>
          </cell>
          <cell r="G1528">
            <v>10</v>
          </cell>
          <cell r="H1528">
            <v>24</v>
          </cell>
          <cell r="I1528">
            <v>56427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1215109</v>
          </cell>
          <cell r="P1528">
            <v>0</v>
          </cell>
          <cell r="Q1528">
            <v>0</v>
          </cell>
          <cell r="R1528">
            <v>13058</v>
          </cell>
          <cell r="S1528">
            <v>0</v>
          </cell>
          <cell r="T1528">
            <v>11278</v>
          </cell>
          <cell r="U1528">
            <v>303782</v>
          </cell>
          <cell r="V1528">
            <v>0</v>
          </cell>
          <cell r="W1528">
            <v>0</v>
          </cell>
          <cell r="X1528">
            <v>0</v>
          </cell>
          <cell r="Y1528">
            <v>10030</v>
          </cell>
          <cell r="Z1528">
            <v>1215109</v>
          </cell>
          <cell r="AA1528">
            <v>1249475</v>
          </cell>
          <cell r="AB1528" t="str">
            <v>EMCV</v>
          </cell>
          <cell r="AC1528">
            <v>1101</v>
          </cell>
          <cell r="AD1528">
            <v>2</v>
          </cell>
          <cell r="AE1528">
            <v>56427</v>
          </cell>
        </row>
        <row r="1529">
          <cell r="A1529" t="str">
            <v>SML</v>
          </cell>
          <cell r="B1529">
            <v>9</v>
          </cell>
          <cell r="C1529" t="str">
            <v>DMSU</v>
          </cell>
          <cell r="D1529">
            <v>92</v>
          </cell>
          <cell r="E1529">
            <v>1</v>
          </cell>
          <cell r="F1529" t="str">
            <v xml:space="preserve">B </v>
          </cell>
          <cell r="G1529">
            <v>11</v>
          </cell>
          <cell r="H1529">
            <v>5329</v>
          </cell>
          <cell r="I1529">
            <v>133853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760684</v>
          </cell>
          <cell r="P1529">
            <v>0</v>
          </cell>
          <cell r="Q1529">
            <v>0</v>
          </cell>
          <cell r="R1529">
            <v>19918</v>
          </cell>
          <cell r="S1529">
            <v>1</v>
          </cell>
          <cell r="T1529">
            <v>341131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760684</v>
          </cell>
          <cell r="AA1529">
            <v>1121734</v>
          </cell>
          <cell r="AB1529" t="str">
            <v>EMCV</v>
          </cell>
          <cell r="AC1529">
            <v>1101</v>
          </cell>
          <cell r="AD1529">
            <v>2</v>
          </cell>
          <cell r="AE1529">
            <v>92539</v>
          </cell>
        </row>
        <row r="1530">
          <cell r="A1530" t="str">
            <v>SML</v>
          </cell>
          <cell r="B1530">
            <v>9</v>
          </cell>
          <cell r="C1530" t="str">
            <v>DMSU</v>
          </cell>
          <cell r="D1530">
            <v>92</v>
          </cell>
          <cell r="E1530">
            <v>1</v>
          </cell>
          <cell r="F1530" t="str">
            <v xml:space="preserve">B </v>
          </cell>
          <cell r="G1530">
            <v>12</v>
          </cell>
          <cell r="H1530">
            <v>11547</v>
          </cell>
          <cell r="I1530">
            <v>753468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7093916</v>
          </cell>
          <cell r="P1530">
            <v>0</v>
          </cell>
          <cell r="Q1530">
            <v>0</v>
          </cell>
          <cell r="R1530">
            <v>57794</v>
          </cell>
          <cell r="S1530">
            <v>0</v>
          </cell>
          <cell r="T1530">
            <v>415845</v>
          </cell>
          <cell r="U1530">
            <v>1206504</v>
          </cell>
          <cell r="V1530">
            <v>0</v>
          </cell>
          <cell r="W1530">
            <v>0</v>
          </cell>
          <cell r="X1530">
            <v>0</v>
          </cell>
          <cell r="Y1530">
            <v>924140</v>
          </cell>
          <cell r="Z1530">
            <v>7093916</v>
          </cell>
          <cell r="AA1530">
            <v>8491695</v>
          </cell>
          <cell r="AB1530" t="str">
            <v>EMCV</v>
          </cell>
          <cell r="AC1530">
            <v>1101</v>
          </cell>
          <cell r="AD1530">
            <v>2</v>
          </cell>
          <cell r="AE1530">
            <v>753468</v>
          </cell>
        </row>
        <row r="1531">
          <cell r="A1531" t="str">
            <v>SML</v>
          </cell>
          <cell r="B1531">
            <v>9</v>
          </cell>
          <cell r="C1531" t="str">
            <v>DMSU</v>
          </cell>
          <cell r="D1531">
            <v>92</v>
          </cell>
          <cell r="E1531">
            <v>1</v>
          </cell>
          <cell r="F1531" t="str">
            <v xml:space="preserve">B </v>
          </cell>
          <cell r="G1531">
            <v>13</v>
          </cell>
          <cell r="H1531">
            <v>1878</v>
          </cell>
          <cell r="I1531">
            <v>217656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2647533</v>
          </cell>
          <cell r="P1531">
            <v>0</v>
          </cell>
          <cell r="Q1531">
            <v>0</v>
          </cell>
          <cell r="R1531">
            <v>31940</v>
          </cell>
          <cell r="S1531">
            <v>0</v>
          </cell>
          <cell r="T1531">
            <v>88147</v>
          </cell>
          <cell r="U1531">
            <v>450124</v>
          </cell>
          <cell r="V1531">
            <v>0</v>
          </cell>
          <cell r="W1531">
            <v>0</v>
          </cell>
          <cell r="X1531">
            <v>0</v>
          </cell>
          <cell r="Y1531">
            <v>311200</v>
          </cell>
          <cell r="Z1531">
            <v>2647533</v>
          </cell>
          <cell r="AA1531">
            <v>3078820</v>
          </cell>
          <cell r="AB1531" t="str">
            <v>EMCV</v>
          </cell>
          <cell r="AC1531">
            <v>1101</v>
          </cell>
          <cell r="AD1531">
            <v>2</v>
          </cell>
          <cell r="AE1531">
            <v>217656</v>
          </cell>
        </row>
        <row r="1532">
          <cell r="A1532" t="str">
            <v>SML</v>
          </cell>
          <cell r="B1532">
            <v>9</v>
          </cell>
          <cell r="C1532" t="str">
            <v>DMSU</v>
          </cell>
          <cell r="D1532">
            <v>92</v>
          </cell>
          <cell r="E1532">
            <v>1</v>
          </cell>
          <cell r="F1532" t="str">
            <v xml:space="preserve">B </v>
          </cell>
          <cell r="G1532">
            <v>14</v>
          </cell>
          <cell r="H1532">
            <v>222</v>
          </cell>
          <cell r="I1532">
            <v>32464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413664</v>
          </cell>
          <cell r="P1532">
            <v>0</v>
          </cell>
          <cell r="Q1532">
            <v>0</v>
          </cell>
          <cell r="R1532">
            <v>4999</v>
          </cell>
          <cell r="S1532">
            <v>0</v>
          </cell>
          <cell r="T1532">
            <v>16385</v>
          </cell>
          <cell r="U1532">
            <v>70338</v>
          </cell>
          <cell r="V1532">
            <v>0</v>
          </cell>
          <cell r="W1532">
            <v>0</v>
          </cell>
          <cell r="X1532">
            <v>0</v>
          </cell>
          <cell r="Y1532">
            <v>36815</v>
          </cell>
          <cell r="Z1532">
            <v>413664</v>
          </cell>
          <cell r="AA1532">
            <v>471863</v>
          </cell>
          <cell r="AB1532" t="str">
            <v>EMCV</v>
          </cell>
          <cell r="AC1532">
            <v>1101</v>
          </cell>
          <cell r="AD1532">
            <v>2</v>
          </cell>
          <cell r="AE1532">
            <v>32464</v>
          </cell>
        </row>
        <row r="1533">
          <cell r="A1533" t="str">
            <v>SML</v>
          </cell>
          <cell r="B1533">
            <v>9</v>
          </cell>
          <cell r="C1533" t="str">
            <v>DMSU</v>
          </cell>
          <cell r="D1533">
            <v>92</v>
          </cell>
          <cell r="E1533">
            <v>1</v>
          </cell>
          <cell r="F1533" t="str">
            <v xml:space="preserve">B </v>
          </cell>
          <cell r="G1533">
            <v>15</v>
          </cell>
          <cell r="H1533">
            <v>328</v>
          </cell>
          <cell r="I1533">
            <v>68420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1036829</v>
          </cell>
          <cell r="P1533">
            <v>0</v>
          </cell>
          <cell r="Q1533">
            <v>0</v>
          </cell>
          <cell r="R1533">
            <v>8624</v>
          </cell>
          <cell r="S1533">
            <v>0</v>
          </cell>
          <cell r="T1533">
            <v>24068</v>
          </cell>
          <cell r="U1533">
            <v>191072</v>
          </cell>
          <cell r="V1533">
            <v>0</v>
          </cell>
          <cell r="W1533">
            <v>0</v>
          </cell>
          <cell r="X1533">
            <v>0</v>
          </cell>
          <cell r="Y1533">
            <v>63762</v>
          </cell>
          <cell r="Z1533">
            <v>1036829</v>
          </cell>
          <cell r="AA1533">
            <v>1133283</v>
          </cell>
          <cell r="AB1533" t="str">
            <v>EMCV</v>
          </cell>
          <cell r="AC1533">
            <v>1101</v>
          </cell>
          <cell r="AD1533">
            <v>2</v>
          </cell>
          <cell r="AE1533">
            <v>68420</v>
          </cell>
        </row>
        <row r="1534">
          <cell r="A1534" t="str">
            <v>SML</v>
          </cell>
          <cell r="B1534">
            <v>9</v>
          </cell>
          <cell r="C1534" t="str">
            <v>DMSU</v>
          </cell>
          <cell r="D1534">
            <v>92</v>
          </cell>
          <cell r="E1534">
            <v>2</v>
          </cell>
          <cell r="F1534" t="str">
            <v>A4</v>
          </cell>
          <cell r="G1534">
            <v>22</v>
          </cell>
          <cell r="H1534">
            <v>6</v>
          </cell>
          <cell r="I1534">
            <v>3508926</v>
          </cell>
          <cell r="J1534">
            <v>306332</v>
          </cell>
          <cell r="K1534">
            <v>3202594</v>
          </cell>
          <cell r="L1534">
            <v>15769</v>
          </cell>
          <cell r="M1534">
            <v>9284</v>
          </cell>
          <cell r="N1534">
            <v>7403</v>
          </cell>
          <cell r="O1534">
            <v>23785668</v>
          </cell>
          <cell r="P1534">
            <v>21741294</v>
          </cell>
          <cell r="Q1534">
            <v>447971</v>
          </cell>
          <cell r="R1534">
            <v>0</v>
          </cell>
          <cell r="S1534">
            <v>0</v>
          </cell>
          <cell r="T1534">
            <v>3703</v>
          </cell>
          <cell r="U1534">
            <v>11493733</v>
          </cell>
          <cell r="V1534">
            <v>0</v>
          </cell>
          <cell r="W1534">
            <v>0</v>
          </cell>
          <cell r="X1534">
            <v>0</v>
          </cell>
          <cell r="Y1534">
            <v>74052</v>
          </cell>
          <cell r="Z1534">
            <v>45974933</v>
          </cell>
          <cell r="AA1534">
            <v>46052688</v>
          </cell>
          <cell r="AB1534" t="str">
            <v>EMCV</v>
          </cell>
          <cell r="AC1534">
            <v>1101</v>
          </cell>
          <cell r="AD1534">
            <v>2</v>
          </cell>
          <cell r="AE1534">
            <v>3508926</v>
          </cell>
        </row>
        <row r="1535">
          <cell r="A1535" t="str">
            <v>SML</v>
          </cell>
          <cell r="B1535">
            <v>9</v>
          </cell>
          <cell r="C1535" t="str">
            <v>DMSU</v>
          </cell>
          <cell r="D1535">
            <v>92</v>
          </cell>
          <cell r="E1535">
            <v>2</v>
          </cell>
          <cell r="F1535" t="str">
            <v>A4</v>
          </cell>
          <cell r="G1535">
            <v>21</v>
          </cell>
          <cell r="H1535">
            <v>3</v>
          </cell>
          <cell r="I1535">
            <v>408401</v>
          </cell>
          <cell r="J1535">
            <v>27839</v>
          </cell>
          <cell r="K1535">
            <v>380562</v>
          </cell>
          <cell r="L1535">
            <v>1350</v>
          </cell>
          <cell r="M1535">
            <v>1350</v>
          </cell>
          <cell r="N1535">
            <v>0</v>
          </cell>
          <cell r="O1535">
            <v>4168736</v>
          </cell>
          <cell r="P1535">
            <v>932400</v>
          </cell>
          <cell r="Q1535">
            <v>37492</v>
          </cell>
          <cell r="R1535">
            <v>-23936</v>
          </cell>
          <cell r="S1535">
            <v>0</v>
          </cell>
          <cell r="T1535">
            <v>3703</v>
          </cell>
          <cell r="U1535">
            <v>1284657</v>
          </cell>
          <cell r="V1535">
            <v>0</v>
          </cell>
          <cell r="W1535">
            <v>0</v>
          </cell>
          <cell r="X1535">
            <v>0</v>
          </cell>
          <cell r="Y1535">
            <v>24684</v>
          </cell>
          <cell r="Z1535">
            <v>5138628</v>
          </cell>
          <cell r="AA1535">
            <v>5143079</v>
          </cell>
          <cell r="AB1535" t="str">
            <v>EMCV</v>
          </cell>
          <cell r="AC1535">
            <v>1101</v>
          </cell>
          <cell r="AD1535">
            <v>2</v>
          </cell>
          <cell r="AE1535">
            <v>408401</v>
          </cell>
        </row>
        <row r="1536">
          <cell r="A1536" t="str">
            <v>SML</v>
          </cell>
          <cell r="B1536">
            <v>9</v>
          </cell>
          <cell r="C1536" t="str">
            <v>DMSU</v>
          </cell>
          <cell r="D1536">
            <v>92</v>
          </cell>
          <cell r="E1536">
            <v>2</v>
          </cell>
          <cell r="F1536" t="str">
            <v>A4</v>
          </cell>
          <cell r="G1536">
            <v>20</v>
          </cell>
          <cell r="H1536">
            <v>6</v>
          </cell>
          <cell r="I1536">
            <v>109500</v>
          </cell>
          <cell r="J1536">
            <v>0</v>
          </cell>
          <cell r="K1536">
            <v>0</v>
          </cell>
          <cell r="L1536">
            <v>711</v>
          </cell>
          <cell r="M1536">
            <v>0</v>
          </cell>
          <cell r="N1536">
            <v>0</v>
          </cell>
          <cell r="O1536">
            <v>1256473</v>
          </cell>
          <cell r="P1536">
            <v>556476</v>
          </cell>
          <cell r="Q1536">
            <v>33896</v>
          </cell>
          <cell r="R1536">
            <v>21458</v>
          </cell>
          <cell r="S1536">
            <v>0</v>
          </cell>
          <cell r="T1536">
            <v>0</v>
          </cell>
          <cell r="U1536">
            <v>466409</v>
          </cell>
          <cell r="V1536">
            <v>0</v>
          </cell>
          <cell r="W1536">
            <v>18784</v>
          </cell>
          <cell r="X1536">
            <v>0</v>
          </cell>
          <cell r="Y1536">
            <v>49887</v>
          </cell>
          <cell r="Z1536">
            <v>1865629</v>
          </cell>
          <cell r="AA1536">
            <v>1936974</v>
          </cell>
          <cell r="AB1536" t="str">
            <v>EMCV</v>
          </cell>
          <cell r="AC1536">
            <v>1101</v>
          </cell>
          <cell r="AD1536">
            <v>2</v>
          </cell>
          <cell r="AE1536">
            <v>109500</v>
          </cell>
        </row>
        <row r="1537">
          <cell r="A1537" t="str">
            <v>SML</v>
          </cell>
          <cell r="B1537">
            <v>9</v>
          </cell>
          <cell r="C1537" t="str">
            <v>DMSU</v>
          </cell>
          <cell r="D1537">
            <v>92</v>
          </cell>
          <cell r="E1537">
            <v>2</v>
          </cell>
          <cell r="F1537" t="str">
            <v xml:space="preserve">B </v>
          </cell>
          <cell r="G1537">
            <v>0</v>
          </cell>
          <cell r="H1537">
            <v>137</v>
          </cell>
          <cell r="I1537">
            <v>131161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2730566</v>
          </cell>
          <cell r="P1537">
            <v>0</v>
          </cell>
          <cell r="Q1537">
            <v>0</v>
          </cell>
          <cell r="R1537">
            <v>40330</v>
          </cell>
          <cell r="S1537">
            <v>0</v>
          </cell>
          <cell r="T1537">
            <v>212892</v>
          </cell>
          <cell r="U1537">
            <v>682198</v>
          </cell>
          <cell r="V1537">
            <v>0</v>
          </cell>
          <cell r="W1537">
            <v>0</v>
          </cell>
          <cell r="X1537">
            <v>0</v>
          </cell>
          <cell r="Y1537">
            <v>127458</v>
          </cell>
          <cell r="Z1537">
            <v>2730566</v>
          </cell>
          <cell r="AA1537">
            <v>3111246</v>
          </cell>
          <cell r="AB1537" t="str">
            <v>EMCV</v>
          </cell>
          <cell r="AC1537">
            <v>1101</v>
          </cell>
          <cell r="AD1537">
            <v>2</v>
          </cell>
          <cell r="AE1537">
            <v>129778</v>
          </cell>
        </row>
        <row r="1538">
          <cell r="A1538" t="str">
            <v>SML</v>
          </cell>
          <cell r="B1538">
            <v>9</v>
          </cell>
          <cell r="C1538" t="str">
            <v>DMSU</v>
          </cell>
          <cell r="D1538">
            <v>92</v>
          </cell>
          <cell r="E1538">
            <v>3</v>
          </cell>
          <cell r="F1538" t="str">
            <v>A4</v>
          </cell>
          <cell r="G1538">
            <v>21</v>
          </cell>
          <cell r="H1538">
            <v>1</v>
          </cell>
          <cell r="I1538">
            <v>149280</v>
          </cell>
          <cell r="J1538">
            <v>75</v>
          </cell>
          <cell r="K1538">
            <v>149205</v>
          </cell>
          <cell r="L1538">
            <v>299</v>
          </cell>
          <cell r="M1538">
            <v>359</v>
          </cell>
          <cell r="N1538">
            <v>0</v>
          </cell>
          <cell r="O1538">
            <v>968078</v>
          </cell>
          <cell r="P1538">
            <v>247949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304006</v>
          </cell>
          <cell r="V1538">
            <v>0</v>
          </cell>
          <cell r="W1538">
            <v>0</v>
          </cell>
          <cell r="X1538">
            <v>0</v>
          </cell>
          <cell r="Y1538">
            <v>519</v>
          </cell>
          <cell r="Z1538">
            <v>1216027</v>
          </cell>
          <cell r="AA1538">
            <v>1216546</v>
          </cell>
          <cell r="AB1538" t="str">
            <v>EMCV</v>
          </cell>
          <cell r="AC1538">
            <v>1101</v>
          </cell>
          <cell r="AD1538">
            <v>2</v>
          </cell>
          <cell r="AE1538">
            <v>149280</v>
          </cell>
        </row>
        <row r="1539">
          <cell r="A1539" t="str">
            <v>SML</v>
          </cell>
          <cell r="B1539">
            <v>9</v>
          </cell>
          <cell r="C1539" t="str">
            <v>DMSU</v>
          </cell>
          <cell r="D1539">
            <v>92</v>
          </cell>
          <cell r="E1539">
            <v>3</v>
          </cell>
          <cell r="F1539" t="str">
            <v>A4</v>
          </cell>
          <cell r="G1539">
            <v>20</v>
          </cell>
          <cell r="H1539">
            <v>26</v>
          </cell>
          <cell r="I1539">
            <v>573678</v>
          </cell>
          <cell r="J1539">
            <v>0</v>
          </cell>
          <cell r="K1539">
            <v>0</v>
          </cell>
          <cell r="L1539">
            <v>2003</v>
          </cell>
          <cell r="M1539">
            <v>0</v>
          </cell>
          <cell r="N1539">
            <v>0</v>
          </cell>
          <cell r="O1539">
            <v>6582766</v>
          </cell>
          <cell r="P1539">
            <v>1567681</v>
          </cell>
          <cell r="Q1539">
            <v>330365</v>
          </cell>
          <cell r="R1539">
            <v>28215</v>
          </cell>
          <cell r="S1539">
            <v>0</v>
          </cell>
          <cell r="T1539">
            <v>170830</v>
          </cell>
          <cell r="U1539">
            <v>2135465</v>
          </cell>
          <cell r="V1539">
            <v>0</v>
          </cell>
          <cell r="W1539">
            <v>61047</v>
          </cell>
          <cell r="X1539">
            <v>0</v>
          </cell>
          <cell r="Y1539">
            <v>226902</v>
          </cell>
          <cell r="Z1539">
            <v>8541859</v>
          </cell>
          <cell r="AA1539">
            <v>8967806</v>
          </cell>
          <cell r="AB1539" t="str">
            <v>EMCV</v>
          </cell>
          <cell r="AC1539">
            <v>1101</v>
          </cell>
          <cell r="AD1539">
            <v>2</v>
          </cell>
          <cell r="AE1539">
            <v>573678</v>
          </cell>
        </row>
        <row r="1540">
          <cell r="A1540" t="str">
            <v>SML</v>
          </cell>
          <cell r="B1540">
            <v>9</v>
          </cell>
          <cell r="C1540" t="str">
            <v>DMSU</v>
          </cell>
          <cell r="D1540">
            <v>92</v>
          </cell>
          <cell r="E1540">
            <v>3</v>
          </cell>
          <cell r="F1540" t="str">
            <v xml:space="preserve">B </v>
          </cell>
          <cell r="G1540">
            <v>0</v>
          </cell>
          <cell r="H1540">
            <v>1896</v>
          </cell>
          <cell r="I1540">
            <v>521127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10857369</v>
          </cell>
          <cell r="P1540">
            <v>0</v>
          </cell>
          <cell r="Q1540">
            <v>0</v>
          </cell>
          <cell r="R1540">
            <v>125789</v>
          </cell>
          <cell r="S1540">
            <v>0</v>
          </cell>
          <cell r="T1540">
            <v>765272</v>
          </cell>
          <cell r="U1540">
            <v>2695628</v>
          </cell>
          <cell r="V1540">
            <v>0</v>
          </cell>
          <cell r="W1540">
            <v>0</v>
          </cell>
          <cell r="X1540">
            <v>0</v>
          </cell>
          <cell r="Y1540">
            <v>877231</v>
          </cell>
          <cell r="Z1540">
            <v>10857369</v>
          </cell>
          <cell r="AA1540">
            <v>12625661</v>
          </cell>
          <cell r="AB1540" t="str">
            <v>EMCV</v>
          </cell>
          <cell r="AC1540">
            <v>1101</v>
          </cell>
          <cell r="AD1540">
            <v>2</v>
          </cell>
          <cell r="AE1540">
            <v>509010</v>
          </cell>
        </row>
        <row r="1541">
          <cell r="A1541" t="str">
            <v>SML</v>
          </cell>
          <cell r="B1541">
            <v>9</v>
          </cell>
          <cell r="C1541" t="str">
            <v>DMSU</v>
          </cell>
          <cell r="D1541">
            <v>92</v>
          </cell>
          <cell r="E1541">
            <v>4</v>
          </cell>
          <cell r="F1541" t="str">
            <v xml:space="preserve">B </v>
          </cell>
          <cell r="G1541">
            <v>0</v>
          </cell>
          <cell r="H1541">
            <v>14</v>
          </cell>
          <cell r="I1541">
            <v>17092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167299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128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167299</v>
          </cell>
          <cell r="AA1541">
            <v>167427</v>
          </cell>
          <cell r="AB1541" t="str">
            <v>EMCV</v>
          </cell>
          <cell r="AC1541">
            <v>1101</v>
          </cell>
          <cell r="AD1541">
            <v>2</v>
          </cell>
          <cell r="AE1541">
            <v>17087</v>
          </cell>
        </row>
        <row r="1542">
          <cell r="A1542" t="str">
            <v>SML</v>
          </cell>
          <cell r="B1542">
            <v>9</v>
          </cell>
          <cell r="C1542" t="str">
            <v>DMSU</v>
          </cell>
          <cell r="D1542">
            <v>92</v>
          </cell>
          <cell r="E1542">
            <v>5</v>
          </cell>
          <cell r="F1542" t="str">
            <v>A4</v>
          </cell>
          <cell r="G1542">
            <v>20</v>
          </cell>
          <cell r="H1542">
            <v>15</v>
          </cell>
          <cell r="I1542">
            <v>558954</v>
          </cell>
          <cell r="J1542">
            <v>0</v>
          </cell>
          <cell r="K1542">
            <v>0</v>
          </cell>
          <cell r="L1542">
            <v>1562</v>
          </cell>
          <cell r="M1542">
            <v>0</v>
          </cell>
          <cell r="N1542">
            <v>0</v>
          </cell>
          <cell r="O1542">
            <v>5456745</v>
          </cell>
          <cell r="P1542">
            <v>1065601</v>
          </cell>
          <cell r="Q1542">
            <v>376980</v>
          </cell>
          <cell r="R1542">
            <v>96886</v>
          </cell>
          <cell r="S1542">
            <v>0</v>
          </cell>
          <cell r="T1542">
            <v>4</v>
          </cell>
          <cell r="U1542">
            <v>848669</v>
          </cell>
          <cell r="V1542">
            <v>0</v>
          </cell>
          <cell r="W1542">
            <v>59287</v>
          </cell>
          <cell r="X1542">
            <v>0</v>
          </cell>
          <cell r="Y1542">
            <v>0</v>
          </cell>
          <cell r="Z1542">
            <v>6958613</v>
          </cell>
          <cell r="AA1542">
            <v>7055503</v>
          </cell>
          <cell r="AB1542" t="str">
            <v>EMCV</v>
          </cell>
          <cell r="AC1542">
            <v>1101</v>
          </cell>
          <cell r="AD1542">
            <v>2</v>
          </cell>
          <cell r="AE1542">
            <v>558954</v>
          </cell>
        </row>
        <row r="1543">
          <cell r="A1543" t="str">
            <v>SML</v>
          </cell>
          <cell r="B1543">
            <v>9</v>
          </cell>
          <cell r="C1543" t="str">
            <v>DMSU</v>
          </cell>
          <cell r="D1543">
            <v>92</v>
          </cell>
          <cell r="E1543">
            <v>5</v>
          </cell>
          <cell r="F1543" t="str">
            <v xml:space="preserve">B </v>
          </cell>
          <cell r="G1543">
            <v>0</v>
          </cell>
          <cell r="H1543">
            <v>75</v>
          </cell>
          <cell r="I1543">
            <v>82106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1469483</v>
          </cell>
          <cell r="P1543">
            <v>0</v>
          </cell>
          <cell r="Q1543">
            <v>0</v>
          </cell>
          <cell r="R1543">
            <v>7099</v>
          </cell>
          <cell r="S1543">
            <v>0</v>
          </cell>
          <cell r="T1543">
            <v>0</v>
          </cell>
          <cell r="U1543">
            <v>187483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1469483</v>
          </cell>
          <cell r="AA1543">
            <v>1476582</v>
          </cell>
          <cell r="AB1543" t="str">
            <v>EMCV</v>
          </cell>
          <cell r="AC1543">
            <v>1101</v>
          </cell>
          <cell r="AD1543">
            <v>2</v>
          </cell>
          <cell r="AE1543">
            <v>81996</v>
          </cell>
        </row>
        <row r="1544">
          <cell r="A1544" t="str">
            <v>SML</v>
          </cell>
          <cell r="B1544">
            <v>9</v>
          </cell>
          <cell r="C1544" t="str">
            <v>DMSU</v>
          </cell>
          <cell r="D1544">
            <v>92</v>
          </cell>
          <cell r="E1544">
            <v>6</v>
          </cell>
          <cell r="F1544" t="str">
            <v xml:space="preserve">B </v>
          </cell>
          <cell r="G1544">
            <v>0</v>
          </cell>
          <cell r="H1544">
            <v>1</v>
          </cell>
          <cell r="I1544">
            <v>473202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5571164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1392791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5571164</v>
          </cell>
          <cell r="AA1544">
            <v>5571164</v>
          </cell>
          <cell r="AB1544" t="str">
            <v>EMCV</v>
          </cell>
          <cell r="AC1544">
            <v>1101</v>
          </cell>
          <cell r="AD1544">
            <v>2</v>
          </cell>
          <cell r="AE1544">
            <v>473202</v>
          </cell>
        </row>
        <row r="1545">
          <cell r="A1545" t="str">
            <v>SML</v>
          </cell>
          <cell r="B1545">
            <v>9</v>
          </cell>
          <cell r="C1545" t="str">
            <v>DMSU</v>
          </cell>
          <cell r="D1545">
            <v>92</v>
          </cell>
          <cell r="E1545">
            <v>7</v>
          </cell>
          <cell r="F1545" t="str">
            <v>A4</v>
          </cell>
          <cell r="G1545">
            <v>22</v>
          </cell>
          <cell r="H1545">
            <v>1</v>
          </cell>
          <cell r="I1545">
            <v>199188</v>
          </cell>
          <cell r="J1545">
            <v>17539</v>
          </cell>
          <cell r="K1545">
            <v>181649</v>
          </cell>
          <cell r="L1545">
            <v>587</v>
          </cell>
          <cell r="M1545">
            <v>296</v>
          </cell>
          <cell r="N1545">
            <v>291</v>
          </cell>
          <cell r="O1545">
            <v>1199360</v>
          </cell>
          <cell r="P1545">
            <v>685813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471293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1885173</v>
          </cell>
          <cell r="AA1545">
            <v>1885173</v>
          </cell>
          <cell r="AB1545" t="str">
            <v>EMCV</v>
          </cell>
          <cell r="AC1545">
            <v>1101</v>
          </cell>
          <cell r="AD1545">
            <v>2</v>
          </cell>
          <cell r="AE1545">
            <v>199188</v>
          </cell>
        </row>
        <row r="1546">
          <cell r="A1546" t="str">
            <v>SML</v>
          </cell>
          <cell r="B1546">
            <v>9</v>
          </cell>
          <cell r="C1546" t="str">
            <v>DMSU</v>
          </cell>
          <cell r="D1546">
            <v>92</v>
          </cell>
          <cell r="E1546">
            <v>7</v>
          </cell>
          <cell r="F1546" t="str">
            <v>A4</v>
          </cell>
          <cell r="G1546">
            <v>20</v>
          </cell>
          <cell r="H1546">
            <v>7</v>
          </cell>
          <cell r="I1546">
            <v>221788</v>
          </cell>
          <cell r="J1546">
            <v>0</v>
          </cell>
          <cell r="K1546">
            <v>0</v>
          </cell>
          <cell r="L1546">
            <v>546</v>
          </cell>
          <cell r="M1546">
            <v>0</v>
          </cell>
          <cell r="N1546">
            <v>0</v>
          </cell>
          <cell r="O1546">
            <v>2163172</v>
          </cell>
          <cell r="P1546">
            <v>362544</v>
          </cell>
          <cell r="Q1546">
            <v>81939</v>
          </cell>
          <cell r="R1546">
            <v>0</v>
          </cell>
          <cell r="S1546">
            <v>0</v>
          </cell>
          <cell r="T1546">
            <v>0</v>
          </cell>
          <cell r="U1546">
            <v>655069</v>
          </cell>
          <cell r="V1546">
            <v>0</v>
          </cell>
          <cell r="W1546">
            <v>12616</v>
          </cell>
          <cell r="X1546">
            <v>0</v>
          </cell>
          <cell r="Y1546">
            <v>0</v>
          </cell>
          <cell r="Z1546">
            <v>2620271</v>
          </cell>
          <cell r="AA1546">
            <v>2620271</v>
          </cell>
          <cell r="AB1546" t="str">
            <v>EMCV</v>
          </cell>
          <cell r="AC1546">
            <v>1101</v>
          </cell>
          <cell r="AD1546">
            <v>2</v>
          </cell>
          <cell r="AE1546">
            <v>221788</v>
          </cell>
        </row>
        <row r="1547">
          <cell r="A1547" t="str">
            <v>SML</v>
          </cell>
          <cell r="B1547">
            <v>9</v>
          </cell>
          <cell r="C1547" t="str">
            <v>DMSU</v>
          </cell>
          <cell r="D1547">
            <v>92</v>
          </cell>
          <cell r="E1547">
            <v>7</v>
          </cell>
          <cell r="F1547" t="str">
            <v xml:space="preserve">B </v>
          </cell>
          <cell r="G1547">
            <v>0</v>
          </cell>
          <cell r="H1547">
            <v>9</v>
          </cell>
          <cell r="I1547">
            <v>3119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55188</v>
          </cell>
          <cell r="P1547">
            <v>0</v>
          </cell>
          <cell r="Q1547">
            <v>0</v>
          </cell>
          <cell r="R1547">
            <v>12</v>
          </cell>
          <cell r="S1547">
            <v>0</v>
          </cell>
          <cell r="T1547">
            <v>0</v>
          </cell>
          <cell r="U1547">
            <v>13797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55188</v>
          </cell>
          <cell r="AA1547">
            <v>55200</v>
          </cell>
          <cell r="AB1547" t="str">
            <v>EMCV</v>
          </cell>
          <cell r="AC1547">
            <v>1101</v>
          </cell>
          <cell r="AD1547">
            <v>2</v>
          </cell>
          <cell r="AE1547">
            <v>3108</v>
          </cell>
        </row>
        <row r="1548">
          <cell r="A1548" t="str">
            <v>SML</v>
          </cell>
          <cell r="B1548">
            <v>9</v>
          </cell>
          <cell r="C1548" t="str">
            <v>DMSU</v>
          </cell>
          <cell r="D1548">
            <v>92</v>
          </cell>
          <cell r="E1548">
            <v>8</v>
          </cell>
          <cell r="F1548" t="str">
            <v xml:space="preserve">B </v>
          </cell>
          <cell r="G1548">
            <v>0</v>
          </cell>
          <cell r="H1548">
            <v>3</v>
          </cell>
          <cell r="I1548">
            <v>4637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96536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24134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96536</v>
          </cell>
          <cell r="AA1548">
            <v>96536</v>
          </cell>
          <cell r="AB1548" t="str">
            <v>EMCV</v>
          </cell>
          <cell r="AC1548">
            <v>1101</v>
          </cell>
          <cell r="AD1548">
            <v>2</v>
          </cell>
          <cell r="AE1548">
            <v>4637</v>
          </cell>
        </row>
        <row r="1549">
          <cell r="A1549" t="str">
            <v>SML</v>
          </cell>
          <cell r="B1549">
            <v>9</v>
          </cell>
          <cell r="C1549" t="str">
            <v>DMSU</v>
          </cell>
          <cell r="D1549">
            <v>93</v>
          </cell>
          <cell r="E1549">
            <v>1</v>
          </cell>
          <cell r="F1549" t="str">
            <v>A4</v>
          </cell>
          <cell r="G1549">
            <v>20</v>
          </cell>
          <cell r="H1549">
            <v>4</v>
          </cell>
          <cell r="I1549">
            <v>8241</v>
          </cell>
          <cell r="J1549">
            <v>0</v>
          </cell>
          <cell r="K1549">
            <v>0</v>
          </cell>
          <cell r="L1549">
            <v>33</v>
          </cell>
          <cell r="M1549">
            <v>0</v>
          </cell>
          <cell r="N1549">
            <v>0</v>
          </cell>
          <cell r="O1549">
            <v>94562</v>
          </cell>
          <cell r="P1549">
            <v>25827</v>
          </cell>
          <cell r="Q1549">
            <v>2892</v>
          </cell>
          <cell r="R1549">
            <v>2336</v>
          </cell>
          <cell r="S1549">
            <v>0</v>
          </cell>
          <cell r="T1549">
            <v>0</v>
          </cell>
          <cell r="U1549">
            <v>31407</v>
          </cell>
          <cell r="V1549">
            <v>0</v>
          </cell>
          <cell r="W1549">
            <v>2348</v>
          </cell>
          <cell r="X1549">
            <v>0</v>
          </cell>
          <cell r="Y1549">
            <v>7866</v>
          </cell>
          <cell r="Z1549">
            <v>125629</v>
          </cell>
          <cell r="AA1549">
            <v>135831</v>
          </cell>
          <cell r="AB1549" t="str">
            <v>EMCD</v>
          </cell>
          <cell r="AC1549">
            <v>1101</v>
          </cell>
          <cell r="AD1549">
            <v>2</v>
          </cell>
          <cell r="AE1549">
            <v>8241</v>
          </cell>
        </row>
        <row r="1550">
          <cell r="A1550" t="str">
            <v>SML</v>
          </cell>
          <cell r="B1550">
            <v>9</v>
          </cell>
          <cell r="C1550" t="str">
            <v>DMSU</v>
          </cell>
          <cell r="D1550">
            <v>93</v>
          </cell>
          <cell r="E1550">
            <v>1</v>
          </cell>
          <cell r="F1550" t="str">
            <v xml:space="preserve">B </v>
          </cell>
          <cell r="G1550">
            <v>1</v>
          </cell>
          <cell r="H1550">
            <v>5105</v>
          </cell>
          <cell r="I1550">
            <v>129278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2107575</v>
          </cell>
          <cell r="P1550">
            <v>0</v>
          </cell>
          <cell r="Q1550">
            <v>0</v>
          </cell>
          <cell r="R1550">
            <v>71939</v>
          </cell>
          <cell r="S1550">
            <v>0</v>
          </cell>
          <cell r="T1550">
            <v>2416789</v>
          </cell>
          <cell r="U1550">
            <v>2145</v>
          </cell>
          <cell r="V1550">
            <v>0</v>
          </cell>
          <cell r="W1550">
            <v>0</v>
          </cell>
          <cell r="X1550">
            <v>0</v>
          </cell>
          <cell r="Y1550">
            <v>616</v>
          </cell>
          <cell r="Z1550">
            <v>2107575</v>
          </cell>
          <cell r="AA1550">
            <v>4596919</v>
          </cell>
          <cell r="AB1550" t="str">
            <v>EMCD</v>
          </cell>
          <cell r="AC1550">
            <v>1101</v>
          </cell>
          <cell r="AD1550">
            <v>2</v>
          </cell>
          <cell r="AE1550">
            <v>70206</v>
          </cell>
        </row>
        <row r="1551">
          <cell r="A1551" t="str">
            <v>SML</v>
          </cell>
          <cell r="B1551">
            <v>9</v>
          </cell>
          <cell r="C1551" t="str">
            <v>DMSU</v>
          </cell>
          <cell r="D1551">
            <v>93</v>
          </cell>
          <cell r="E1551">
            <v>1</v>
          </cell>
          <cell r="F1551" t="str">
            <v xml:space="preserve">B </v>
          </cell>
          <cell r="G1551">
            <v>2</v>
          </cell>
          <cell r="H1551">
            <v>1847</v>
          </cell>
          <cell r="I1551">
            <v>74787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1449621</v>
          </cell>
          <cell r="P1551">
            <v>0</v>
          </cell>
          <cell r="Q1551">
            <v>0</v>
          </cell>
          <cell r="R1551">
            <v>26883</v>
          </cell>
          <cell r="S1551">
            <v>0</v>
          </cell>
          <cell r="T1551">
            <v>305143</v>
          </cell>
          <cell r="U1551">
            <v>246366</v>
          </cell>
          <cell r="V1551">
            <v>0</v>
          </cell>
          <cell r="W1551">
            <v>0</v>
          </cell>
          <cell r="X1551">
            <v>0</v>
          </cell>
          <cell r="Y1551">
            <v>133567</v>
          </cell>
          <cell r="Z1551">
            <v>1449621</v>
          </cell>
          <cell r="AA1551">
            <v>1915214</v>
          </cell>
          <cell r="AB1551" t="str">
            <v>EMCD</v>
          </cell>
          <cell r="AC1551">
            <v>1101</v>
          </cell>
          <cell r="AD1551">
            <v>2</v>
          </cell>
          <cell r="AE1551">
            <v>73788</v>
          </cell>
        </row>
        <row r="1552">
          <cell r="A1552" t="str">
            <v>SML</v>
          </cell>
          <cell r="B1552">
            <v>9</v>
          </cell>
          <cell r="C1552" t="str">
            <v>DMSU</v>
          </cell>
          <cell r="D1552">
            <v>93</v>
          </cell>
          <cell r="E1552">
            <v>1</v>
          </cell>
          <cell r="F1552" t="str">
            <v xml:space="preserve">B </v>
          </cell>
          <cell r="G1552">
            <v>3</v>
          </cell>
          <cell r="H1552">
            <v>7201</v>
          </cell>
          <cell r="I1552">
            <v>567294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10995135</v>
          </cell>
          <cell r="P1552">
            <v>0</v>
          </cell>
          <cell r="Q1552">
            <v>0</v>
          </cell>
          <cell r="R1552">
            <v>136896</v>
          </cell>
          <cell r="S1552">
            <v>0</v>
          </cell>
          <cell r="T1552">
            <v>998362</v>
          </cell>
          <cell r="U1552">
            <v>1868715</v>
          </cell>
          <cell r="V1552">
            <v>0</v>
          </cell>
          <cell r="W1552">
            <v>0</v>
          </cell>
          <cell r="X1552">
            <v>0</v>
          </cell>
          <cell r="Y1552">
            <v>510625</v>
          </cell>
          <cell r="Z1552">
            <v>10995135</v>
          </cell>
          <cell r="AA1552">
            <v>12641018</v>
          </cell>
          <cell r="AB1552" t="str">
            <v>EMCD</v>
          </cell>
          <cell r="AC1552">
            <v>1101</v>
          </cell>
          <cell r="AD1552">
            <v>2</v>
          </cell>
          <cell r="AE1552">
            <v>540855</v>
          </cell>
        </row>
        <row r="1553">
          <cell r="A1553" t="str">
            <v>SML</v>
          </cell>
          <cell r="B1553">
            <v>9</v>
          </cell>
          <cell r="C1553" t="str">
            <v>DMSU</v>
          </cell>
          <cell r="D1553">
            <v>93</v>
          </cell>
          <cell r="E1553">
            <v>1</v>
          </cell>
          <cell r="F1553" t="str">
            <v xml:space="preserve">B </v>
          </cell>
          <cell r="G1553">
            <v>4</v>
          </cell>
          <cell r="H1553">
            <v>5893</v>
          </cell>
          <cell r="I1553">
            <v>730254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14142896</v>
          </cell>
          <cell r="P1553">
            <v>0</v>
          </cell>
          <cell r="Q1553">
            <v>0</v>
          </cell>
          <cell r="R1553">
            <v>205981</v>
          </cell>
          <cell r="S1553">
            <v>0</v>
          </cell>
          <cell r="T1553">
            <v>1055435</v>
          </cell>
          <cell r="U1553">
            <v>2404293</v>
          </cell>
          <cell r="V1553">
            <v>0</v>
          </cell>
          <cell r="W1553">
            <v>0</v>
          </cell>
          <cell r="X1553">
            <v>0</v>
          </cell>
          <cell r="Y1553">
            <v>869943</v>
          </cell>
          <cell r="Z1553">
            <v>14142896</v>
          </cell>
          <cell r="AA1553">
            <v>16274255</v>
          </cell>
          <cell r="AB1553" t="str">
            <v>EMCD</v>
          </cell>
          <cell r="AC1553">
            <v>1101</v>
          </cell>
          <cell r="AD1553">
            <v>2</v>
          </cell>
          <cell r="AE1553">
            <v>730254</v>
          </cell>
        </row>
        <row r="1554">
          <cell r="A1554" t="str">
            <v>SML</v>
          </cell>
          <cell r="B1554">
            <v>9</v>
          </cell>
          <cell r="C1554" t="str">
            <v>DMSU</v>
          </cell>
          <cell r="D1554">
            <v>93</v>
          </cell>
          <cell r="E1554">
            <v>1</v>
          </cell>
          <cell r="F1554" t="str">
            <v xml:space="preserve">B </v>
          </cell>
          <cell r="G1554">
            <v>5</v>
          </cell>
          <cell r="H1554">
            <v>4081</v>
          </cell>
          <cell r="I1554">
            <v>713679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13819515</v>
          </cell>
          <cell r="P1554">
            <v>0</v>
          </cell>
          <cell r="Q1554">
            <v>0</v>
          </cell>
          <cell r="R1554">
            <v>183266</v>
          </cell>
          <cell r="S1554">
            <v>0</v>
          </cell>
          <cell r="T1554">
            <v>729255</v>
          </cell>
          <cell r="U1554">
            <v>2349422</v>
          </cell>
          <cell r="V1554">
            <v>0</v>
          </cell>
          <cell r="W1554">
            <v>0</v>
          </cell>
          <cell r="X1554">
            <v>0</v>
          </cell>
          <cell r="Y1554">
            <v>603177</v>
          </cell>
          <cell r="Z1554">
            <v>13819515</v>
          </cell>
          <cell r="AA1554">
            <v>15335213</v>
          </cell>
          <cell r="AB1554" t="str">
            <v>EMCD</v>
          </cell>
          <cell r="AC1554">
            <v>1101</v>
          </cell>
          <cell r="AD1554">
            <v>2</v>
          </cell>
          <cell r="AE1554">
            <v>713679</v>
          </cell>
        </row>
        <row r="1555">
          <cell r="A1555" t="str">
            <v>SML</v>
          </cell>
          <cell r="B1555">
            <v>9</v>
          </cell>
          <cell r="C1555" t="str">
            <v>DMSU</v>
          </cell>
          <cell r="D1555">
            <v>93</v>
          </cell>
          <cell r="E1555">
            <v>1</v>
          </cell>
          <cell r="F1555" t="str">
            <v xml:space="preserve">B </v>
          </cell>
          <cell r="G1555">
            <v>6</v>
          </cell>
          <cell r="H1555">
            <v>4442</v>
          </cell>
          <cell r="I1555">
            <v>1086439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21051906</v>
          </cell>
          <cell r="P1555">
            <v>0</v>
          </cell>
          <cell r="Q1555">
            <v>0</v>
          </cell>
          <cell r="R1555">
            <v>259911</v>
          </cell>
          <cell r="S1555">
            <v>0</v>
          </cell>
          <cell r="T1555">
            <v>965302</v>
          </cell>
          <cell r="U1555">
            <v>3579542</v>
          </cell>
          <cell r="V1555">
            <v>0</v>
          </cell>
          <cell r="W1555">
            <v>0</v>
          </cell>
          <cell r="X1555">
            <v>0</v>
          </cell>
          <cell r="Y1555">
            <v>655174</v>
          </cell>
          <cell r="Z1555">
            <v>21051906</v>
          </cell>
          <cell r="AA1555">
            <v>22932293</v>
          </cell>
          <cell r="AB1555" t="str">
            <v>EMCD</v>
          </cell>
          <cell r="AC1555">
            <v>1101</v>
          </cell>
          <cell r="AD1555">
            <v>2</v>
          </cell>
          <cell r="AE1555">
            <v>1086439</v>
          </cell>
        </row>
        <row r="1556">
          <cell r="A1556" t="str">
            <v>SML</v>
          </cell>
          <cell r="B1556">
            <v>9</v>
          </cell>
          <cell r="C1556" t="str">
            <v>DMSU</v>
          </cell>
          <cell r="D1556">
            <v>93</v>
          </cell>
          <cell r="E1556">
            <v>1</v>
          </cell>
          <cell r="F1556" t="str">
            <v xml:space="preserve">B </v>
          </cell>
          <cell r="G1556">
            <v>7</v>
          </cell>
          <cell r="H1556">
            <v>2126</v>
          </cell>
          <cell r="I1556">
            <v>730213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14680737</v>
          </cell>
          <cell r="P1556">
            <v>0</v>
          </cell>
          <cell r="Q1556">
            <v>0</v>
          </cell>
          <cell r="R1556">
            <v>185009</v>
          </cell>
          <cell r="S1556">
            <v>0</v>
          </cell>
          <cell r="T1556">
            <v>577817</v>
          </cell>
          <cell r="U1556">
            <v>2936847</v>
          </cell>
          <cell r="V1556">
            <v>0</v>
          </cell>
          <cell r="W1556">
            <v>0</v>
          </cell>
          <cell r="X1556">
            <v>0</v>
          </cell>
          <cell r="Y1556">
            <v>602140</v>
          </cell>
          <cell r="Z1556">
            <v>14680737</v>
          </cell>
          <cell r="AA1556">
            <v>16045703</v>
          </cell>
          <cell r="AB1556" t="str">
            <v>EMCD</v>
          </cell>
          <cell r="AC1556">
            <v>1101</v>
          </cell>
          <cell r="AD1556">
            <v>2</v>
          </cell>
          <cell r="AE1556">
            <v>730213</v>
          </cell>
        </row>
        <row r="1557">
          <cell r="A1557" t="str">
            <v>SML</v>
          </cell>
          <cell r="B1557">
            <v>9</v>
          </cell>
          <cell r="C1557" t="str">
            <v>DMSU</v>
          </cell>
          <cell r="D1557">
            <v>93</v>
          </cell>
          <cell r="E1557">
            <v>1</v>
          </cell>
          <cell r="F1557" t="str">
            <v xml:space="preserve">B </v>
          </cell>
          <cell r="G1557">
            <v>8</v>
          </cell>
          <cell r="H1557">
            <v>1132</v>
          </cell>
          <cell r="I1557">
            <v>501676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10083621</v>
          </cell>
          <cell r="P1557">
            <v>0</v>
          </cell>
          <cell r="Q1557">
            <v>0</v>
          </cell>
          <cell r="R1557">
            <v>86562</v>
          </cell>
          <cell r="S1557">
            <v>0</v>
          </cell>
          <cell r="T1557">
            <v>422742</v>
          </cell>
          <cell r="U1557">
            <v>2017040</v>
          </cell>
          <cell r="V1557">
            <v>0</v>
          </cell>
          <cell r="W1557">
            <v>0</v>
          </cell>
          <cell r="X1557">
            <v>0</v>
          </cell>
          <cell r="Y1557">
            <v>322168</v>
          </cell>
          <cell r="Z1557">
            <v>10083621</v>
          </cell>
          <cell r="AA1557">
            <v>10915093</v>
          </cell>
          <cell r="AB1557" t="str">
            <v>EMCD</v>
          </cell>
          <cell r="AC1557">
            <v>1101</v>
          </cell>
          <cell r="AD1557">
            <v>2</v>
          </cell>
          <cell r="AE1557">
            <v>501676</v>
          </cell>
        </row>
        <row r="1558">
          <cell r="A1558" t="str">
            <v>SML</v>
          </cell>
          <cell r="B1558">
            <v>9</v>
          </cell>
          <cell r="C1558" t="str">
            <v>DMSU</v>
          </cell>
          <cell r="D1558">
            <v>93</v>
          </cell>
          <cell r="E1558">
            <v>1</v>
          </cell>
          <cell r="F1558" t="str">
            <v xml:space="preserve">B </v>
          </cell>
          <cell r="G1558">
            <v>9</v>
          </cell>
          <cell r="H1558">
            <v>1406</v>
          </cell>
          <cell r="I1558">
            <v>918503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19669002</v>
          </cell>
          <cell r="P1558">
            <v>0</v>
          </cell>
          <cell r="Q1558">
            <v>0</v>
          </cell>
          <cell r="R1558">
            <v>157473</v>
          </cell>
          <cell r="S1558">
            <v>0</v>
          </cell>
          <cell r="T1558">
            <v>580737</v>
          </cell>
          <cell r="U1558">
            <v>4910498</v>
          </cell>
          <cell r="V1558">
            <v>0</v>
          </cell>
          <cell r="W1558">
            <v>0</v>
          </cell>
          <cell r="X1558">
            <v>0</v>
          </cell>
          <cell r="Y1558">
            <v>1197875</v>
          </cell>
          <cell r="Z1558">
            <v>19669002</v>
          </cell>
          <cell r="AA1558">
            <v>21605087</v>
          </cell>
          <cell r="AB1558" t="str">
            <v>EMCD</v>
          </cell>
          <cell r="AC1558">
            <v>1101</v>
          </cell>
          <cell r="AD1558">
            <v>2</v>
          </cell>
          <cell r="AE1558">
            <v>918503</v>
          </cell>
        </row>
        <row r="1559">
          <cell r="A1559" t="str">
            <v>SML</v>
          </cell>
          <cell r="B1559">
            <v>9</v>
          </cell>
          <cell r="C1559" t="str">
            <v>DMSU</v>
          </cell>
          <cell r="D1559">
            <v>93</v>
          </cell>
          <cell r="E1559">
            <v>1</v>
          </cell>
          <cell r="F1559" t="str">
            <v xml:space="preserve">B </v>
          </cell>
          <cell r="G1559">
            <v>10</v>
          </cell>
          <cell r="H1559">
            <v>371</v>
          </cell>
          <cell r="I1559">
            <v>637950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13495973</v>
          </cell>
          <cell r="P1559">
            <v>0</v>
          </cell>
          <cell r="Q1559">
            <v>0</v>
          </cell>
          <cell r="R1559">
            <v>187886</v>
          </cell>
          <cell r="S1559">
            <v>0</v>
          </cell>
          <cell r="T1559">
            <v>303953</v>
          </cell>
          <cell r="U1559">
            <v>3367068</v>
          </cell>
          <cell r="V1559">
            <v>0</v>
          </cell>
          <cell r="W1559">
            <v>0</v>
          </cell>
          <cell r="X1559">
            <v>0</v>
          </cell>
          <cell r="Y1559">
            <v>699470</v>
          </cell>
          <cell r="Z1559">
            <v>13495973</v>
          </cell>
          <cell r="AA1559">
            <v>14687282</v>
          </cell>
          <cell r="AB1559" t="str">
            <v>EMCD</v>
          </cell>
          <cell r="AC1559">
            <v>1101</v>
          </cell>
          <cell r="AD1559">
            <v>2</v>
          </cell>
          <cell r="AE1559">
            <v>637950</v>
          </cell>
        </row>
        <row r="1560">
          <cell r="A1560" t="str">
            <v>SML</v>
          </cell>
          <cell r="B1560">
            <v>9</v>
          </cell>
          <cell r="C1560" t="str">
            <v>DMSU</v>
          </cell>
          <cell r="D1560">
            <v>93</v>
          </cell>
          <cell r="E1560">
            <v>1</v>
          </cell>
          <cell r="F1560" t="str">
            <v xml:space="preserve">B </v>
          </cell>
          <cell r="G1560">
            <v>11</v>
          </cell>
          <cell r="H1560">
            <v>1998</v>
          </cell>
          <cell r="I1560">
            <v>54731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315072</v>
          </cell>
          <cell r="P1560">
            <v>0</v>
          </cell>
          <cell r="Q1560">
            <v>0</v>
          </cell>
          <cell r="R1560">
            <v>6726</v>
          </cell>
          <cell r="S1560">
            <v>0</v>
          </cell>
          <cell r="T1560">
            <v>182245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315072</v>
          </cell>
          <cell r="AA1560">
            <v>504043</v>
          </cell>
          <cell r="AB1560" t="str">
            <v>EMCD</v>
          </cell>
          <cell r="AC1560">
            <v>1101</v>
          </cell>
          <cell r="AD1560">
            <v>2</v>
          </cell>
          <cell r="AE1560">
            <v>33573</v>
          </cell>
        </row>
        <row r="1561">
          <cell r="A1561" t="str">
            <v>SML</v>
          </cell>
          <cell r="B1561">
            <v>9</v>
          </cell>
          <cell r="C1561" t="str">
            <v>DMSU</v>
          </cell>
          <cell r="D1561">
            <v>93</v>
          </cell>
          <cell r="E1561">
            <v>1</v>
          </cell>
          <cell r="F1561" t="str">
            <v xml:space="preserve">B </v>
          </cell>
          <cell r="G1561">
            <v>12</v>
          </cell>
          <cell r="H1561">
            <v>1985</v>
          </cell>
          <cell r="I1561">
            <v>127438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1242388</v>
          </cell>
          <cell r="P1561">
            <v>0</v>
          </cell>
          <cell r="Q1561">
            <v>0</v>
          </cell>
          <cell r="R1561">
            <v>25893</v>
          </cell>
          <cell r="S1561">
            <v>0</v>
          </cell>
          <cell r="T1561">
            <v>89156</v>
          </cell>
          <cell r="U1561">
            <v>211293</v>
          </cell>
          <cell r="V1561">
            <v>0</v>
          </cell>
          <cell r="W1561">
            <v>0</v>
          </cell>
          <cell r="X1561">
            <v>0</v>
          </cell>
          <cell r="Y1561">
            <v>143672</v>
          </cell>
          <cell r="Z1561">
            <v>1242388</v>
          </cell>
          <cell r="AA1561">
            <v>1501109</v>
          </cell>
          <cell r="AB1561" t="str">
            <v>EMCD</v>
          </cell>
          <cell r="AC1561">
            <v>1101</v>
          </cell>
          <cell r="AD1561">
            <v>2</v>
          </cell>
          <cell r="AE1561">
            <v>127438</v>
          </cell>
        </row>
        <row r="1562">
          <cell r="A1562" t="str">
            <v>SML</v>
          </cell>
          <cell r="B1562">
            <v>9</v>
          </cell>
          <cell r="C1562" t="str">
            <v>DMSU</v>
          </cell>
          <cell r="D1562">
            <v>93</v>
          </cell>
          <cell r="E1562">
            <v>1</v>
          </cell>
          <cell r="F1562" t="str">
            <v xml:space="preserve">B </v>
          </cell>
          <cell r="G1562">
            <v>13</v>
          </cell>
          <cell r="H1562">
            <v>459</v>
          </cell>
          <cell r="I1562">
            <v>54319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706082</v>
          </cell>
          <cell r="P1562">
            <v>0</v>
          </cell>
          <cell r="Q1562">
            <v>0</v>
          </cell>
          <cell r="R1562">
            <v>8343</v>
          </cell>
          <cell r="S1562">
            <v>0</v>
          </cell>
          <cell r="T1562">
            <v>33078</v>
          </cell>
          <cell r="U1562">
            <v>120043</v>
          </cell>
          <cell r="V1562">
            <v>0</v>
          </cell>
          <cell r="W1562">
            <v>0</v>
          </cell>
          <cell r="X1562">
            <v>0</v>
          </cell>
          <cell r="Y1562">
            <v>70342</v>
          </cell>
          <cell r="Z1562">
            <v>706082</v>
          </cell>
          <cell r="AA1562">
            <v>817845</v>
          </cell>
          <cell r="AB1562" t="str">
            <v>EMCD</v>
          </cell>
          <cell r="AC1562">
            <v>1101</v>
          </cell>
          <cell r="AD1562">
            <v>2</v>
          </cell>
          <cell r="AE1562">
            <v>54319</v>
          </cell>
        </row>
        <row r="1563">
          <cell r="A1563" t="str">
            <v>SML</v>
          </cell>
          <cell r="B1563">
            <v>9</v>
          </cell>
          <cell r="C1563" t="str">
            <v>DMSU</v>
          </cell>
          <cell r="D1563">
            <v>93</v>
          </cell>
          <cell r="E1563">
            <v>1</v>
          </cell>
          <cell r="F1563" t="str">
            <v xml:space="preserve">B </v>
          </cell>
          <cell r="G1563">
            <v>14</v>
          </cell>
          <cell r="H1563">
            <v>54</v>
          </cell>
          <cell r="I1563">
            <v>8077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102688</v>
          </cell>
          <cell r="P1563">
            <v>0</v>
          </cell>
          <cell r="Q1563">
            <v>0</v>
          </cell>
          <cell r="R1563">
            <v>2038</v>
          </cell>
          <cell r="S1563">
            <v>0</v>
          </cell>
          <cell r="T1563">
            <v>4381</v>
          </cell>
          <cell r="U1563">
            <v>17461</v>
          </cell>
          <cell r="V1563">
            <v>0</v>
          </cell>
          <cell r="W1563">
            <v>0</v>
          </cell>
          <cell r="X1563">
            <v>0</v>
          </cell>
          <cell r="Y1563">
            <v>8164</v>
          </cell>
          <cell r="Z1563">
            <v>102688</v>
          </cell>
          <cell r="AA1563">
            <v>117271</v>
          </cell>
          <cell r="AB1563" t="str">
            <v>EMCD</v>
          </cell>
          <cell r="AC1563">
            <v>1101</v>
          </cell>
          <cell r="AD1563">
            <v>2</v>
          </cell>
          <cell r="AE1563">
            <v>8077</v>
          </cell>
        </row>
        <row r="1564">
          <cell r="A1564" t="str">
            <v>SML</v>
          </cell>
          <cell r="B1564">
            <v>9</v>
          </cell>
          <cell r="C1564" t="str">
            <v>DMSU</v>
          </cell>
          <cell r="D1564">
            <v>93</v>
          </cell>
          <cell r="E1564">
            <v>1</v>
          </cell>
          <cell r="F1564" t="str">
            <v xml:space="preserve">B </v>
          </cell>
          <cell r="G1564">
            <v>15</v>
          </cell>
          <cell r="H1564">
            <v>148</v>
          </cell>
          <cell r="I1564">
            <v>-11868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-338589</v>
          </cell>
          <cell r="P1564">
            <v>0</v>
          </cell>
          <cell r="Q1564">
            <v>0</v>
          </cell>
          <cell r="R1564">
            <v>-3252</v>
          </cell>
          <cell r="S1564">
            <v>0</v>
          </cell>
          <cell r="T1564">
            <v>9439</v>
          </cell>
          <cell r="U1564">
            <v>-117459</v>
          </cell>
          <cell r="V1564">
            <v>0</v>
          </cell>
          <cell r="W1564">
            <v>0</v>
          </cell>
          <cell r="X1564">
            <v>0</v>
          </cell>
          <cell r="Y1564">
            <v>-12058</v>
          </cell>
          <cell r="Z1564">
            <v>-338589</v>
          </cell>
          <cell r="AA1564">
            <v>-344460</v>
          </cell>
          <cell r="AB1564" t="str">
            <v>EMCD</v>
          </cell>
          <cell r="AC1564">
            <v>1101</v>
          </cell>
          <cell r="AD1564">
            <v>2</v>
          </cell>
          <cell r="AE1564">
            <v>-11868</v>
          </cell>
        </row>
        <row r="1565">
          <cell r="A1565" t="str">
            <v>SML</v>
          </cell>
          <cell r="B1565">
            <v>9</v>
          </cell>
          <cell r="C1565" t="str">
            <v>DMSU</v>
          </cell>
          <cell r="D1565">
            <v>93</v>
          </cell>
          <cell r="E1565">
            <v>2</v>
          </cell>
          <cell r="F1565" t="str">
            <v>A4</v>
          </cell>
          <cell r="G1565">
            <v>20</v>
          </cell>
          <cell r="H1565">
            <v>8</v>
          </cell>
          <cell r="I1565">
            <v>93009</v>
          </cell>
          <cell r="J1565">
            <v>0</v>
          </cell>
          <cell r="K1565">
            <v>0</v>
          </cell>
          <cell r="L1565">
            <v>384</v>
          </cell>
          <cell r="M1565">
            <v>0</v>
          </cell>
          <cell r="N1565">
            <v>0</v>
          </cell>
          <cell r="O1565">
            <v>1067247</v>
          </cell>
          <cell r="P1565">
            <v>300544</v>
          </cell>
          <cell r="Q1565">
            <v>16133</v>
          </cell>
          <cell r="R1565">
            <v>12529</v>
          </cell>
          <cell r="S1565">
            <v>0</v>
          </cell>
          <cell r="T1565">
            <v>81729</v>
          </cell>
          <cell r="U1565">
            <v>347155</v>
          </cell>
          <cell r="V1565">
            <v>0</v>
          </cell>
          <cell r="W1565">
            <v>4696</v>
          </cell>
          <cell r="X1565">
            <v>0</v>
          </cell>
          <cell r="Y1565">
            <v>70354</v>
          </cell>
          <cell r="Z1565">
            <v>1388620</v>
          </cell>
          <cell r="AA1565">
            <v>1553232</v>
          </cell>
          <cell r="AB1565" t="str">
            <v>EMCD</v>
          </cell>
          <cell r="AC1565">
            <v>1101</v>
          </cell>
          <cell r="AD1565">
            <v>2</v>
          </cell>
          <cell r="AE1565">
            <v>93009</v>
          </cell>
        </row>
        <row r="1566">
          <cell r="A1566" t="str">
            <v>SML</v>
          </cell>
          <cell r="B1566">
            <v>9</v>
          </cell>
          <cell r="C1566" t="str">
            <v>DMSU</v>
          </cell>
          <cell r="D1566">
            <v>93</v>
          </cell>
          <cell r="E1566">
            <v>2</v>
          </cell>
          <cell r="F1566" t="str">
            <v xml:space="preserve">B </v>
          </cell>
          <cell r="G1566">
            <v>0</v>
          </cell>
          <cell r="H1566">
            <v>207</v>
          </cell>
          <cell r="I1566">
            <v>136373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2840060</v>
          </cell>
          <cell r="P1566">
            <v>0</v>
          </cell>
          <cell r="Q1566">
            <v>0</v>
          </cell>
          <cell r="R1566">
            <v>39040</v>
          </cell>
          <cell r="S1566">
            <v>0</v>
          </cell>
          <cell r="T1566">
            <v>253379</v>
          </cell>
          <cell r="U1566">
            <v>704338</v>
          </cell>
          <cell r="V1566">
            <v>0</v>
          </cell>
          <cell r="W1566">
            <v>0</v>
          </cell>
          <cell r="X1566">
            <v>0</v>
          </cell>
          <cell r="Y1566">
            <v>207958</v>
          </cell>
          <cell r="Z1566">
            <v>2840060</v>
          </cell>
          <cell r="AA1566">
            <v>3340437</v>
          </cell>
          <cell r="AB1566" t="str">
            <v>EMCD</v>
          </cell>
          <cell r="AC1566">
            <v>1101</v>
          </cell>
          <cell r="AD1566">
            <v>2</v>
          </cell>
          <cell r="AE1566">
            <v>133866</v>
          </cell>
        </row>
        <row r="1567">
          <cell r="A1567" t="str">
            <v>SML</v>
          </cell>
          <cell r="B1567">
            <v>9</v>
          </cell>
          <cell r="C1567" t="str">
            <v>DMSU</v>
          </cell>
          <cell r="D1567">
            <v>93</v>
          </cell>
          <cell r="E1567">
            <v>3</v>
          </cell>
          <cell r="F1567" t="str">
            <v>A4</v>
          </cell>
          <cell r="G1567">
            <v>22</v>
          </cell>
          <cell r="H1567">
            <v>2</v>
          </cell>
          <cell r="I1567">
            <v>103547</v>
          </cell>
          <cell r="J1567">
            <v>8042</v>
          </cell>
          <cell r="K1567">
            <v>95505</v>
          </cell>
          <cell r="L1567">
            <v>704</v>
          </cell>
          <cell r="M1567">
            <v>260</v>
          </cell>
          <cell r="N1567">
            <v>260</v>
          </cell>
          <cell r="O1567">
            <v>725940</v>
          </cell>
          <cell r="P1567">
            <v>1297863</v>
          </cell>
          <cell r="Q1567">
            <v>114411</v>
          </cell>
          <cell r="R1567">
            <v>0</v>
          </cell>
          <cell r="S1567">
            <v>0</v>
          </cell>
          <cell r="T1567">
            <v>0</v>
          </cell>
          <cell r="U1567">
            <v>534553</v>
          </cell>
          <cell r="V1567">
            <v>0</v>
          </cell>
          <cell r="W1567">
            <v>0</v>
          </cell>
          <cell r="X1567">
            <v>0</v>
          </cell>
          <cell r="Y1567">
            <v>24684</v>
          </cell>
          <cell r="Z1567">
            <v>2138214</v>
          </cell>
          <cell r="AA1567">
            <v>2162898</v>
          </cell>
          <cell r="AB1567" t="str">
            <v>EMCD</v>
          </cell>
          <cell r="AC1567">
            <v>1101</v>
          </cell>
          <cell r="AD1567">
            <v>2</v>
          </cell>
          <cell r="AE1567">
            <v>103547</v>
          </cell>
        </row>
        <row r="1568">
          <cell r="A1568" t="str">
            <v>SML</v>
          </cell>
          <cell r="B1568">
            <v>9</v>
          </cell>
          <cell r="C1568" t="str">
            <v>DMSU</v>
          </cell>
          <cell r="D1568">
            <v>93</v>
          </cell>
          <cell r="E1568">
            <v>3</v>
          </cell>
          <cell r="F1568" t="str">
            <v>A4</v>
          </cell>
          <cell r="G1568">
            <v>20</v>
          </cell>
          <cell r="H1568">
            <v>23</v>
          </cell>
          <cell r="I1568">
            <v>488534</v>
          </cell>
          <cell r="J1568">
            <v>0</v>
          </cell>
          <cell r="K1568">
            <v>0</v>
          </cell>
          <cell r="L1568">
            <v>1635</v>
          </cell>
          <cell r="M1568">
            <v>0</v>
          </cell>
          <cell r="N1568">
            <v>0</v>
          </cell>
          <cell r="O1568">
            <v>5605765</v>
          </cell>
          <cell r="P1568">
            <v>1279662</v>
          </cell>
          <cell r="Q1568">
            <v>48997</v>
          </cell>
          <cell r="R1568">
            <v>10736</v>
          </cell>
          <cell r="S1568">
            <v>0</v>
          </cell>
          <cell r="T1568">
            <v>0</v>
          </cell>
          <cell r="U1568">
            <v>1736740</v>
          </cell>
          <cell r="V1568">
            <v>0</v>
          </cell>
          <cell r="W1568">
            <v>12523</v>
          </cell>
          <cell r="X1568">
            <v>0</v>
          </cell>
          <cell r="Y1568">
            <v>186836</v>
          </cell>
          <cell r="Z1568">
            <v>6946947</v>
          </cell>
          <cell r="AA1568">
            <v>7144519</v>
          </cell>
          <cell r="AB1568" t="str">
            <v>EMCD</v>
          </cell>
          <cell r="AC1568">
            <v>1101</v>
          </cell>
          <cell r="AD1568">
            <v>2</v>
          </cell>
          <cell r="AE1568">
            <v>488534</v>
          </cell>
        </row>
        <row r="1569">
          <cell r="A1569" t="str">
            <v>SML</v>
          </cell>
          <cell r="B1569">
            <v>9</v>
          </cell>
          <cell r="C1569" t="str">
            <v>DMSU</v>
          </cell>
          <cell r="D1569">
            <v>93</v>
          </cell>
          <cell r="E1569">
            <v>3</v>
          </cell>
          <cell r="F1569" t="str">
            <v xml:space="preserve">B </v>
          </cell>
          <cell r="G1569">
            <v>0</v>
          </cell>
          <cell r="H1569">
            <v>2404</v>
          </cell>
          <cell r="I1569">
            <v>749988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15641919</v>
          </cell>
          <cell r="P1569">
            <v>0</v>
          </cell>
          <cell r="Q1569">
            <v>0</v>
          </cell>
          <cell r="R1569">
            <v>199885</v>
          </cell>
          <cell r="S1569">
            <v>0</v>
          </cell>
          <cell r="T1569">
            <v>1724212</v>
          </cell>
          <cell r="U1569">
            <v>3884127</v>
          </cell>
          <cell r="V1569">
            <v>0</v>
          </cell>
          <cell r="W1569">
            <v>0</v>
          </cell>
          <cell r="X1569">
            <v>0</v>
          </cell>
          <cell r="Y1569">
            <v>1181597</v>
          </cell>
          <cell r="Z1569">
            <v>15641919</v>
          </cell>
          <cell r="AA1569">
            <v>18747613</v>
          </cell>
          <cell r="AB1569" t="str">
            <v>EMCD</v>
          </cell>
          <cell r="AC1569">
            <v>1101</v>
          </cell>
          <cell r="AD1569">
            <v>2</v>
          </cell>
          <cell r="AE1569">
            <v>734966</v>
          </cell>
        </row>
        <row r="1570">
          <cell r="A1570" t="str">
            <v>SML</v>
          </cell>
          <cell r="B1570">
            <v>9</v>
          </cell>
          <cell r="C1570" t="str">
            <v>DMSU</v>
          </cell>
          <cell r="D1570">
            <v>93</v>
          </cell>
          <cell r="E1570">
            <v>5</v>
          </cell>
          <cell r="F1570" t="str">
            <v xml:space="preserve">B </v>
          </cell>
          <cell r="G1570">
            <v>0</v>
          </cell>
          <cell r="H1570">
            <v>18</v>
          </cell>
          <cell r="I1570">
            <v>17495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317865</v>
          </cell>
          <cell r="P1570">
            <v>0</v>
          </cell>
          <cell r="Q1570">
            <v>0</v>
          </cell>
          <cell r="R1570">
            <v>620</v>
          </cell>
          <cell r="S1570">
            <v>0</v>
          </cell>
          <cell r="T1570">
            <v>14327</v>
          </cell>
          <cell r="U1570">
            <v>44697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317865</v>
          </cell>
          <cell r="AA1570">
            <v>332812</v>
          </cell>
          <cell r="AB1570" t="str">
            <v>EMCD</v>
          </cell>
          <cell r="AC1570">
            <v>1101</v>
          </cell>
          <cell r="AD1570">
            <v>2</v>
          </cell>
          <cell r="AE1570">
            <v>17494</v>
          </cell>
        </row>
        <row r="1571">
          <cell r="A1571" t="str">
            <v>SML</v>
          </cell>
          <cell r="B1571">
            <v>9</v>
          </cell>
          <cell r="C1571" t="str">
            <v>DMSU</v>
          </cell>
          <cell r="D1571">
            <v>93</v>
          </cell>
          <cell r="E1571">
            <v>7</v>
          </cell>
          <cell r="F1571" t="str">
            <v>A4</v>
          </cell>
          <cell r="G1571">
            <v>20</v>
          </cell>
          <cell r="H1571">
            <v>3</v>
          </cell>
          <cell r="I1571">
            <v>8529</v>
          </cell>
          <cell r="J1571">
            <v>0</v>
          </cell>
          <cell r="K1571">
            <v>0</v>
          </cell>
          <cell r="L1571">
            <v>76</v>
          </cell>
          <cell r="M1571">
            <v>0</v>
          </cell>
          <cell r="N1571">
            <v>0</v>
          </cell>
          <cell r="O1571">
            <v>83186</v>
          </cell>
          <cell r="P1571">
            <v>50464</v>
          </cell>
          <cell r="Q1571">
            <v>4702</v>
          </cell>
          <cell r="R1571">
            <v>838</v>
          </cell>
          <cell r="S1571">
            <v>0</v>
          </cell>
          <cell r="T1571">
            <v>0</v>
          </cell>
          <cell r="U1571">
            <v>36580</v>
          </cell>
          <cell r="V1571">
            <v>0</v>
          </cell>
          <cell r="W1571">
            <v>7968</v>
          </cell>
          <cell r="X1571">
            <v>0</v>
          </cell>
          <cell r="Y1571">
            <v>0</v>
          </cell>
          <cell r="Z1571">
            <v>146320</v>
          </cell>
          <cell r="AA1571">
            <v>147158</v>
          </cell>
          <cell r="AB1571" t="str">
            <v>EMCD</v>
          </cell>
          <cell r="AC1571">
            <v>1101</v>
          </cell>
          <cell r="AD1571">
            <v>2</v>
          </cell>
          <cell r="AE1571">
            <v>8529</v>
          </cell>
        </row>
        <row r="1572">
          <cell r="A1572" t="str">
            <v>SML</v>
          </cell>
          <cell r="B1572">
            <v>9</v>
          </cell>
          <cell r="C1572" t="str">
            <v>DMSU</v>
          </cell>
          <cell r="D1572">
            <v>93</v>
          </cell>
          <cell r="E1572">
            <v>7</v>
          </cell>
          <cell r="F1572" t="str">
            <v xml:space="preserve">B </v>
          </cell>
          <cell r="G1572">
            <v>0</v>
          </cell>
          <cell r="H1572">
            <v>1</v>
          </cell>
          <cell r="I1572">
            <v>5995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106080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26520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106080</v>
          </cell>
          <cell r="AA1572">
            <v>106080</v>
          </cell>
          <cell r="AB1572" t="str">
            <v>EMCD</v>
          </cell>
          <cell r="AC1572">
            <v>1101</v>
          </cell>
          <cell r="AD1572">
            <v>2</v>
          </cell>
          <cell r="AE1572">
            <v>5995</v>
          </cell>
        </row>
        <row r="1573">
          <cell r="A1573" t="str">
            <v>SML</v>
          </cell>
          <cell r="B1573">
            <v>9</v>
          </cell>
          <cell r="C1573" t="str">
            <v>DMSU</v>
          </cell>
          <cell r="D1573">
            <v>93</v>
          </cell>
          <cell r="E1573">
            <v>8</v>
          </cell>
          <cell r="F1573" t="str">
            <v xml:space="preserve">B </v>
          </cell>
          <cell r="G1573">
            <v>0</v>
          </cell>
          <cell r="H1573">
            <v>2</v>
          </cell>
          <cell r="I1573">
            <v>1179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24545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6136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24545</v>
          </cell>
          <cell r="AA1573">
            <v>24545</v>
          </cell>
          <cell r="AB1573" t="str">
            <v>EMCD</v>
          </cell>
          <cell r="AC1573">
            <v>1101</v>
          </cell>
          <cell r="AD1573">
            <v>2</v>
          </cell>
          <cell r="AE1573">
            <v>1179</v>
          </cell>
        </row>
        <row r="1574">
          <cell r="A1574" t="str">
            <v>SML</v>
          </cell>
          <cell r="B1574">
            <v>9</v>
          </cell>
          <cell r="C1574" t="str">
            <v>DMSU</v>
          </cell>
          <cell r="D1574">
            <v>94</v>
          </cell>
          <cell r="E1574">
            <v>1</v>
          </cell>
          <cell r="F1574" t="str">
            <v>A4</v>
          </cell>
          <cell r="G1574">
            <v>20</v>
          </cell>
          <cell r="H1574">
            <v>9</v>
          </cell>
          <cell r="I1574">
            <v>40201</v>
          </cell>
          <cell r="J1574">
            <v>0</v>
          </cell>
          <cell r="K1574">
            <v>0</v>
          </cell>
          <cell r="L1574">
            <v>156</v>
          </cell>
          <cell r="M1574">
            <v>0</v>
          </cell>
          <cell r="N1574">
            <v>0</v>
          </cell>
          <cell r="O1574">
            <v>461291</v>
          </cell>
          <cell r="P1574">
            <v>122096</v>
          </cell>
          <cell r="Q1574">
            <v>12451</v>
          </cell>
          <cell r="R1574">
            <v>3987</v>
          </cell>
          <cell r="S1574">
            <v>0</v>
          </cell>
          <cell r="T1574">
            <v>0</v>
          </cell>
          <cell r="U1574">
            <v>149548</v>
          </cell>
          <cell r="V1574">
            <v>0</v>
          </cell>
          <cell r="W1574">
            <v>2348</v>
          </cell>
          <cell r="X1574">
            <v>0</v>
          </cell>
          <cell r="Y1574">
            <v>1036</v>
          </cell>
          <cell r="Z1574">
            <v>598186</v>
          </cell>
          <cell r="AA1574">
            <v>603209</v>
          </cell>
          <cell r="AB1574" t="str">
            <v>EMBG</v>
          </cell>
          <cell r="AC1574">
            <v>1101</v>
          </cell>
          <cell r="AD1574">
            <v>2</v>
          </cell>
          <cell r="AE1574">
            <v>40201</v>
          </cell>
        </row>
        <row r="1575">
          <cell r="A1575" t="str">
            <v>SML</v>
          </cell>
          <cell r="B1575">
            <v>9</v>
          </cell>
          <cell r="C1575" t="str">
            <v>DMSU</v>
          </cell>
          <cell r="D1575">
            <v>94</v>
          </cell>
          <cell r="E1575">
            <v>1</v>
          </cell>
          <cell r="F1575" t="str">
            <v xml:space="preserve">B </v>
          </cell>
          <cell r="G1575">
            <v>1</v>
          </cell>
          <cell r="H1575">
            <v>3538</v>
          </cell>
          <cell r="I1575">
            <v>82535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1345973</v>
          </cell>
          <cell r="P1575">
            <v>0</v>
          </cell>
          <cell r="Q1575">
            <v>0</v>
          </cell>
          <cell r="R1575">
            <v>42795</v>
          </cell>
          <cell r="S1575">
            <v>0</v>
          </cell>
          <cell r="T1575">
            <v>1026218</v>
          </cell>
          <cell r="U1575">
            <v>990</v>
          </cell>
          <cell r="V1575">
            <v>0</v>
          </cell>
          <cell r="W1575">
            <v>0</v>
          </cell>
          <cell r="X1575">
            <v>0</v>
          </cell>
          <cell r="Y1575">
            <v>518</v>
          </cell>
          <cell r="Z1575">
            <v>1345973</v>
          </cell>
          <cell r="AA1575">
            <v>2415504</v>
          </cell>
          <cell r="AB1575" t="str">
            <v>EMBG</v>
          </cell>
          <cell r="AC1575">
            <v>1101</v>
          </cell>
          <cell r="AD1575">
            <v>2</v>
          </cell>
          <cell r="AE1575">
            <v>41622</v>
          </cell>
        </row>
        <row r="1576">
          <cell r="A1576" t="str">
            <v>SML</v>
          </cell>
          <cell r="B1576">
            <v>9</v>
          </cell>
          <cell r="C1576" t="str">
            <v>DMSU</v>
          </cell>
          <cell r="D1576">
            <v>94</v>
          </cell>
          <cell r="E1576">
            <v>1</v>
          </cell>
          <cell r="F1576" t="str">
            <v xml:space="preserve">B </v>
          </cell>
          <cell r="G1576">
            <v>2</v>
          </cell>
          <cell r="H1576">
            <v>1391</v>
          </cell>
          <cell r="I1576">
            <v>57212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1107824</v>
          </cell>
          <cell r="P1576">
            <v>0</v>
          </cell>
          <cell r="Q1576">
            <v>0</v>
          </cell>
          <cell r="R1576">
            <v>21006</v>
          </cell>
          <cell r="S1576">
            <v>0</v>
          </cell>
          <cell r="T1576">
            <v>136214</v>
          </cell>
          <cell r="U1576">
            <v>188292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1107824</v>
          </cell>
          <cell r="AA1576">
            <v>1265044</v>
          </cell>
          <cell r="AB1576" t="str">
            <v>EMBG</v>
          </cell>
          <cell r="AC1576">
            <v>1101</v>
          </cell>
          <cell r="AD1576">
            <v>2</v>
          </cell>
          <cell r="AE1576">
            <v>55760</v>
          </cell>
        </row>
        <row r="1577">
          <cell r="A1577" t="str">
            <v>SML</v>
          </cell>
          <cell r="B1577">
            <v>9</v>
          </cell>
          <cell r="C1577" t="str">
            <v>DMSU</v>
          </cell>
          <cell r="D1577">
            <v>94</v>
          </cell>
          <cell r="E1577">
            <v>1</v>
          </cell>
          <cell r="F1577" t="str">
            <v xml:space="preserve">B </v>
          </cell>
          <cell r="G1577">
            <v>3</v>
          </cell>
          <cell r="H1577">
            <v>6715</v>
          </cell>
          <cell r="I1577">
            <v>536587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10395184</v>
          </cell>
          <cell r="P1577">
            <v>0</v>
          </cell>
          <cell r="Q1577">
            <v>658</v>
          </cell>
          <cell r="R1577">
            <v>100902</v>
          </cell>
          <cell r="S1577">
            <v>0</v>
          </cell>
          <cell r="T1577">
            <v>497395</v>
          </cell>
          <cell r="U1577">
            <v>1767497</v>
          </cell>
          <cell r="V1577">
            <v>0</v>
          </cell>
          <cell r="W1577">
            <v>0</v>
          </cell>
          <cell r="X1577">
            <v>0</v>
          </cell>
          <cell r="Y1577">
            <v>947422</v>
          </cell>
          <cell r="Z1577">
            <v>10395842</v>
          </cell>
          <cell r="AA1577">
            <v>11941561</v>
          </cell>
          <cell r="AB1577" t="str">
            <v>EMBG</v>
          </cell>
          <cell r="AC1577">
            <v>1101</v>
          </cell>
          <cell r="AD1577">
            <v>2</v>
          </cell>
          <cell r="AE1577">
            <v>483136</v>
          </cell>
        </row>
        <row r="1578">
          <cell r="A1578" t="str">
            <v>SML</v>
          </cell>
          <cell r="B1578">
            <v>9</v>
          </cell>
          <cell r="C1578" t="str">
            <v>DMSU</v>
          </cell>
          <cell r="D1578">
            <v>94</v>
          </cell>
          <cell r="E1578">
            <v>1</v>
          </cell>
          <cell r="F1578" t="str">
            <v xml:space="preserve">B </v>
          </cell>
          <cell r="G1578">
            <v>4</v>
          </cell>
          <cell r="H1578">
            <v>6362</v>
          </cell>
          <cell r="I1578">
            <v>795971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15421339</v>
          </cell>
          <cell r="P1578">
            <v>0</v>
          </cell>
          <cell r="Q1578">
            <v>0</v>
          </cell>
          <cell r="R1578">
            <v>143070</v>
          </cell>
          <cell r="S1578">
            <v>0</v>
          </cell>
          <cell r="T1578">
            <v>482719</v>
          </cell>
          <cell r="U1578">
            <v>2621619</v>
          </cell>
          <cell r="V1578">
            <v>0</v>
          </cell>
          <cell r="W1578">
            <v>0</v>
          </cell>
          <cell r="X1578">
            <v>0</v>
          </cell>
          <cell r="Y1578">
            <v>1476041</v>
          </cell>
          <cell r="Z1578">
            <v>15421339</v>
          </cell>
          <cell r="AA1578">
            <v>17523169</v>
          </cell>
          <cell r="AB1578" t="str">
            <v>EMBG</v>
          </cell>
          <cell r="AC1578">
            <v>1101</v>
          </cell>
          <cell r="AD1578">
            <v>2</v>
          </cell>
          <cell r="AE1578">
            <v>795971</v>
          </cell>
        </row>
        <row r="1579">
          <cell r="A1579" t="str">
            <v>SML</v>
          </cell>
          <cell r="B1579">
            <v>9</v>
          </cell>
          <cell r="C1579" t="str">
            <v>DMSU</v>
          </cell>
          <cell r="D1579">
            <v>94</v>
          </cell>
          <cell r="E1579">
            <v>1</v>
          </cell>
          <cell r="F1579" t="str">
            <v xml:space="preserve">B </v>
          </cell>
          <cell r="G1579">
            <v>5</v>
          </cell>
          <cell r="H1579">
            <v>5543</v>
          </cell>
          <cell r="I1579">
            <v>970898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18812679</v>
          </cell>
          <cell r="P1579">
            <v>0</v>
          </cell>
          <cell r="Q1579">
            <v>0</v>
          </cell>
          <cell r="R1579">
            <v>158690</v>
          </cell>
          <cell r="S1579">
            <v>0</v>
          </cell>
          <cell r="T1579">
            <v>383459</v>
          </cell>
          <cell r="U1579">
            <v>3198302</v>
          </cell>
          <cell r="V1579">
            <v>0</v>
          </cell>
          <cell r="W1579">
            <v>0</v>
          </cell>
          <cell r="X1579">
            <v>0</v>
          </cell>
          <cell r="Y1579">
            <v>1302511</v>
          </cell>
          <cell r="Z1579">
            <v>18812679</v>
          </cell>
          <cell r="AA1579">
            <v>20657339</v>
          </cell>
          <cell r="AB1579" t="str">
            <v>EMBG</v>
          </cell>
          <cell r="AC1579">
            <v>1101</v>
          </cell>
          <cell r="AD1579">
            <v>2</v>
          </cell>
          <cell r="AE1579">
            <v>970898</v>
          </cell>
        </row>
        <row r="1580">
          <cell r="A1580" t="str">
            <v>SML</v>
          </cell>
          <cell r="B1580">
            <v>9</v>
          </cell>
          <cell r="C1580" t="str">
            <v>DMSU</v>
          </cell>
          <cell r="D1580">
            <v>94</v>
          </cell>
          <cell r="E1580">
            <v>1</v>
          </cell>
          <cell r="F1580" t="str">
            <v xml:space="preserve">B </v>
          </cell>
          <cell r="G1580">
            <v>6</v>
          </cell>
          <cell r="H1580">
            <v>7952</v>
          </cell>
          <cell r="I1580">
            <v>1964952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38085486</v>
          </cell>
          <cell r="P1580">
            <v>0</v>
          </cell>
          <cell r="Q1580">
            <v>1825</v>
          </cell>
          <cell r="R1580">
            <v>319509</v>
          </cell>
          <cell r="S1580">
            <v>4063</v>
          </cell>
          <cell r="T1580">
            <v>648147</v>
          </cell>
          <cell r="U1580">
            <v>6475740</v>
          </cell>
          <cell r="V1580">
            <v>0</v>
          </cell>
          <cell r="W1580">
            <v>0</v>
          </cell>
          <cell r="X1580">
            <v>0</v>
          </cell>
          <cell r="Y1580">
            <v>1887851</v>
          </cell>
          <cell r="Z1580">
            <v>38087311</v>
          </cell>
          <cell r="AA1580">
            <v>40946881</v>
          </cell>
          <cell r="AB1580" t="str">
            <v>EMBG</v>
          </cell>
          <cell r="AC1580">
            <v>1101</v>
          </cell>
          <cell r="AD1580">
            <v>2</v>
          </cell>
          <cell r="AE1580">
            <v>1964952</v>
          </cell>
        </row>
        <row r="1581">
          <cell r="A1581" t="str">
            <v>SML</v>
          </cell>
          <cell r="B1581">
            <v>9</v>
          </cell>
          <cell r="C1581" t="str">
            <v>DMSU</v>
          </cell>
          <cell r="D1581">
            <v>94</v>
          </cell>
          <cell r="E1581">
            <v>1</v>
          </cell>
          <cell r="F1581" t="str">
            <v xml:space="preserve">B </v>
          </cell>
          <cell r="G1581">
            <v>7</v>
          </cell>
          <cell r="H1581">
            <v>4644</v>
          </cell>
          <cell r="I1581">
            <v>1604157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32258362</v>
          </cell>
          <cell r="P1581">
            <v>0</v>
          </cell>
          <cell r="Q1581">
            <v>0</v>
          </cell>
          <cell r="R1581">
            <v>253203</v>
          </cell>
          <cell r="S1581">
            <v>0</v>
          </cell>
          <cell r="T1581">
            <v>423390</v>
          </cell>
          <cell r="U1581">
            <v>6451887</v>
          </cell>
          <cell r="V1581">
            <v>0</v>
          </cell>
          <cell r="W1581">
            <v>0</v>
          </cell>
          <cell r="X1581">
            <v>0</v>
          </cell>
          <cell r="Y1581">
            <v>1117844</v>
          </cell>
          <cell r="Z1581">
            <v>32258362</v>
          </cell>
          <cell r="AA1581">
            <v>34052799</v>
          </cell>
          <cell r="AB1581" t="str">
            <v>EMBG</v>
          </cell>
          <cell r="AC1581">
            <v>1101</v>
          </cell>
          <cell r="AD1581">
            <v>2</v>
          </cell>
          <cell r="AE1581">
            <v>1604157</v>
          </cell>
        </row>
        <row r="1582">
          <cell r="A1582" t="str">
            <v>SML</v>
          </cell>
          <cell r="B1582">
            <v>9</v>
          </cell>
          <cell r="C1582" t="str">
            <v>DMSU</v>
          </cell>
          <cell r="D1582">
            <v>94</v>
          </cell>
          <cell r="E1582">
            <v>1</v>
          </cell>
          <cell r="F1582" t="str">
            <v xml:space="preserve">B </v>
          </cell>
          <cell r="G1582">
            <v>8</v>
          </cell>
          <cell r="H1582">
            <v>2758</v>
          </cell>
          <cell r="I1582">
            <v>1229640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24710968</v>
          </cell>
          <cell r="P1582">
            <v>0</v>
          </cell>
          <cell r="Q1582">
            <v>0</v>
          </cell>
          <cell r="R1582">
            <v>234917</v>
          </cell>
          <cell r="S1582">
            <v>0</v>
          </cell>
          <cell r="T1582">
            <v>305284</v>
          </cell>
          <cell r="U1582">
            <v>4942728</v>
          </cell>
          <cell r="V1582">
            <v>0</v>
          </cell>
          <cell r="W1582">
            <v>0</v>
          </cell>
          <cell r="X1582">
            <v>0</v>
          </cell>
          <cell r="Y1582">
            <v>660709</v>
          </cell>
          <cell r="Z1582">
            <v>24710968</v>
          </cell>
          <cell r="AA1582">
            <v>25911878</v>
          </cell>
          <cell r="AB1582" t="str">
            <v>EMBG</v>
          </cell>
          <cell r="AC1582">
            <v>1101</v>
          </cell>
          <cell r="AD1582">
            <v>2</v>
          </cell>
          <cell r="AE1582">
            <v>1229640</v>
          </cell>
        </row>
        <row r="1583">
          <cell r="A1583" t="str">
            <v>SML</v>
          </cell>
          <cell r="B1583">
            <v>9</v>
          </cell>
          <cell r="C1583" t="str">
            <v>DMSU</v>
          </cell>
          <cell r="D1583">
            <v>94</v>
          </cell>
          <cell r="E1583">
            <v>1</v>
          </cell>
          <cell r="F1583" t="str">
            <v xml:space="preserve">B </v>
          </cell>
          <cell r="G1583">
            <v>9</v>
          </cell>
          <cell r="H1583">
            <v>3851</v>
          </cell>
          <cell r="I1583">
            <v>2532641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54273782</v>
          </cell>
          <cell r="P1583">
            <v>0</v>
          </cell>
          <cell r="Q1583">
            <v>0</v>
          </cell>
          <cell r="R1583">
            <v>366474</v>
          </cell>
          <cell r="S1583">
            <v>0</v>
          </cell>
          <cell r="T1583">
            <v>569430</v>
          </cell>
          <cell r="U1583">
            <v>13569507</v>
          </cell>
          <cell r="V1583">
            <v>0</v>
          </cell>
          <cell r="W1583">
            <v>0</v>
          </cell>
          <cell r="X1583">
            <v>0</v>
          </cell>
          <cell r="Y1583">
            <v>905205</v>
          </cell>
          <cell r="Z1583">
            <v>54273782</v>
          </cell>
          <cell r="AA1583">
            <v>56114891</v>
          </cell>
          <cell r="AB1583" t="str">
            <v>EMBG</v>
          </cell>
          <cell r="AC1583">
            <v>1101</v>
          </cell>
          <cell r="AD1583">
            <v>2</v>
          </cell>
          <cell r="AE1583">
            <v>2532641</v>
          </cell>
        </row>
        <row r="1584">
          <cell r="A1584" t="str">
            <v>SML</v>
          </cell>
          <cell r="B1584">
            <v>9</v>
          </cell>
          <cell r="C1584" t="str">
            <v>DMSU</v>
          </cell>
          <cell r="D1584">
            <v>94</v>
          </cell>
          <cell r="E1584">
            <v>1</v>
          </cell>
          <cell r="F1584" t="str">
            <v xml:space="preserve">B </v>
          </cell>
          <cell r="G1584">
            <v>10</v>
          </cell>
          <cell r="H1584">
            <v>1145</v>
          </cell>
          <cell r="I1584">
            <v>2280842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48037639</v>
          </cell>
          <cell r="P1584">
            <v>0</v>
          </cell>
          <cell r="Q1584">
            <v>110568</v>
          </cell>
          <cell r="R1584">
            <v>254847</v>
          </cell>
          <cell r="S1584">
            <v>0</v>
          </cell>
          <cell r="T1584">
            <v>478450</v>
          </cell>
          <cell r="U1584">
            <v>12031478</v>
          </cell>
          <cell r="V1584">
            <v>0</v>
          </cell>
          <cell r="W1584">
            <v>0</v>
          </cell>
          <cell r="X1584">
            <v>0</v>
          </cell>
          <cell r="Y1584">
            <v>137270</v>
          </cell>
          <cell r="Z1584">
            <v>48148207</v>
          </cell>
          <cell r="AA1584">
            <v>49018774</v>
          </cell>
          <cell r="AB1584" t="str">
            <v>EMBG</v>
          </cell>
          <cell r="AC1584">
            <v>1101</v>
          </cell>
          <cell r="AD1584">
            <v>2</v>
          </cell>
          <cell r="AE1584">
            <v>2280842</v>
          </cell>
        </row>
        <row r="1585">
          <cell r="A1585" t="str">
            <v>SML</v>
          </cell>
          <cell r="B1585">
            <v>9</v>
          </cell>
          <cell r="C1585" t="str">
            <v>DMSU</v>
          </cell>
          <cell r="D1585">
            <v>94</v>
          </cell>
          <cell r="E1585">
            <v>1</v>
          </cell>
          <cell r="F1585" t="str">
            <v xml:space="preserve">B </v>
          </cell>
          <cell r="G1585">
            <v>11</v>
          </cell>
          <cell r="H1585">
            <v>1498</v>
          </cell>
          <cell r="I1585">
            <v>39355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222302</v>
          </cell>
          <cell r="P1585">
            <v>0</v>
          </cell>
          <cell r="Q1585">
            <v>0</v>
          </cell>
          <cell r="R1585">
            <v>14313</v>
          </cell>
          <cell r="S1585">
            <v>0</v>
          </cell>
          <cell r="T1585">
            <v>106236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222302</v>
          </cell>
          <cell r="AA1585">
            <v>342851</v>
          </cell>
          <cell r="AB1585" t="str">
            <v>EMBG</v>
          </cell>
          <cell r="AC1585">
            <v>1101</v>
          </cell>
          <cell r="AD1585">
            <v>2</v>
          </cell>
          <cell r="AE1585">
            <v>23040</v>
          </cell>
        </row>
        <row r="1586">
          <cell r="A1586" t="str">
            <v>SML</v>
          </cell>
          <cell r="B1586">
            <v>9</v>
          </cell>
          <cell r="C1586" t="str">
            <v>DMSU</v>
          </cell>
          <cell r="D1586">
            <v>94</v>
          </cell>
          <cell r="E1586">
            <v>1</v>
          </cell>
          <cell r="F1586" t="str">
            <v xml:space="preserve">B </v>
          </cell>
          <cell r="G1586">
            <v>12</v>
          </cell>
          <cell r="H1586">
            <v>1950</v>
          </cell>
          <cell r="I1586">
            <v>124928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1195160</v>
          </cell>
          <cell r="P1586">
            <v>0</v>
          </cell>
          <cell r="Q1586">
            <v>0</v>
          </cell>
          <cell r="R1586">
            <v>30558</v>
          </cell>
          <cell r="S1586">
            <v>243</v>
          </cell>
          <cell r="T1586">
            <v>95082</v>
          </cell>
          <cell r="U1586">
            <v>203223</v>
          </cell>
          <cell r="V1586">
            <v>0</v>
          </cell>
          <cell r="W1586">
            <v>0</v>
          </cell>
          <cell r="X1586">
            <v>0</v>
          </cell>
          <cell r="Y1586">
            <v>181041</v>
          </cell>
          <cell r="Z1586">
            <v>1195160</v>
          </cell>
          <cell r="AA1586">
            <v>1502084</v>
          </cell>
          <cell r="AB1586" t="str">
            <v>EMBG</v>
          </cell>
          <cell r="AC1586">
            <v>1101</v>
          </cell>
          <cell r="AD1586">
            <v>2</v>
          </cell>
          <cell r="AE1586">
            <v>124928</v>
          </cell>
        </row>
        <row r="1587">
          <cell r="A1587" t="str">
            <v>SML</v>
          </cell>
          <cell r="B1587">
            <v>9</v>
          </cell>
          <cell r="C1587" t="str">
            <v>DMSU</v>
          </cell>
          <cell r="D1587">
            <v>94</v>
          </cell>
          <cell r="E1587">
            <v>1</v>
          </cell>
          <cell r="F1587" t="str">
            <v xml:space="preserve">B </v>
          </cell>
          <cell r="G1587">
            <v>13</v>
          </cell>
          <cell r="H1587">
            <v>455</v>
          </cell>
          <cell r="I1587">
            <v>53235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690418</v>
          </cell>
          <cell r="P1587">
            <v>0</v>
          </cell>
          <cell r="Q1587">
            <v>0</v>
          </cell>
          <cell r="R1587">
            <v>8290</v>
          </cell>
          <cell r="S1587">
            <v>0</v>
          </cell>
          <cell r="T1587">
            <v>41591</v>
          </cell>
          <cell r="U1587">
            <v>117383</v>
          </cell>
          <cell r="V1587">
            <v>0</v>
          </cell>
          <cell r="W1587">
            <v>0</v>
          </cell>
          <cell r="X1587">
            <v>0</v>
          </cell>
          <cell r="Y1587">
            <v>110075</v>
          </cell>
          <cell r="Z1587">
            <v>690418</v>
          </cell>
          <cell r="AA1587">
            <v>850374</v>
          </cell>
          <cell r="AB1587" t="str">
            <v>EMBG</v>
          </cell>
          <cell r="AC1587">
            <v>1101</v>
          </cell>
          <cell r="AD1587">
            <v>2</v>
          </cell>
          <cell r="AE1587">
            <v>53235</v>
          </cell>
        </row>
        <row r="1588">
          <cell r="A1588" t="str">
            <v>SML</v>
          </cell>
          <cell r="B1588">
            <v>9</v>
          </cell>
          <cell r="C1588" t="str">
            <v>DMSU</v>
          </cell>
          <cell r="D1588">
            <v>94</v>
          </cell>
          <cell r="E1588">
            <v>1</v>
          </cell>
          <cell r="F1588" t="str">
            <v xml:space="preserve">B </v>
          </cell>
          <cell r="G1588">
            <v>14</v>
          </cell>
          <cell r="H1588">
            <v>60</v>
          </cell>
          <cell r="I1588">
            <v>9352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119421</v>
          </cell>
          <cell r="P1588">
            <v>0</v>
          </cell>
          <cell r="Q1588">
            <v>0</v>
          </cell>
          <cell r="R1588">
            <v>1053</v>
          </cell>
          <cell r="S1588">
            <v>0</v>
          </cell>
          <cell r="T1588">
            <v>1667</v>
          </cell>
          <cell r="U1588">
            <v>20308</v>
          </cell>
          <cell r="V1588">
            <v>0</v>
          </cell>
          <cell r="W1588">
            <v>0</v>
          </cell>
          <cell r="X1588">
            <v>0</v>
          </cell>
          <cell r="Y1588">
            <v>14504</v>
          </cell>
          <cell r="Z1588">
            <v>119421</v>
          </cell>
          <cell r="AA1588">
            <v>136645</v>
          </cell>
          <cell r="AB1588" t="str">
            <v>EMBG</v>
          </cell>
          <cell r="AC1588">
            <v>1101</v>
          </cell>
          <cell r="AD1588">
            <v>2</v>
          </cell>
          <cell r="AE1588">
            <v>9352</v>
          </cell>
        </row>
        <row r="1589">
          <cell r="A1589" t="str">
            <v>SML</v>
          </cell>
          <cell r="B1589">
            <v>9</v>
          </cell>
          <cell r="C1589" t="str">
            <v>DMSU</v>
          </cell>
          <cell r="D1589">
            <v>94</v>
          </cell>
          <cell r="E1589">
            <v>1</v>
          </cell>
          <cell r="F1589" t="str">
            <v xml:space="preserve">B </v>
          </cell>
          <cell r="G1589">
            <v>15</v>
          </cell>
          <cell r="H1589">
            <v>127</v>
          </cell>
          <cell r="I1589">
            <v>24127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339098</v>
          </cell>
          <cell r="P1589">
            <v>0</v>
          </cell>
          <cell r="Q1589">
            <v>0</v>
          </cell>
          <cell r="R1589">
            <v>3750</v>
          </cell>
          <cell r="S1589">
            <v>0</v>
          </cell>
          <cell r="T1589">
            <v>22905</v>
          </cell>
          <cell r="U1589">
            <v>53609</v>
          </cell>
          <cell r="V1589">
            <v>0</v>
          </cell>
          <cell r="W1589">
            <v>0</v>
          </cell>
          <cell r="X1589">
            <v>0</v>
          </cell>
          <cell r="Y1589">
            <v>28749</v>
          </cell>
          <cell r="Z1589">
            <v>339098</v>
          </cell>
          <cell r="AA1589">
            <v>394502</v>
          </cell>
          <cell r="AB1589" t="str">
            <v>EMBG</v>
          </cell>
          <cell r="AC1589">
            <v>1101</v>
          </cell>
          <cell r="AD1589">
            <v>2</v>
          </cell>
          <cell r="AE1589">
            <v>24127</v>
          </cell>
        </row>
        <row r="1590">
          <cell r="A1590" t="str">
            <v>SML</v>
          </cell>
          <cell r="B1590">
            <v>9</v>
          </cell>
          <cell r="C1590" t="str">
            <v>DMSU</v>
          </cell>
          <cell r="D1590">
            <v>94</v>
          </cell>
          <cell r="E1590">
            <v>2</v>
          </cell>
          <cell r="F1590" t="str">
            <v>A4</v>
          </cell>
          <cell r="G1590">
            <v>21</v>
          </cell>
          <cell r="H1590">
            <v>3</v>
          </cell>
          <cell r="I1590">
            <v>208624</v>
          </cell>
          <cell r="J1590">
            <v>2330</v>
          </cell>
          <cell r="K1590">
            <v>206294</v>
          </cell>
          <cell r="L1590">
            <v>546</v>
          </cell>
          <cell r="M1590">
            <v>494</v>
          </cell>
          <cell r="N1590">
            <v>0</v>
          </cell>
          <cell r="O1590">
            <v>1475339</v>
          </cell>
          <cell r="P1590">
            <v>448864</v>
          </cell>
          <cell r="Q1590">
            <v>27350</v>
          </cell>
          <cell r="R1590">
            <v>0</v>
          </cell>
          <cell r="S1590">
            <v>0</v>
          </cell>
          <cell r="T1590">
            <v>0</v>
          </cell>
          <cell r="U1590">
            <v>491515</v>
          </cell>
          <cell r="V1590">
            <v>0</v>
          </cell>
          <cell r="W1590">
            <v>14504</v>
          </cell>
          <cell r="X1590">
            <v>0</v>
          </cell>
          <cell r="Y1590">
            <v>1557</v>
          </cell>
          <cell r="Z1590">
            <v>1966057</v>
          </cell>
          <cell r="AA1590">
            <v>1967614</v>
          </cell>
          <cell r="AB1590" t="str">
            <v>EMBG</v>
          </cell>
          <cell r="AC1590">
            <v>1101</v>
          </cell>
          <cell r="AD1590">
            <v>2</v>
          </cell>
          <cell r="AE1590">
            <v>208624</v>
          </cell>
        </row>
        <row r="1591">
          <cell r="A1591" t="str">
            <v>SML</v>
          </cell>
          <cell r="B1591">
            <v>9</v>
          </cell>
          <cell r="C1591" t="str">
            <v>DMSU</v>
          </cell>
          <cell r="D1591">
            <v>94</v>
          </cell>
          <cell r="E1591">
            <v>2</v>
          </cell>
          <cell r="F1591" t="str">
            <v>A4</v>
          </cell>
          <cell r="G1591">
            <v>20</v>
          </cell>
          <cell r="H1591">
            <v>51</v>
          </cell>
          <cell r="I1591">
            <v>508448</v>
          </cell>
          <cell r="J1591">
            <v>0</v>
          </cell>
          <cell r="K1591">
            <v>0</v>
          </cell>
          <cell r="L1591">
            <v>2343</v>
          </cell>
          <cell r="M1591">
            <v>0</v>
          </cell>
          <cell r="N1591">
            <v>0</v>
          </cell>
          <cell r="O1591">
            <v>5834268</v>
          </cell>
          <cell r="P1591">
            <v>1833786</v>
          </cell>
          <cell r="Q1591">
            <v>331827</v>
          </cell>
          <cell r="R1591">
            <v>74512</v>
          </cell>
          <cell r="S1591">
            <v>0</v>
          </cell>
          <cell r="T1591">
            <v>1434041</v>
          </cell>
          <cell r="U1591">
            <v>2030695</v>
          </cell>
          <cell r="V1591">
            <v>0</v>
          </cell>
          <cell r="W1591">
            <v>122882</v>
          </cell>
          <cell r="X1591">
            <v>0</v>
          </cell>
          <cell r="Y1591">
            <v>25950</v>
          </cell>
          <cell r="Z1591">
            <v>8122763</v>
          </cell>
          <cell r="AA1591">
            <v>9657266</v>
          </cell>
          <cell r="AB1591" t="str">
            <v>EMBG</v>
          </cell>
          <cell r="AC1591">
            <v>1101</v>
          </cell>
          <cell r="AD1591">
            <v>2</v>
          </cell>
          <cell r="AE1591">
            <v>508448</v>
          </cell>
        </row>
        <row r="1592">
          <cell r="A1592" t="str">
            <v>SML</v>
          </cell>
          <cell r="B1592">
            <v>9</v>
          </cell>
          <cell r="C1592" t="str">
            <v>DMSU</v>
          </cell>
          <cell r="D1592">
            <v>94</v>
          </cell>
          <cell r="E1592">
            <v>2</v>
          </cell>
          <cell r="F1592" t="str">
            <v xml:space="preserve">B </v>
          </cell>
          <cell r="G1592">
            <v>0</v>
          </cell>
          <cell r="H1592">
            <v>216</v>
          </cell>
          <cell r="I1592">
            <v>301959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6286348</v>
          </cell>
          <cell r="P1592">
            <v>0</v>
          </cell>
          <cell r="Q1592">
            <v>0</v>
          </cell>
          <cell r="R1592">
            <v>87933</v>
          </cell>
          <cell r="S1592">
            <v>0</v>
          </cell>
          <cell r="T1592">
            <v>79873</v>
          </cell>
          <cell r="U1592">
            <v>1564667</v>
          </cell>
          <cell r="V1592">
            <v>0</v>
          </cell>
          <cell r="W1592">
            <v>0</v>
          </cell>
          <cell r="X1592">
            <v>0</v>
          </cell>
          <cell r="Y1592">
            <v>99648</v>
          </cell>
          <cell r="Z1592">
            <v>6286348</v>
          </cell>
          <cell r="AA1592">
            <v>6553802</v>
          </cell>
          <cell r="AB1592" t="str">
            <v>EMBG</v>
          </cell>
          <cell r="AC1592">
            <v>1101</v>
          </cell>
          <cell r="AD1592">
            <v>2</v>
          </cell>
          <cell r="AE1592">
            <v>300458</v>
          </cell>
        </row>
        <row r="1593">
          <cell r="A1593" t="str">
            <v>SML</v>
          </cell>
          <cell r="B1593">
            <v>9</v>
          </cell>
          <cell r="C1593" t="str">
            <v>DMSU</v>
          </cell>
          <cell r="D1593">
            <v>94</v>
          </cell>
          <cell r="E1593">
            <v>3</v>
          </cell>
          <cell r="F1593" t="str">
            <v>A4</v>
          </cell>
          <cell r="G1593">
            <v>22</v>
          </cell>
          <cell r="H1593">
            <v>19</v>
          </cell>
          <cell r="I1593">
            <v>6760009</v>
          </cell>
          <cell r="J1593">
            <v>581470</v>
          </cell>
          <cell r="K1593">
            <v>6178539</v>
          </cell>
          <cell r="L1593">
            <v>25338</v>
          </cell>
          <cell r="M1593">
            <v>14278</v>
          </cell>
          <cell r="N1593">
            <v>11577</v>
          </cell>
          <cell r="O1593">
            <v>47794793</v>
          </cell>
          <cell r="P1593">
            <v>34473563</v>
          </cell>
          <cell r="Q1593">
            <v>209334</v>
          </cell>
          <cell r="R1593">
            <v>44173</v>
          </cell>
          <cell r="S1593">
            <v>0</v>
          </cell>
          <cell r="T1593">
            <v>963703</v>
          </cell>
          <cell r="U1593">
            <v>20642031</v>
          </cell>
          <cell r="V1593">
            <v>0</v>
          </cell>
          <cell r="W1593">
            <v>90424</v>
          </cell>
          <cell r="X1593">
            <v>0</v>
          </cell>
          <cell r="Y1593">
            <v>9861</v>
          </cell>
          <cell r="Z1593">
            <v>82568114</v>
          </cell>
          <cell r="AA1593">
            <v>83585851</v>
          </cell>
          <cell r="AB1593" t="str">
            <v>EMBG</v>
          </cell>
          <cell r="AC1593">
            <v>1101</v>
          </cell>
          <cell r="AD1593">
            <v>2</v>
          </cell>
          <cell r="AE1593">
            <v>6760009</v>
          </cell>
        </row>
        <row r="1594">
          <cell r="A1594" t="str">
            <v>SML</v>
          </cell>
          <cell r="B1594">
            <v>9</v>
          </cell>
          <cell r="C1594" t="str">
            <v>DMSU</v>
          </cell>
          <cell r="D1594">
            <v>94</v>
          </cell>
          <cell r="E1594">
            <v>3</v>
          </cell>
          <cell r="F1594" t="str">
            <v>A4</v>
          </cell>
          <cell r="G1594">
            <v>21</v>
          </cell>
          <cell r="H1594">
            <v>11</v>
          </cell>
          <cell r="I1594">
            <v>568437</v>
          </cell>
          <cell r="J1594">
            <v>39306</v>
          </cell>
          <cell r="K1594">
            <v>529131</v>
          </cell>
          <cell r="L1594">
            <v>2201</v>
          </cell>
          <cell r="M1594">
            <v>2178</v>
          </cell>
          <cell r="N1594">
            <v>0</v>
          </cell>
          <cell r="O1594">
            <v>5832994</v>
          </cell>
          <cell r="P1594">
            <v>1551896</v>
          </cell>
          <cell r="Q1594">
            <v>13550</v>
          </cell>
          <cell r="R1594">
            <v>20187</v>
          </cell>
          <cell r="S1594">
            <v>0</v>
          </cell>
          <cell r="T1594">
            <v>0</v>
          </cell>
          <cell r="U1594">
            <v>1849611</v>
          </cell>
          <cell r="V1594">
            <v>0</v>
          </cell>
          <cell r="W1594">
            <v>0</v>
          </cell>
          <cell r="X1594">
            <v>0</v>
          </cell>
          <cell r="Y1594">
            <v>5709</v>
          </cell>
          <cell r="Z1594">
            <v>7398440</v>
          </cell>
          <cell r="AA1594">
            <v>7424336</v>
          </cell>
          <cell r="AB1594" t="str">
            <v>EMBG</v>
          </cell>
          <cell r="AC1594">
            <v>1101</v>
          </cell>
          <cell r="AD1594">
            <v>2</v>
          </cell>
          <cell r="AE1594">
            <v>568437</v>
          </cell>
        </row>
        <row r="1595">
          <cell r="A1595" t="str">
            <v>SML</v>
          </cell>
          <cell r="B1595">
            <v>9</v>
          </cell>
          <cell r="C1595" t="str">
            <v>DMSU</v>
          </cell>
          <cell r="D1595">
            <v>94</v>
          </cell>
          <cell r="E1595">
            <v>3</v>
          </cell>
          <cell r="F1595" t="str">
            <v>A4</v>
          </cell>
          <cell r="G1595">
            <v>20</v>
          </cell>
          <cell r="H1595">
            <v>171</v>
          </cell>
          <cell r="I1595">
            <v>3276713</v>
          </cell>
          <cell r="J1595">
            <v>0</v>
          </cell>
          <cell r="K1595">
            <v>0</v>
          </cell>
          <cell r="L1595">
            <v>10846</v>
          </cell>
          <cell r="M1595">
            <v>0</v>
          </cell>
          <cell r="N1595">
            <v>0</v>
          </cell>
          <cell r="O1595">
            <v>37597832</v>
          </cell>
          <cell r="P1595">
            <v>8488804</v>
          </cell>
          <cell r="Q1595">
            <v>1135736</v>
          </cell>
          <cell r="R1595">
            <v>211852</v>
          </cell>
          <cell r="S1595">
            <v>0</v>
          </cell>
          <cell r="T1595">
            <v>401866</v>
          </cell>
          <cell r="U1595">
            <v>11896015</v>
          </cell>
          <cell r="V1595">
            <v>0</v>
          </cell>
          <cell r="W1595">
            <v>361591</v>
          </cell>
          <cell r="X1595">
            <v>0</v>
          </cell>
          <cell r="Y1595">
            <v>86673</v>
          </cell>
          <cell r="Z1595">
            <v>47583963</v>
          </cell>
          <cell r="AA1595">
            <v>48284354</v>
          </cell>
          <cell r="AB1595" t="str">
            <v>EMBG</v>
          </cell>
          <cell r="AC1595">
            <v>1101</v>
          </cell>
          <cell r="AD1595">
            <v>2</v>
          </cell>
          <cell r="AE1595">
            <v>3276713</v>
          </cell>
        </row>
        <row r="1596">
          <cell r="A1596" t="str">
            <v>SML</v>
          </cell>
          <cell r="B1596">
            <v>9</v>
          </cell>
          <cell r="C1596" t="str">
            <v>DMSU</v>
          </cell>
          <cell r="D1596">
            <v>94</v>
          </cell>
          <cell r="E1596">
            <v>3</v>
          </cell>
          <cell r="F1596" t="str">
            <v xml:space="preserve">B </v>
          </cell>
          <cell r="G1596">
            <v>0</v>
          </cell>
          <cell r="H1596">
            <v>7738</v>
          </cell>
          <cell r="I1596">
            <v>3967949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82663004</v>
          </cell>
          <cell r="P1596">
            <v>0</v>
          </cell>
          <cell r="Q1596">
            <v>0</v>
          </cell>
          <cell r="R1596">
            <v>527677</v>
          </cell>
          <cell r="S1596">
            <v>0</v>
          </cell>
          <cell r="T1596">
            <v>3748993</v>
          </cell>
          <cell r="U1596">
            <v>20534674</v>
          </cell>
          <cell r="V1596">
            <v>0</v>
          </cell>
          <cell r="W1596">
            <v>0</v>
          </cell>
          <cell r="X1596">
            <v>0</v>
          </cell>
          <cell r="Y1596">
            <v>3669849</v>
          </cell>
          <cell r="Z1596">
            <v>82663004</v>
          </cell>
          <cell r="AA1596">
            <v>90609523</v>
          </cell>
          <cell r="AB1596" t="str">
            <v>EMBG</v>
          </cell>
          <cell r="AC1596">
            <v>1101</v>
          </cell>
          <cell r="AD1596">
            <v>2</v>
          </cell>
          <cell r="AE1596">
            <v>3918746</v>
          </cell>
        </row>
        <row r="1597">
          <cell r="A1597" t="str">
            <v>SML</v>
          </cell>
          <cell r="B1597">
            <v>9</v>
          </cell>
          <cell r="C1597" t="str">
            <v>DMSU</v>
          </cell>
          <cell r="D1597">
            <v>94</v>
          </cell>
          <cell r="E1597">
            <v>5</v>
          </cell>
          <cell r="F1597" t="str">
            <v>A4</v>
          </cell>
          <cell r="G1597">
            <v>20</v>
          </cell>
          <cell r="H1597">
            <v>10</v>
          </cell>
          <cell r="I1597">
            <v>143933</v>
          </cell>
          <cell r="J1597">
            <v>0</v>
          </cell>
          <cell r="K1597">
            <v>0</v>
          </cell>
          <cell r="L1597">
            <v>757</v>
          </cell>
          <cell r="M1597">
            <v>0</v>
          </cell>
          <cell r="N1597">
            <v>0</v>
          </cell>
          <cell r="O1597">
            <v>1587188</v>
          </cell>
          <cell r="P1597">
            <v>571346</v>
          </cell>
          <cell r="Q1597">
            <v>85694</v>
          </cell>
          <cell r="R1597">
            <v>36384</v>
          </cell>
          <cell r="S1597">
            <v>0</v>
          </cell>
          <cell r="T1597">
            <v>0</v>
          </cell>
          <cell r="U1597">
            <v>500043</v>
          </cell>
          <cell r="V1597">
            <v>0</v>
          </cell>
          <cell r="W1597">
            <v>12523</v>
          </cell>
          <cell r="X1597">
            <v>0</v>
          </cell>
          <cell r="Y1597">
            <v>0</v>
          </cell>
          <cell r="Z1597">
            <v>2256751</v>
          </cell>
          <cell r="AA1597">
            <v>2293135</v>
          </cell>
          <cell r="AB1597" t="str">
            <v>EMBG</v>
          </cell>
          <cell r="AC1597">
            <v>1101</v>
          </cell>
          <cell r="AD1597">
            <v>2</v>
          </cell>
          <cell r="AE1597">
            <v>143933</v>
          </cell>
        </row>
        <row r="1598">
          <cell r="A1598" t="str">
            <v>SML</v>
          </cell>
          <cell r="B1598">
            <v>9</v>
          </cell>
          <cell r="C1598" t="str">
            <v>DMSU</v>
          </cell>
          <cell r="D1598">
            <v>94</v>
          </cell>
          <cell r="E1598">
            <v>5</v>
          </cell>
          <cell r="F1598" t="str">
            <v xml:space="preserve">B </v>
          </cell>
          <cell r="G1598">
            <v>0</v>
          </cell>
          <cell r="H1598">
            <v>49</v>
          </cell>
          <cell r="I1598">
            <v>66266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1213993</v>
          </cell>
          <cell r="P1598">
            <v>0</v>
          </cell>
          <cell r="Q1598">
            <v>0</v>
          </cell>
          <cell r="R1598">
            <v>11155</v>
          </cell>
          <cell r="S1598">
            <v>0</v>
          </cell>
          <cell r="T1598">
            <v>50000</v>
          </cell>
          <cell r="U1598">
            <v>179318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1213993</v>
          </cell>
          <cell r="AA1598">
            <v>1275148</v>
          </cell>
          <cell r="AB1598" t="str">
            <v>EMBG</v>
          </cell>
          <cell r="AC1598">
            <v>1101</v>
          </cell>
          <cell r="AD1598">
            <v>2</v>
          </cell>
          <cell r="AE1598">
            <v>65976</v>
          </cell>
        </row>
        <row r="1599">
          <cell r="A1599" t="str">
            <v>SML</v>
          </cell>
          <cell r="B1599">
            <v>9</v>
          </cell>
          <cell r="C1599" t="str">
            <v>DMSU</v>
          </cell>
          <cell r="D1599">
            <v>94</v>
          </cell>
          <cell r="E1599">
            <v>7</v>
          </cell>
          <cell r="F1599" t="str">
            <v>A4</v>
          </cell>
          <cell r="G1599">
            <v>20</v>
          </cell>
          <cell r="H1599">
            <v>3</v>
          </cell>
          <cell r="I1599">
            <v>14125</v>
          </cell>
          <cell r="J1599">
            <v>0</v>
          </cell>
          <cell r="K1599">
            <v>0</v>
          </cell>
          <cell r="L1599">
            <v>94</v>
          </cell>
          <cell r="M1599">
            <v>0</v>
          </cell>
          <cell r="N1599">
            <v>0</v>
          </cell>
          <cell r="O1599">
            <v>137767</v>
          </cell>
          <cell r="P1599">
            <v>70384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52038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208151</v>
          </cell>
          <cell r="AA1599">
            <v>208151</v>
          </cell>
          <cell r="AB1599" t="str">
            <v>EMBG</v>
          </cell>
          <cell r="AC1599">
            <v>1101</v>
          </cell>
          <cell r="AD1599">
            <v>2</v>
          </cell>
          <cell r="AE1599">
            <v>14125</v>
          </cell>
        </row>
        <row r="1600">
          <cell r="A1600" t="str">
            <v>SML</v>
          </cell>
          <cell r="B1600">
            <v>9</v>
          </cell>
          <cell r="C1600" t="str">
            <v>DMSU</v>
          </cell>
          <cell r="D1600">
            <v>94</v>
          </cell>
          <cell r="E1600">
            <v>7</v>
          </cell>
          <cell r="F1600" t="str">
            <v xml:space="preserve">B </v>
          </cell>
          <cell r="G1600">
            <v>0</v>
          </cell>
          <cell r="H1600">
            <v>5</v>
          </cell>
          <cell r="I1600">
            <v>606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10721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2679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10721</v>
          </cell>
          <cell r="AA1600">
            <v>10721</v>
          </cell>
          <cell r="AB1600" t="str">
            <v>EMBG</v>
          </cell>
          <cell r="AC1600">
            <v>1101</v>
          </cell>
          <cell r="AD1600">
            <v>2</v>
          </cell>
          <cell r="AE1600">
            <v>602</v>
          </cell>
        </row>
        <row r="1601">
          <cell r="A1601" t="str">
            <v>SML</v>
          </cell>
          <cell r="B1601">
            <v>9</v>
          </cell>
          <cell r="C1601" t="str">
            <v>DMSU</v>
          </cell>
          <cell r="D1601">
            <v>94</v>
          </cell>
          <cell r="E1601">
            <v>8</v>
          </cell>
          <cell r="F1601" t="str">
            <v xml:space="preserve">B </v>
          </cell>
          <cell r="G1601">
            <v>0</v>
          </cell>
          <cell r="H1601">
            <v>3</v>
          </cell>
          <cell r="I1601">
            <v>10683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222404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55601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222404</v>
          </cell>
          <cell r="AA1601">
            <v>222404</v>
          </cell>
          <cell r="AB1601" t="str">
            <v>EMBG</v>
          </cell>
          <cell r="AC1601">
            <v>1101</v>
          </cell>
          <cell r="AD1601">
            <v>2</v>
          </cell>
          <cell r="AE1601">
            <v>10683</v>
          </cell>
        </row>
        <row r="1602">
          <cell r="A1602" t="str">
            <v>SML</v>
          </cell>
          <cell r="B1602">
            <v>9</v>
          </cell>
          <cell r="C1602" t="str">
            <v>DMSU</v>
          </cell>
          <cell r="D1602">
            <v>95</v>
          </cell>
          <cell r="E1602">
            <v>1</v>
          </cell>
          <cell r="F1602" t="str">
            <v xml:space="preserve">B </v>
          </cell>
          <cell r="G1602">
            <v>1</v>
          </cell>
          <cell r="H1602">
            <v>4600</v>
          </cell>
          <cell r="I1602">
            <v>119729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1952604</v>
          </cell>
          <cell r="P1602">
            <v>0</v>
          </cell>
          <cell r="Q1602">
            <v>0</v>
          </cell>
          <cell r="R1602">
            <v>63684</v>
          </cell>
          <cell r="S1602">
            <v>0</v>
          </cell>
          <cell r="T1602">
            <v>1502106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1952604</v>
          </cell>
          <cell r="AA1602">
            <v>3518394</v>
          </cell>
          <cell r="AB1602" t="str">
            <v>EMIB</v>
          </cell>
          <cell r="AC1602">
            <v>1101</v>
          </cell>
          <cell r="AD1602">
            <v>2</v>
          </cell>
          <cell r="AE1602">
            <v>68846</v>
          </cell>
        </row>
        <row r="1603">
          <cell r="A1603" t="str">
            <v>SML</v>
          </cell>
          <cell r="B1603">
            <v>9</v>
          </cell>
          <cell r="C1603" t="str">
            <v>DMSU</v>
          </cell>
          <cell r="D1603">
            <v>95</v>
          </cell>
          <cell r="E1603">
            <v>1</v>
          </cell>
          <cell r="F1603" t="str">
            <v xml:space="preserve">B </v>
          </cell>
          <cell r="G1603">
            <v>2</v>
          </cell>
          <cell r="H1603">
            <v>2413</v>
          </cell>
          <cell r="I1603">
            <v>99098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1918876</v>
          </cell>
          <cell r="P1603">
            <v>0</v>
          </cell>
          <cell r="Q1603">
            <v>0</v>
          </cell>
          <cell r="R1603">
            <v>33455</v>
          </cell>
          <cell r="S1603">
            <v>0</v>
          </cell>
          <cell r="T1603">
            <v>281340</v>
          </cell>
          <cell r="U1603">
            <v>326116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1918876</v>
          </cell>
          <cell r="AA1603">
            <v>2233671</v>
          </cell>
          <cell r="AB1603" t="str">
            <v>EMIB</v>
          </cell>
          <cell r="AC1603">
            <v>1101</v>
          </cell>
          <cell r="AD1603">
            <v>2</v>
          </cell>
          <cell r="AE1603">
            <v>99098</v>
          </cell>
        </row>
        <row r="1604">
          <cell r="A1604" t="str">
            <v>SML</v>
          </cell>
          <cell r="B1604">
            <v>9</v>
          </cell>
          <cell r="C1604" t="str">
            <v>DMSU</v>
          </cell>
          <cell r="D1604">
            <v>95</v>
          </cell>
          <cell r="E1604">
            <v>1</v>
          </cell>
          <cell r="F1604" t="str">
            <v xml:space="preserve">B </v>
          </cell>
          <cell r="G1604">
            <v>3</v>
          </cell>
          <cell r="H1604">
            <v>9548</v>
          </cell>
          <cell r="I1604">
            <v>740148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14343943</v>
          </cell>
          <cell r="P1604">
            <v>0</v>
          </cell>
          <cell r="Q1604">
            <v>0</v>
          </cell>
          <cell r="R1604">
            <v>208283</v>
          </cell>
          <cell r="S1604">
            <v>0</v>
          </cell>
          <cell r="T1604">
            <v>876989</v>
          </cell>
          <cell r="U1604">
            <v>2438454</v>
          </cell>
          <cell r="V1604">
            <v>0</v>
          </cell>
          <cell r="W1604">
            <v>0</v>
          </cell>
          <cell r="X1604">
            <v>0</v>
          </cell>
          <cell r="Y1604">
            <v>1475005</v>
          </cell>
          <cell r="Z1604">
            <v>14343943</v>
          </cell>
          <cell r="AA1604">
            <v>16904220</v>
          </cell>
          <cell r="AB1604" t="str">
            <v>EMIB</v>
          </cell>
          <cell r="AC1604">
            <v>1101</v>
          </cell>
          <cell r="AD1604">
            <v>2</v>
          </cell>
          <cell r="AE1604">
            <v>738071</v>
          </cell>
        </row>
        <row r="1605">
          <cell r="A1605" t="str">
            <v>SML</v>
          </cell>
          <cell r="B1605">
            <v>9</v>
          </cell>
          <cell r="C1605" t="str">
            <v>DMSU</v>
          </cell>
          <cell r="D1605">
            <v>95</v>
          </cell>
          <cell r="E1605">
            <v>1</v>
          </cell>
          <cell r="F1605" t="str">
            <v xml:space="preserve">B </v>
          </cell>
          <cell r="G1605">
            <v>4</v>
          </cell>
          <cell r="H1605">
            <v>7779</v>
          </cell>
          <cell r="I1605">
            <v>959010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18593439</v>
          </cell>
          <cell r="P1605">
            <v>0</v>
          </cell>
          <cell r="Q1605">
            <v>0</v>
          </cell>
          <cell r="R1605">
            <v>240592</v>
          </cell>
          <cell r="S1605">
            <v>0</v>
          </cell>
          <cell r="T1605">
            <v>976868</v>
          </cell>
          <cell r="U1605">
            <v>3160913</v>
          </cell>
          <cell r="V1605">
            <v>0</v>
          </cell>
          <cell r="W1605">
            <v>0</v>
          </cell>
          <cell r="X1605">
            <v>0</v>
          </cell>
          <cell r="Y1605">
            <v>1861174</v>
          </cell>
          <cell r="Z1605">
            <v>18593439</v>
          </cell>
          <cell r="AA1605">
            <v>21672073</v>
          </cell>
          <cell r="AB1605" t="str">
            <v>EMIB</v>
          </cell>
          <cell r="AC1605">
            <v>1101</v>
          </cell>
          <cell r="AD1605">
            <v>2</v>
          </cell>
          <cell r="AE1605">
            <v>959010</v>
          </cell>
        </row>
        <row r="1606">
          <cell r="A1606" t="str">
            <v>SML</v>
          </cell>
          <cell r="B1606">
            <v>9</v>
          </cell>
          <cell r="C1606" t="str">
            <v>DMSU</v>
          </cell>
          <cell r="D1606">
            <v>95</v>
          </cell>
          <cell r="E1606">
            <v>1</v>
          </cell>
          <cell r="F1606" t="str">
            <v xml:space="preserve">B </v>
          </cell>
          <cell r="G1606">
            <v>5</v>
          </cell>
          <cell r="H1606">
            <v>4183</v>
          </cell>
          <cell r="I1606">
            <v>725249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14060753</v>
          </cell>
          <cell r="P1606">
            <v>0</v>
          </cell>
          <cell r="Q1606">
            <v>0</v>
          </cell>
          <cell r="R1606">
            <v>175810</v>
          </cell>
          <cell r="S1606">
            <v>0</v>
          </cell>
          <cell r="T1606">
            <v>663144</v>
          </cell>
          <cell r="U1606">
            <v>2390427</v>
          </cell>
          <cell r="V1606">
            <v>0</v>
          </cell>
          <cell r="W1606">
            <v>0</v>
          </cell>
          <cell r="X1606">
            <v>0</v>
          </cell>
          <cell r="Y1606">
            <v>1005697</v>
          </cell>
          <cell r="Z1606">
            <v>14060753</v>
          </cell>
          <cell r="AA1606">
            <v>15905404</v>
          </cell>
          <cell r="AB1606" t="str">
            <v>EMIB</v>
          </cell>
          <cell r="AC1606">
            <v>1101</v>
          </cell>
          <cell r="AD1606">
            <v>2</v>
          </cell>
          <cell r="AE1606">
            <v>725249</v>
          </cell>
        </row>
        <row r="1607">
          <cell r="A1607" t="str">
            <v>SML</v>
          </cell>
          <cell r="B1607">
            <v>9</v>
          </cell>
          <cell r="C1607" t="str">
            <v>DMSU</v>
          </cell>
          <cell r="D1607">
            <v>95</v>
          </cell>
          <cell r="E1607">
            <v>1</v>
          </cell>
          <cell r="F1607" t="str">
            <v xml:space="preserve">B </v>
          </cell>
          <cell r="G1607">
            <v>6</v>
          </cell>
          <cell r="H1607">
            <v>3355</v>
          </cell>
          <cell r="I1607">
            <v>806639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15640585</v>
          </cell>
          <cell r="P1607">
            <v>0</v>
          </cell>
          <cell r="Q1607">
            <v>0</v>
          </cell>
          <cell r="R1607">
            <v>185080</v>
          </cell>
          <cell r="S1607">
            <v>0</v>
          </cell>
          <cell r="T1607">
            <v>658335</v>
          </cell>
          <cell r="U1607">
            <v>2659600</v>
          </cell>
          <cell r="V1607">
            <v>0</v>
          </cell>
          <cell r="W1607">
            <v>0</v>
          </cell>
          <cell r="X1607">
            <v>0</v>
          </cell>
          <cell r="Y1607">
            <v>805724</v>
          </cell>
          <cell r="Z1607">
            <v>15640585</v>
          </cell>
          <cell r="AA1607">
            <v>17289724</v>
          </cell>
          <cell r="AB1607" t="str">
            <v>EMIB</v>
          </cell>
          <cell r="AC1607">
            <v>1101</v>
          </cell>
          <cell r="AD1607">
            <v>2</v>
          </cell>
          <cell r="AE1607">
            <v>806639</v>
          </cell>
        </row>
        <row r="1608">
          <cell r="A1608" t="str">
            <v>SML</v>
          </cell>
          <cell r="B1608">
            <v>9</v>
          </cell>
          <cell r="C1608" t="str">
            <v>DMSU</v>
          </cell>
          <cell r="D1608">
            <v>95</v>
          </cell>
          <cell r="E1608">
            <v>1</v>
          </cell>
          <cell r="F1608" t="str">
            <v xml:space="preserve">B </v>
          </cell>
          <cell r="G1608">
            <v>7</v>
          </cell>
          <cell r="H1608">
            <v>1130</v>
          </cell>
          <cell r="I1608">
            <v>379289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7628732</v>
          </cell>
          <cell r="P1608">
            <v>0</v>
          </cell>
          <cell r="Q1608">
            <v>0</v>
          </cell>
          <cell r="R1608">
            <v>91905</v>
          </cell>
          <cell r="S1608">
            <v>0</v>
          </cell>
          <cell r="T1608">
            <v>253993</v>
          </cell>
          <cell r="U1608">
            <v>1526183</v>
          </cell>
          <cell r="V1608">
            <v>0</v>
          </cell>
          <cell r="W1608">
            <v>0</v>
          </cell>
          <cell r="X1608">
            <v>0</v>
          </cell>
          <cell r="Y1608">
            <v>262885</v>
          </cell>
          <cell r="Z1608">
            <v>7628732</v>
          </cell>
          <cell r="AA1608">
            <v>8237515</v>
          </cell>
          <cell r="AB1608" t="str">
            <v>EMIB</v>
          </cell>
          <cell r="AC1608">
            <v>1101</v>
          </cell>
          <cell r="AD1608">
            <v>2</v>
          </cell>
          <cell r="AE1608">
            <v>379289</v>
          </cell>
        </row>
        <row r="1609">
          <cell r="A1609" t="str">
            <v>SML</v>
          </cell>
          <cell r="B1609">
            <v>9</v>
          </cell>
          <cell r="C1609" t="str">
            <v>DMSU</v>
          </cell>
          <cell r="D1609">
            <v>95</v>
          </cell>
          <cell r="E1609">
            <v>1</v>
          </cell>
          <cell r="F1609" t="str">
            <v xml:space="preserve">B </v>
          </cell>
          <cell r="G1609">
            <v>8</v>
          </cell>
          <cell r="H1609">
            <v>460</v>
          </cell>
          <cell r="I1609">
            <v>196095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3944492</v>
          </cell>
          <cell r="P1609">
            <v>0</v>
          </cell>
          <cell r="Q1609">
            <v>0</v>
          </cell>
          <cell r="R1609">
            <v>44555</v>
          </cell>
          <cell r="S1609">
            <v>0</v>
          </cell>
          <cell r="T1609">
            <v>102022</v>
          </cell>
          <cell r="U1609">
            <v>789032</v>
          </cell>
          <cell r="V1609">
            <v>0</v>
          </cell>
          <cell r="W1609">
            <v>0</v>
          </cell>
          <cell r="X1609">
            <v>0</v>
          </cell>
          <cell r="Y1609">
            <v>108521</v>
          </cell>
          <cell r="Z1609">
            <v>3944492</v>
          </cell>
          <cell r="AA1609">
            <v>4199590</v>
          </cell>
          <cell r="AB1609" t="str">
            <v>EMIB</v>
          </cell>
          <cell r="AC1609">
            <v>1101</v>
          </cell>
          <cell r="AD1609">
            <v>2</v>
          </cell>
          <cell r="AE1609">
            <v>196095</v>
          </cell>
        </row>
        <row r="1610">
          <cell r="A1610" t="str">
            <v>SML</v>
          </cell>
          <cell r="B1610">
            <v>9</v>
          </cell>
          <cell r="C1610" t="str">
            <v>DMSU</v>
          </cell>
          <cell r="D1610">
            <v>95</v>
          </cell>
          <cell r="E1610">
            <v>1</v>
          </cell>
          <cell r="F1610" t="str">
            <v xml:space="preserve">B </v>
          </cell>
          <cell r="G1610">
            <v>9</v>
          </cell>
          <cell r="H1610">
            <v>407</v>
          </cell>
          <cell r="I1610">
            <v>238951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5129242</v>
          </cell>
          <cell r="P1610">
            <v>0</v>
          </cell>
          <cell r="Q1610">
            <v>0</v>
          </cell>
          <cell r="R1610">
            <v>55421</v>
          </cell>
          <cell r="S1610">
            <v>0</v>
          </cell>
          <cell r="T1610">
            <v>158022</v>
          </cell>
          <cell r="U1610">
            <v>1282499</v>
          </cell>
          <cell r="V1610">
            <v>0</v>
          </cell>
          <cell r="W1610">
            <v>0</v>
          </cell>
          <cell r="X1610">
            <v>0</v>
          </cell>
          <cell r="Y1610">
            <v>89614</v>
          </cell>
          <cell r="Z1610">
            <v>5129242</v>
          </cell>
          <cell r="AA1610">
            <v>5432299</v>
          </cell>
          <cell r="AB1610" t="str">
            <v>EMIB</v>
          </cell>
          <cell r="AC1610">
            <v>1101</v>
          </cell>
          <cell r="AD1610">
            <v>2</v>
          </cell>
          <cell r="AE1610">
            <v>238951</v>
          </cell>
        </row>
        <row r="1611">
          <cell r="A1611" t="str">
            <v>SML</v>
          </cell>
          <cell r="B1611">
            <v>9</v>
          </cell>
          <cell r="C1611" t="str">
            <v>DMSU</v>
          </cell>
          <cell r="D1611">
            <v>95</v>
          </cell>
          <cell r="E1611">
            <v>1</v>
          </cell>
          <cell r="F1611" t="str">
            <v xml:space="preserve">B </v>
          </cell>
          <cell r="G1611">
            <v>10</v>
          </cell>
          <cell r="H1611">
            <v>58</v>
          </cell>
          <cell r="I1611">
            <v>-36279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-780462</v>
          </cell>
          <cell r="P1611">
            <v>0</v>
          </cell>
          <cell r="Q1611">
            <v>0</v>
          </cell>
          <cell r="R1611">
            <v>11583</v>
          </cell>
          <cell r="S1611">
            <v>0</v>
          </cell>
          <cell r="T1611">
            <v>94069</v>
          </cell>
          <cell r="U1611">
            <v>-195105</v>
          </cell>
          <cell r="V1611">
            <v>0</v>
          </cell>
          <cell r="W1611">
            <v>0</v>
          </cell>
          <cell r="X1611">
            <v>0</v>
          </cell>
          <cell r="Y1611">
            <v>6216</v>
          </cell>
          <cell r="Z1611">
            <v>-780462</v>
          </cell>
          <cell r="AA1611">
            <v>-668594</v>
          </cell>
          <cell r="AB1611" t="str">
            <v>EMIB</v>
          </cell>
          <cell r="AC1611">
            <v>1101</v>
          </cell>
          <cell r="AD1611">
            <v>2</v>
          </cell>
          <cell r="AE1611">
            <v>-36279</v>
          </cell>
        </row>
        <row r="1612">
          <cell r="A1612" t="str">
            <v>SML</v>
          </cell>
          <cell r="B1612">
            <v>9</v>
          </cell>
          <cell r="C1612" t="str">
            <v>DMSU</v>
          </cell>
          <cell r="D1612">
            <v>95</v>
          </cell>
          <cell r="E1612">
            <v>1</v>
          </cell>
          <cell r="F1612" t="str">
            <v xml:space="preserve">B </v>
          </cell>
          <cell r="G1612">
            <v>11</v>
          </cell>
          <cell r="H1612">
            <v>5480</v>
          </cell>
          <cell r="I1612">
            <v>143749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811867</v>
          </cell>
          <cell r="P1612">
            <v>0</v>
          </cell>
          <cell r="Q1612">
            <v>0</v>
          </cell>
          <cell r="R1612">
            <v>22973</v>
          </cell>
          <cell r="S1612">
            <v>0</v>
          </cell>
          <cell r="T1612">
            <v>353092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811867</v>
          </cell>
          <cell r="AA1612">
            <v>1187932</v>
          </cell>
          <cell r="AB1612" t="str">
            <v>EMIB</v>
          </cell>
          <cell r="AC1612">
            <v>1101</v>
          </cell>
          <cell r="AD1612">
            <v>2</v>
          </cell>
          <cell r="AE1612">
            <v>89105</v>
          </cell>
        </row>
        <row r="1613">
          <cell r="A1613" t="str">
            <v>SML</v>
          </cell>
          <cell r="B1613">
            <v>9</v>
          </cell>
          <cell r="C1613" t="str">
            <v>DMSU</v>
          </cell>
          <cell r="D1613">
            <v>95</v>
          </cell>
          <cell r="E1613">
            <v>1</v>
          </cell>
          <cell r="F1613" t="str">
            <v xml:space="preserve">B </v>
          </cell>
          <cell r="G1613">
            <v>12</v>
          </cell>
          <cell r="H1613">
            <v>9907</v>
          </cell>
          <cell r="I1613">
            <v>632186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5973693</v>
          </cell>
          <cell r="P1613">
            <v>0</v>
          </cell>
          <cell r="Q1613">
            <v>0</v>
          </cell>
          <cell r="R1613">
            <v>90610</v>
          </cell>
          <cell r="S1613">
            <v>0</v>
          </cell>
          <cell r="T1613">
            <v>331277</v>
          </cell>
          <cell r="U1613">
            <v>1015908</v>
          </cell>
          <cell r="V1613">
            <v>0</v>
          </cell>
          <cell r="W1613">
            <v>0</v>
          </cell>
          <cell r="X1613">
            <v>0</v>
          </cell>
          <cell r="Y1613">
            <v>931623</v>
          </cell>
          <cell r="Z1613">
            <v>5973693</v>
          </cell>
          <cell r="AA1613">
            <v>7327203</v>
          </cell>
          <cell r="AB1613" t="str">
            <v>EMIB</v>
          </cell>
          <cell r="AC1613">
            <v>1101</v>
          </cell>
          <cell r="AD1613">
            <v>2</v>
          </cell>
          <cell r="AE1613">
            <v>632186</v>
          </cell>
        </row>
        <row r="1614">
          <cell r="A1614" t="str">
            <v>SML</v>
          </cell>
          <cell r="B1614">
            <v>9</v>
          </cell>
          <cell r="C1614" t="str">
            <v>DMSU</v>
          </cell>
          <cell r="D1614">
            <v>95</v>
          </cell>
          <cell r="E1614">
            <v>1</v>
          </cell>
          <cell r="F1614" t="str">
            <v xml:space="preserve">B </v>
          </cell>
          <cell r="G1614">
            <v>13</v>
          </cell>
          <cell r="H1614">
            <v>1767</v>
          </cell>
          <cell r="I1614">
            <v>205041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2513388</v>
          </cell>
          <cell r="P1614">
            <v>0</v>
          </cell>
          <cell r="Q1614">
            <v>0</v>
          </cell>
          <cell r="R1614">
            <v>32114</v>
          </cell>
          <cell r="S1614">
            <v>0</v>
          </cell>
          <cell r="T1614">
            <v>120702</v>
          </cell>
          <cell r="U1614">
            <v>427318</v>
          </cell>
          <cell r="V1614">
            <v>0</v>
          </cell>
          <cell r="W1614">
            <v>0</v>
          </cell>
          <cell r="X1614">
            <v>0</v>
          </cell>
          <cell r="Y1614">
            <v>433566</v>
          </cell>
          <cell r="Z1614">
            <v>2513388</v>
          </cell>
          <cell r="AA1614">
            <v>3099770</v>
          </cell>
          <cell r="AB1614" t="str">
            <v>EMIB</v>
          </cell>
          <cell r="AC1614">
            <v>1101</v>
          </cell>
          <cell r="AD1614">
            <v>2</v>
          </cell>
          <cell r="AE1614">
            <v>205041</v>
          </cell>
        </row>
        <row r="1615">
          <cell r="A1615" t="str">
            <v>SML</v>
          </cell>
          <cell r="B1615">
            <v>9</v>
          </cell>
          <cell r="C1615" t="str">
            <v>DMSU</v>
          </cell>
          <cell r="D1615">
            <v>95</v>
          </cell>
          <cell r="E1615">
            <v>1</v>
          </cell>
          <cell r="F1615" t="str">
            <v xml:space="preserve">B </v>
          </cell>
          <cell r="G1615">
            <v>14</v>
          </cell>
          <cell r="H1615">
            <v>239</v>
          </cell>
          <cell r="I1615">
            <v>35830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455065</v>
          </cell>
          <cell r="P1615">
            <v>0</v>
          </cell>
          <cell r="Q1615">
            <v>0</v>
          </cell>
          <cell r="R1615">
            <v>7584</v>
          </cell>
          <cell r="S1615">
            <v>0</v>
          </cell>
          <cell r="T1615">
            <v>22058</v>
          </cell>
          <cell r="U1615">
            <v>77382</v>
          </cell>
          <cell r="V1615">
            <v>0</v>
          </cell>
          <cell r="W1615">
            <v>0</v>
          </cell>
          <cell r="X1615">
            <v>0</v>
          </cell>
          <cell r="Y1615">
            <v>60088</v>
          </cell>
          <cell r="Z1615">
            <v>455065</v>
          </cell>
          <cell r="AA1615">
            <v>544795</v>
          </cell>
          <cell r="AB1615" t="str">
            <v>EMIB</v>
          </cell>
          <cell r="AC1615">
            <v>1101</v>
          </cell>
          <cell r="AD1615">
            <v>2</v>
          </cell>
          <cell r="AE1615">
            <v>35830</v>
          </cell>
        </row>
        <row r="1616">
          <cell r="A1616" t="str">
            <v>SML</v>
          </cell>
          <cell r="B1616">
            <v>9</v>
          </cell>
          <cell r="C1616" t="str">
            <v>DMSU</v>
          </cell>
          <cell r="D1616">
            <v>95</v>
          </cell>
          <cell r="E1616">
            <v>1</v>
          </cell>
          <cell r="F1616" t="str">
            <v xml:space="preserve">B </v>
          </cell>
          <cell r="G1616">
            <v>15</v>
          </cell>
          <cell r="H1616">
            <v>395</v>
          </cell>
          <cell r="I1616">
            <v>91074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1428635</v>
          </cell>
          <cell r="P1616">
            <v>0</v>
          </cell>
          <cell r="Q1616">
            <v>0</v>
          </cell>
          <cell r="R1616">
            <v>20218</v>
          </cell>
          <cell r="S1616">
            <v>0</v>
          </cell>
          <cell r="T1616">
            <v>19285</v>
          </cell>
          <cell r="U1616">
            <v>266653</v>
          </cell>
          <cell r="V1616">
            <v>0</v>
          </cell>
          <cell r="W1616">
            <v>0</v>
          </cell>
          <cell r="X1616">
            <v>0</v>
          </cell>
          <cell r="Y1616">
            <v>93240</v>
          </cell>
          <cell r="Z1616">
            <v>1428635</v>
          </cell>
          <cell r="AA1616">
            <v>1561378</v>
          </cell>
          <cell r="AB1616" t="str">
            <v>EMIB</v>
          </cell>
          <cell r="AC1616">
            <v>1101</v>
          </cell>
          <cell r="AD1616">
            <v>2</v>
          </cell>
          <cell r="AE1616">
            <v>91074</v>
          </cell>
        </row>
        <row r="1617">
          <cell r="A1617" t="str">
            <v>SML</v>
          </cell>
          <cell r="B1617">
            <v>9</v>
          </cell>
          <cell r="C1617" t="str">
            <v>DMSU</v>
          </cell>
          <cell r="D1617">
            <v>95</v>
          </cell>
          <cell r="E1617">
            <v>2</v>
          </cell>
          <cell r="F1617" t="str">
            <v>A4</v>
          </cell>
          <cell r="G1617">
            <v>22</v>
          </cell>
          <cell r="H1617">
            <v>1</v>
          </cell>
          <cell r="I1617">
            <v>321503</v>
          </cell>
          <cell r="J1617">
            <v>47594</v>
          </cell>
          <cell r="K1617">
            <v>273909</v>
          </cell>
          <cell r="L1617">
            <v>2555</v>
          </cell>
          <cell r="M1617">
            <v>1292</v>
          </cell>
          <cell r="N1617">
            <v>1263</v>
          </cell>
          <cell r="O1617">
            <v>2415174</v>
          </cell>
          <cell r="P1617">
            <v>3507593</v>
          </cell>
          <cell r="Q1617">
            <v>40716</v>
          </cell>
          <cell r="R1617">
            <v>0</v>
          </cell>
          <cell r="S1617">
            <v>0</v>
          </cell>
          <cell r="T1617">
            <v>0</v>
          </cell>
          <cell r="U1617">
            <v>1490871</v>
          </cell>
          <cell r="V1617">
            <v>0</v>
          </cell>
          <cell r="W1617">
            <v>0</v>
          </cell>
          <cell r="X1617">
            <v>0</v>
          </cell>
          <cell r="Y1617">
            <v>519</v>
          </cell>
          <cell r="Z1617">
            <v>5963483</v>
          </cell>
          <cell r="AA1617">
            <v>5964002</v>
          </cell>
          <cell r="AB1617" t="str">
            <v>EMIB</v>
          </cell>
          <cell r="AC1617">
            <v>1101</v>
          </cell>
          <cell r="AD1617">
            <v>2</v>
          </cell>
          <cell r="AE1617">
            <v>321503</v>
          </cell>
        </row>
        <row r="1618">
          <cell r="A1618" t="str">
            <v>SML</v>
          </cell>
          <cell r="B1618">
            <v>9</v>
          </cell>
          <cell r="C1618" t="str">
            <v>DMSU</v>
          </cell>
          <cell r="D1618">
            <v>95</v>
          </cell>
          <cell r="E1618">
            <v>2</v>
          </cell>
          <cell r="F1618" t="str">
            <v>A4</v>
          </cell>
          <cell r="G1618">
            <v>21</v>
          </cell>
          <cell r="H1618">
            <v>5</v>
          </cell>
          <cell r="I1618">
            <v>241231</v>
          </cell>
          <cell r="J1618">
            <v>9243</v>
          </cell>
          <cell r="K1618">
            <v>231988</v>
          </cell>
          <cell r="L1618">
            <v>1014</v>
          </cell>
          <cell r="M1618">
            <v>1014</v>
          </cell>
          <cell r="N1618">
            <v>0</v>
          </cell>
          <cell r="O1618">
            <v>2066211</v>
          </cell>
          <cell r="P1618">
            <v>700336</v>
          </cell>
          <cell r="Q1618">
            <v>189155</v>
          </cell>
          <cell r="R1618">
            <v>38850</v>
          </cell>
          <cell r="S1618">
            <v>0</v>
          </cell>
          <cell r="T1618">
            <v>0</v>
          </cell>
          <cell r="U1618">
            <v>740825</v>
          </cell>
          <cell r="V1618">
            <v>0</v>
          </cell>
          <cell r="W1618">
            <v>7597</v>
          </cell>
          <cell r="X1618">
            <v>0</v>
          </cell>
          <cell r="Y1618">
            <v>2595</v>
          </cell>
          <cell r="Z1618">
            <v>2963299</v>
          </cell>
          <cell r="AA1618">
            <v>3004744</v>
          </cell>
          <cell r="AB1618" t="str">
            <v>EMIB</v>
          </cell>
          <cell r="AC1618">
            <v>1101</v>
          </cell>
          <cell r="AD1618">
            <v>2</v>
          </cell>
          <cell r="AE1618">
            <v>241231</v>
          </cell>
        </row>
        <row r="1619">
          <cell r="A1619" t="str">
            <v>SML</v>
          </cell>
          <cell r="B1619">
            <v>9</v>
          </cell>
          <cell r="C1619" t="str">
            <v>DMSU</v>
          </cell>
          <cell r="D1619">
            <v>95</v>
          </cell>
          <cell r="E1619">
            <v>2</v>
          </cell>
          <cell r="F1619" t="str">
            <v>A4</v>
          </cell>
          <cell r="G1619">
            <v>20</v>
          </cell>
          <cell r="H1619">
            <v>31</v>
          </cell>
          <cell r="I1619">
            <v>490043</v>
          </cell>
          <cell r="J1619">
            <v>0</v>
          </cell>
          <cell r="K1619">
            <v>0</v>
          </cell>
          <cell r="L1619">
            <v>2276</v>
          </cell>
          <cell r="M1619">
            <v>0</v>
          </cell>
          <cell r="N1619">
            <v>0</v>
          </cell>
          <cell r="O1619">
            <v>5623079</v>
          </cell>
          <cell r="P1619">
            <v>1781351</v>
          </cell>
          <cell r="Q1619">
            <v>361960</v>
          </cell>
          <cell r="R1619">
            <v>85890</v>
          </cell>
          <cell r="S1619">
            <v>0</v>
          </cell>
          <cell r="T1619">
            <v>610317</v>
          </cell>
          <cell r="U1619">
            <v>1980735</v>
          </cell>
          <cell r="V1619">
            <v>0</v>
          </cell>
          <cell r="W1619">
            <v>156534</v>
          </cell>
          <cell r="X1619">
            <v>0</v>
          </cell>
          <cell r="Y1619">
            <v>15051</v>
          </cell>
          <cell r="Z1619">
            <v>7922924</v>
          </cell>
          <cell r="AA1619">
            <v>8634182</v>
          </cell>
          <cell r="AB1619" t="str">
            <v>EMIB</v>
          </cell>
          <cell r="AC1619">
            <v>1101</v>
          </cell>
          <cell r="AD1619">
            <v>2</v>
          </cell>
          <cell r="AE1619">
            <v>490043</v>
          </cell>
        </row>
        <row r="1620">
          <cell r="A1620" t="str">
            <v>SML</v>
          </cell>
          <cell r="B1620">
            <v>9</v>
          </cell>
          <cell r="C1620" t="str">
            <v>DMSU</v>
          </cell>
          <cell r="D1620">
            <v>95</v>
          </cell>
          <cell r="E1620">
            <v>2</v>
          </cell>
          <cell r="F1620" t="str">
            <v xml:space="preserve">B </v>
          </cell>
          <cell r="G1620">
            <v>0</v>
          </cell>
          <cell r="H1620">
            <v>243</v>
          </cell>
          <cell r="I1620">
            <v>207123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4315226</v>
          </cell>
          <cell r="P1620">
            <v>0</v>
          </cell>
          <cell r="Q1620">
            <v>0</v>
          </cell>
          <cell r="R1620">
            <v>84194</v>
          </cell>
          <cell r="S1620">
            <v>0</v>
          </cell>
          <cell r="T1620">
            <v>406112</v>
          </cell>
          <cell r="U1620">
            <v>1070938</v>
          </cell>
          <cell r="V1620">
            <v>0</v>
          </cell>
          <cell r="W1620">
            <v>0</v>
          </cell>
          <cell r="X1620">
            <v>0</v>
          </cell>
          <cell r="Y1620">
            <v>100686</v>
          </cell>
          <cell r="Z1620">
            <v>4315226</v>
          </cell>
          <cell r="AA1620">
            <v>4906218</v>
          </cell>
          <cell r="AB1620" t="str">
            <v>EMIB</v>
          </cell>
          <cell r="AC1620">
            <v>1101</v>
          </cell>
          <cell r="AD1620">
            <v>2</v>
          </cell>
          <cell r="AE1620">
            <v>205317</v>
          </cell>
        </row>
        <row r="1621">
          <cell r="A1621" t="str">
            <v>SML</v>
          </cell>
          <cell r="B1621">
            <v>9</v>
          </cell>
          <cell r="C1621" t="str">
            <v>DMSU</v>
          </cell>
          <cell r="D1621">
            <v>95</v>
          </cell>
          <cell r="E1621">
            <v>3</v>
          </cell>
          <cell r="F1621" t="str">
            <v>A4</v>
          </cell>
          <cell r="G1621">
            <v>22</v>
          </cell>
          <cell r="H1621">
            <v>2</v>
          </cell>
          <cell r="I1621">
            <v>290228</v>
          </cell>
          <cell r="J1621">
            <v>23275</v>
          </cell>
          <cell r="K1621">
            <v>266953</v>
          </cell>
          <cell r="L1621">
            <v>1420</v>
          </cell>
          <cell r="M1621">
            <v>715</v>
          </cell>
          <cell r="N1621">
            <v>705</v>
          </cell>
          <cell r="O1621">
            <v>2039941</v>
          </cell>
          <cell r="P1621">
            <v>1953647</v>
          </cell>
          <cell r="Q1621">
            <v>388</v>
          </cell>
          <cell r="R1621">
            <v>0</v>
          </cell>
          <cell r="S1621">
            <v>0</v>
          </cell>
          <cell r="T1621">
            <v>0</v>
          </cell>
          <cell r="U1621">
            <v>998495</v>
          </cell>
          <cell r="V1621">
            <v>0</v>
          </cell>
          <cell r="W1621">
            <v>0</v>
          </cell>
          <cell r="X1621">
            <v>0</v>
          </cell>
          <cell r="Y1621">
            <v>1038</v>
          </cell>
          <cell r="Z1621">
            <v>3993976</v>
          </cell>
          <cell r="AA1621">
            <v>3995014</v>
          </cell>
          <cell r="AB1621" t="str">
            <v>EMIB</v>
          </cell>
          <cell r="AC1621">
            <v>1101</v>
          </cell>
          <cell r="AD1621">
            <v>2</v>
          </cell>
          <cell r="AE1621">
            <v>290228</v>
          </cell>
        </row>
        <row r="1622">
          <cell r="A1622" t="str">
            <v>SML</v>
          </cell>
          <cell r="B1622">
            <v>9</v>
          </cell>
          <cell r="C1622" t="str">
            <v>DMSU</v>
          </cell>
          <cell r="D1622">
            <v>95</v>
          </cell>
          <cell r="E1622">
            <v>3</v>
          </cell>
          <cell r="F1622" t="str">
            <v>A4</v>
          </cell>
          <cell r="G1622">
            <v>21</v>
          </cell>
          <cell r="H1622">
            <v>5</v>
          </cell>
          <cell r="I1622">
            <v>270875</v>
          </cell>
          <cell r="J1622">
            <v>10426</v>
          </cell>
          <cell r="K1622">
            <v>260449</v>
          </cell>
          <cell r="L1622">
            <v>973</v>
          </cell>
          <cell r="M1622">
            <v>912</v>
          </cell>
          <cell r="N1622">
            <v>0</v>
          </cell>
          <cell r="O1622">
            <v>2322713</v>
          </cell>
          <cell r="P1622">
            <v>756199</v>
          </cell>
          <cell r="Q1622">
            <v>64987</v>
          </cell>
          <cell r="R1622">
            <v>0</v>
          </cell>
          <cell r="S1622">
            <v>0</v>
          </cell>
          <cell r="T1622">
            <v>0</v>
          </cell>
          <cell r="U1622">
            <v>785976</v>
          </cell>
          <cell r="V1622">
            <v>0</v>
          </cell>
          <cell r="W1622">
            <v>0</v>
          </cell>
          <cell r="X1622">
            <v>0</v>
          </cell>
          <cell r="Y1622">
            <v>2595</v>
          </cell>
          <cell r="Z1622">
            <v>3143899</v>
          </cell>
          <cell r="AA1622">
            <v>3146494</v>
          </cell>
          <cell r="AB1622" t="str">
            <v>EMIB</v>
          </cell>
          <cell r="AC1622">
            <v>1101</v>
          </cell>
          <cell r="AD1622">
            <v>2</v>
          </cell>
          <cell r="AE1622">
            <v>270875</v>
          </cell>
        </row>
        <row r="1623">
          <cell r="A1623" t="str">
            <v>SML</v>
          </cell>
          <cell r="B1623">
            <v>9</v>
          </cell>
          <cell r="C1623" t="str">
            <v>DMSU</v>
          </cell>
          <cell r="D1623">
            <v>95</v>
          </cell>
          <cell r="E1623">
            <v>3</v>
          </cell>
          <cell r="F1623" t="str">
            <v>A4</v>
          </cell>
          <cell r="G1623">
            <v>20</v>
          </cell>
          <cell r="H1623">
            <v>93</v>
          </cell>
          <cell r="I1623">
            <v>1248283</v>
          </cell>
          <cell r="J1623">
            <v>0</v>
          </cell>
          <cell r="K1623">
            <v>0</v>
          </cell>
          <cell r="L1623">
            <v>5619</v>
          </cell>
          <cell r="M1623">
            <v>0</v>
          </cell>
          <cell r="N1623">
            <v>0</v>
          </cell>
          <cell r="O1623">
            <v>14323632</v>
          </cell>
          <cell r="P1623">
            <v>4397804</v>
          </cell>
          <cell r="Q1623">
            <v>495388</v>
          </cell>
          <cell r="R1623">
            <v>139918</v>
          </cell>
          <cell r="S1623">
            <v>0</v>
          </cell>
          <cell r="T1623">
            <v>-143965</v>
          </cell>
          <cell r="U1623">
            <v>4849225</v>
          </cell>
          <cell r="V1623">
            <v>0</v>
          </cell>
          <cell r="W1623">
            <v>180015</v>
          </cell>
          <cell r="X1623">
            <v>0</v>
          </cell>
          <cell r="Y1623">
            <v>47229</v>
          </cell>
          <cell r="Z1623">
            <v>19396839</v>
          </cell>
          <cell r="AA1623">
            <v>19440021</v>
          </cell>
          <cell r="AB1623" t="str">
            <v>EMIB</v>
          </cell>
          <cell r="AC1623">
            <v>1101</v>
          </cell>
          <cell r="AD1623">
            <v>2</v>
          </cell>
          <cell r="AE1623">
            <v>1248283</v>
          </cell>
        </row>
        <row r="1624">
          <cell r="A1624" t="str">
            <v>SML</v>
          </cell>
          <cell r="B1624">
            <v>9</v>
          </cell>
          <cell r="C1624" t="str">
            <v>DMSU</v>
          </cell>
          <cell r="D1624">
            <v>95</v>
          </cell>
          <cell r="E1624">
            <v>3</v>
          </cell>
          <cell r="F1624" t="str">
            <v xml:space="preserve">B </v>
          </cell>
          <cell r="G1624">
            <v>0</v>
          </cell>
          <cell r="H1624">
            <v>4378</v>
          </cell>
          <cell r="I1624">
            <v>1775590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36988600</v>
          </cell>
          <cell r="P1624">
            <v>0</v>
          </cell>
          <cell r="Q1624">
            <v>0</v>
          </cell>
          <cell r="R1624">
            <v>429611</v>
          </cell>
          <cell r="S1624">
            <v>0</v>
          </cell>
          <cell r="T1624">
            <v>1823242</v>
          </cell>
          <cell r="U1624">
            <v>9185235</v>
          </cell>
          <cell r="V1624">
            <v>0</v>
          </cell>
          <cell r="W1624">
            <v>0</v>
          </cell>
          <cell r="X1624">
            <v>0</v>
          </cell>
          <cell r="Y1624">
            <v>2058873</v>
          </cell>
          <cell r="Z1624">
            <v>36988600</v>
          </cell>
          <cell r="AA1624">
            <v>41300326</v>
          </cell>
          <cell r="AB1624" t="str">
            <v>EMIB</v>
          </cell>
          <cell r="AC1624">
            <v>1101</v>
          </cell>
          <cell r="AD1624">
            <v>2</v>
          </cell>
          <cell r="AE1624">
            <v>1746794</v>
          </cell>
        </row>
        <row r="1625">
          <cell r="A1625" t="str">
            <v>SML</v>
          </cell>
          <cell r="B1625">
            <v>9</v>
          </cell>
          <cell r="C1625" t="str">
            <v>DMSU</v>
          </cell>
          <cell r="D1625">
            <v>95</v>
          </cell>
          <cell r="E1625">
            <v>5</v>
          </cell>
          <cell r="F1625" t="str">
            <v>A4</v>
          </cell>
          <cell r="G1625">
            <v>22</v>
          </cell>
          <cell r="H1625">
            <v>3</v>
          </cell>
          <cell r="I1625">
            <v>613578</v>
          </cell>
          <cell r="J1625">
            <v>51591</v>
          </cell>
          <cell r="K1625">
            <v>561987</v>
          </cell>
          <cell r="L1625">
            <v>3430</v>
          </cell>
          <cell r="M1625">
            <v>2200</v>
          </cell>
          <cell r="N1625">
            <v>1356</v>
          </cell>
          <cell r="O1625">
            <v>4329690</v>
          </cell>
          <cell r="P1625">
            <v>4327291</v>
          </cell>
          <cell r="Q1625">
            <v>91389</v>
          </cell>
          <cell r="R1625">
            <v>0</v>
          </cell>
          <cell r="S1625">
            <v>0</v>
          </cell>
          <cell r="T1625">
            <v>0</v>
          </cell>
          <cell r="U1625">
            <v>2187092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8748370</v>
          </cell>
          <cell r="AA1625">
            <v>8748370</v>
          </cell>
          <cell r="AB1625" t="str">
            <v>EMIB</v>
          </cell>
          <cell r="AC1625">
            <v>1101</v>
          </cell>
          <cell r="AD1625">
            <v>2</v>
          </cell>
          <cell r="AE1625">
            <v>613578</v>
          </cell>
        </row>
        <row r="1626">
          <cell r="A1626" t="str">
            <v>SML</v>
          </cell>
          <cell r="B1626">
            <v>9</v>
          </cell>
          <cell r="C1626" t="str">
            <v>DMSU</v>
          </cell>
          <cell r="D1626">
            <v>95</v>
          </cell>
          <cell r="E1626">
            <v>5</v>
          </cell>
          <cell r="F1626" t="str">
            <v>A4</v>
          </cell>
          <cell r="G1626">
            <v>21</v>
          </cell>
          <cell r="H1626">
            <v>3</v>
          </cell>
          <cell r="I1626">
            <v>796069</v>
          </cell>
          <cell r="J1626">
            <v>67509</v>
          </cell>
          <cell r="K1626">
            <v>728560</v>
          </cell>
          <cell r="L1626">
            <v>2261</v>
          </cell>
          <cell r="M1626">
            <v>2261</v>
          </cell>
          <cell r="N1626">
            <v>0</v>
          </cell>
          <cell r="O1626">
            <v>8854467</v>
          </cell>
          <cell r="P1626">
            <v>1561597</v>
          </cell>
          <cell r="Q1626">
            <v>22206</v>
          </cell>
          <cell r="R1626">
            <v>0</v>
          </cell>
          <cell r="S1626">
            <v>0</v>
          </cell>
          <cell r="T1626">
            <v>0</v>
          </cell>
          <cell r="U1626">
            <v>2609568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10438270</v>
          </cell>
          <cell r="AA1626">
            <v>10438270</v>
          </cell>
          <cell r="AB1626" t="str">
            <v>EMIB</v>
          </cell>
          <cell r="AC1626">
            <v>1101</v>
          </cell>
          <cell r="AD1626">
            <v>2</v>
          </cell>
          <cell r="AE1626">
            <v>796069</v>
          </cell>
        </row>
        <row r="1627">
          <cell r="A1627" t="str">
            <v>SML</v>
          </cell>
          <cell r="B1627">
            <v>9</v>
          </cell>
          <cell r="C1627" t="str">
            <v>DMSU</v>
          </cell>
          <cell r="D1627">
            <v>95</v>
          </cell>
          <cell r="E1627">
            <v>5</v>
          </cell>
          <cell r="F1627" t="str">
            <v>A4</v>
          </cell>
          <cell r="G1627">
            <v>20</v>
          </cell>
          <cell r="H1627">
            <v>12</v>
          </cell>
          <cell r="I1627">
            <v>170000</v>
          </cell>
          <cell r="J1627">
            <v>0</v>
          </cell>
          <cell r="K1627">
            <v>0</v>
          </cell>
          <cell r="L1627">
            <v>807</v>
          </cell>
          <cell r="M1627">
            <v>0</v>
          </cell>
          <cell r="N1627">
            <v>0</v>
          </cell>
          <cell r="O1627">
            <v>1910381</v>
          </cell>
          <cell r="P1627">
            <v>612632</v>
          </cell>
          <cell r="Q1627">
            <v>4325</v>
          </cell>
          <cell r="R1627">
            <v>3130</v>
          </cell>
          <cell r="S1627">
            <v>0</v>
          </cell>
          <cell r="T1627">
            <v>0</v>
          </cell>
          <cell r="U1627">
            <v>587756</v>
          </cell>
          <cell r="V1627">
            <v>0</v>
          </cell>
          <cell r="W1627">
            <v>1565</v>
          </cell>
          <cell r="X1627">
            <v>0</v>
          </cell>
          <cell r="Y1627">
            <v>0</v>
          </cell>
          <cell r="Z1627">
            <v>2528903</v>
          </cell>
          <cell r="AA1627">
            <v>2532033</v>
          </cell>
          <cell r="AB1627" t="str">
            <v>EMIB</v>
          </cell>
          <cell r="AC1627">
            <v>1101</v>
          </cell>
          <cell r="AD1627">
            <v>2</v>
          </cell>
          <cell r="AE1627">
            <v>170000</v>
          </cell>
        </row>
        <row r="1628">
          <cell r="A1628" t="str">
            <v>SML</v>
          </cell>
          <cell r="B1628">
            <v>9</v>
          </cell>
          <cell r="C1628" t="str">
            <v>DMSU</v>
          </cell>
          <cell r="D1628">
            <v>95</v>
          </cell>
          <cell r="E1628">
            <v>5</v>
          </cell>
          <cell r="F1628" t="str">
            <v xml:space="preserve">B </v>
          </cell>
          <cell r="G1628">
            <v>0</v>
          </cell>
          <cell r="H1628">
            <v>129</v>
          </cell>
          <cell r="I1628">
            <v>148175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2836397</v>
          </cell>
          <cell r="P1628">
            <v>0</v>
          </cell>
          <cell r="Q1628">
            <v>0</v>
          </cell>
          <cell r="R1628">
            <v>4158</v>
          </cell>
          <cell r="S1628">
            <v>0</v>
          </cell>
          <cell r="T1628">
            <v>170000</v>
          </cell>
          <cell r="U1628">
            <v>522798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2836397</v>
          </cell>
          <cell r="AA1628">
            <v>3010555</v>
          </cell>
          <cell r="AB1628" t="str">
            <v>EMIB</v>
          </cell>
          <cell r="AC1628">
            <v>1101</v>
          </cell>
          <cell r="AD1628">
            <v>2</v>
          </cell>
          <cell r="AE1628">
            <v>147889</v>
          </cell>
        </row>
        <row r="1629">
          <cell r="A1629" t="str">
            <v>SML</v>
          </cell>
          <cell r="B1629">
            <v>9</v>
          </cell>
          <cell r="C1629" t="str">
            <v>DMSU</v>
          </cell>
          <cell r="D1629">
            <v>95</v>
          </cell>
          <cell r="E1629">
            <v>7</v>
          </cell>
          <cell r="F1629" t="str">
            <v>A4</v>
          </cell>
          <cell r="G1629">
            <v>22</v>
          </cell>
          <cell r="H1629">
            <v>1</v>
          </cell>
          <cell r="I1629">
            <v>248118</v>
          </cell>
          <cell r="J1629">
            <v>19253</v>
          </cell>
          <cell r="K1629">
            <v>228865</v>
          </cell>
          <cell r="L1629">
            <v>847</v>
          </cell>
          <cell r="M1629">
            <v>427</v>
          </cell>
          <cell r="N1629">
            <v>420</v>
          </cell>
          <cell r="O1629">
            <v>1478267</v>
          </cell>
          <cell r="P1629">
            <v>989707</v>
          </cell>
          <cell r="Q1629">
            <v>62406</v>
          </cell>
          <cell r="R1629">
            <v>0</v>
          </cell>
          <cell r="S1629">
            <v>0</v>
          </cell>
          <cell r="T1629">
            <v>0</v>
          </cell>
          <cell r="U1629">
            <v>646382</v>
          </cell>
          <cell r="V1629">
            <v>0</v>
          </cell>
          <cell r="W1629">
            <v>55147</v>
          </cell>
          <cell r="X1629">
            <v>0</v>
          </cell>
          <cell r="Y1629">
            <v>0</v>
          </cell>
          <cell r="Z1629">
            <v>2585527</v>
          </cell>
          <cell r="AA1629">
            <v>2585527</v>
          </cell>
          <cell r="AB1629" t="str">
            <v>EMIB</v>
          </cell>
          <cell r="AC1629">
            <v>1101</v>
          </cell>
          <cell r="AD1629">
            <v>2</v>
          </cell>
          <cell r="AE1629">
            <v>248118</v>
          </cell>
        </row>
        <row r="1630">
          <cell r="A1630" t="str">
            <v>SML</v>
          </cell>
          <cell r="B1630">
            <v>9</v>
          </cell>
          <cell r="C1630" t="str">
            <v>DMSU</v>
          </cell>
          <cell r="D1630">
            <v>95</v>
          </cell>
          <cell r="E1630">
            <v>7</v>
          </cell>
          <cell r="F1630" t="str">
            <v>A4</v>
          </cell>
          <cell r="G1630">
            <v>20</v>
          </cell>
          <cell r="H1630">
            <v>3</v>
          </cell>
          <cell r="I1630">
            <v>26902</v>
          </cell>
          <cell r="J1630">
            <v>0</v>
          </cell>
          <cell r="K1630">
            <v>0</v>
          </cell>
          <cell r="L1630">
            <v>118</v>
          </cell>
          <cell r="M1630">
            <v>0</v>
          </cell>
          <cell r="N1630">
            <v>0</v>
          </cell>
          <cell r="O1630">
            <v>262384</v>
          </cell>
          <cell r="P1630">
            <v>78352</v>
          </cell>
          <cell r="Q1630">
            <v>5101</v>
          </cell>
          <cell r="R1630">
            <v>0</v>
          </cell>
          <cell r="S1630">
            <v>0</v>
          </cell>
          <cell r="T1630">
            <v>0</v>
          </cell>
          <cell r="U1630">
            <v>86625</v>
          </cell>
          <cell r="V1630">
            <v>0</v>
          </cell>
          <cell r="W1630">
            <v>664</v>
          </cell>
          <cell r="X1630">
            <v>0</v>
          </cell>
          <cell r="Y1630">
            <v>0</v>
          </cell>
          <cell r="Z1630">
            <v>346501</v>
          </cell>
          <cell r="AA1630">
            <v>346501</v>
          </cell>
          <cell r="AB1630" t="str">
            <v>EMIB</v>
          </cell>
          <cell r="AC1630">
            <v>1101</v>
          </cell>
          <cell r="AD1630">
            <v>2</v>
          </cell>
          <cell r="AE1630">
            <v>26902</v>
          </cell>
        </row>
        <row r="1631">
          <cell r="A1631" t="str">
            <v>SML</v>
          </cell>
          <cell r="B1631">
            <v>9</v>
          </cell>
          <cell r="C1631" t="str">
            <v>DMSU</v>
          </cell>
          <cell r="D1631">
            <v>95</v>
          </cell>
          <cell r="E1631">
            <v>7</v>
          </cell>
          <cell r="F1631" t="str">
            <v xml:space="preserve">B </v>
          </cell>
          <cell r="G1631">
            <v>0</v>
          </cell>
          <cell r="H1631">
            <v>17</v>
          </cell>
          <cell r="I1631">
            <v>6405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113336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28334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113336</v>
          </cell>
          <cell r="AA1631">
            <v>113336</v>
          </cell>
          <cell r="AB1631" t="str">
            <v>EMIB</v>
          </cell>
          <cell r="AC1631">
            <v>1101</v>
          </cell>
          <cell r="AD1631">
            <v>2</v>
          </cell>
          <cell r="AE1631">
            <v>6278</v>
          </cell>
        </row>
        <row r="1632">
          <cell r="A1632" t="str">
            <v>SML</v>
          </cell>
          <cell r="B1632">
            <v>9</v>
          </cell>
          <cell r="C1632" t="str">
            <v>DMSU</v>
          </cell>
          <cell r="D1632">
            <v>95</v>
          </cell>
          <cell r="E1632">
            <v>8</v>
          </cell>
          <cell r="F1632" t="str">
            <v xml:space="preserve">B </v>
          </cell>
          <cell r="G1632">
            <v>0</v>
          </cell>
          <cell r="H1632">
            <v>3</v>
          </cell>
          <cell r="I1632">
            <v>2603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54190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13547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54190</v>
          </cell>
          <cell r="AA1632">
            <v>54190</v>
          </cell>
          <cell r="AB1632" t="str">
            <v>EMIB</v>
          </cell>
          <cell r="AC1632">
            <v>1101</v>
          </cell>
          <cell r="AD1632">
            <v>2</v>
          </cell>
          <cell r="AE1632">
            <v>2603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BAL1001"/>
      <sheetName val="SINTETIC"/>
      <sheetName val="CurtoLongo"/>
      <sheetName val="Mensal"/>
      <sheetName val="Acumulado"/>
      <sheetName val="Trimestre"/>
      <sheetName val="BAT CONT X ADM"/>
      <sheetName val="ESTOQUE SÈ"/>
      <sheetName val="Módulo1"/>
      <sheetName val="Módulo3"/>
      <sheetName val="BancoSegment"/>
      <sheetName val="Critérios"/>
      <sheetName val="BAL1101"/>
      <sheetName val="Plan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Baixa Renda"/>
      <sheetName val="Relatório"/>
      <sheetName val="Link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96"/>
      <sheetName val="prebdg97"/>
      <sheetName val="mese"/>
      <sheetName val="ce"/>
      <sheetName val="Ativo"/>
      <sheetName val="Modelo C UPF"/>
      <sheetName val="UPF'S"/>
      <sheetName val="BDNF_Rec"/>
      <sheetName val="Critérios"/>
      <sheetName val="Cadastro"/>
      <sheetName val="CECO"/>
      <sheetName val="E1.11.1 - RECEBIMENTOS"/>
      <sheetName val="MENS_I_P"/>
      <sheetName val="E1.1.2 - RECEBIMENTOS"/>
      <sheetName val="Daily Register"/>
      <sheetName val="Trial Balance"/>
      <sheetName val="#REF"/>
      <sheetName val="TR"/>
      <sheetName val="INFO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E2.1-PCLD ANEEL 06-2006"/>
      <sheetName val="ELIMINAÇÕES"/>
      <sheetName val="Peso áreas e CPs"/>
      <sheetName val="RIS_TECNICHE"/>
      <sheetName val="BASE (2)"/>
      <sheetName val="ANEEL"/>
      <sheetName val="PÇO"/>
      <sheetName val="Cover"/>
      <sheetName val="PC"/>
      <sheetName val="Peso Liq."/>
      <sheetName val="ce99"/>
      <sheetName val="Modelo_C_UPF"/>
      <sheetName val="E1_11_1_-_RECEBIMENTOS"/>
      <sheetName val="E1_1_2_-_RECEBIMENTOS"/>
      <sheetName val="Daily_Register"/>
      <sheetName val="Trial_Balance"/>
      <sheetName val="Plan1"/>
      <sheetName val="Balancete"/>
      <sheetName val="GERREAL"/>
      <sheetName val="BAL1001"/>
      <sheetName val="EST-0902"/>
      <sheetName val="Macro"/>
      <sheetName val="CUSTO-0702"/>
      <sheetName val="p&amp;l1298"/>
      <sheetName val="p.5"/>
      <sheetName val="INDICES"/>
      <sheetName val="P_Par"/>
      <sheetName val="P_Prt"/>
    </sheetNames>
    <sheetDataSet>
      <sheetData sheetId="0" refreshError="1">
        <row r="2">
          <cell r="B2" t="str">
            <v>gen</v>
          </cell>
        </row>
        <row r="4">
          <cell r="B4" t="str">
            <v>gen</v>
          </cell>
          <cell r="R4" t="str">
            <v>gen</v>
          </cell>
        </row>
        <row r="67">
          <cell r="AC67">
            <v>94474.333197933302</v>
          </cell>
        </row>
      </sheetData>
      <sheetData sheetId="1" refreshError="1">
        <row r="2">
          <cell r="B2" t="str">
            <v>gen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mag</v>
          </cell>
          <cell r="G2" t="str">
            <v>giu</v>
          </cell>
          <cell r="H2" t="str">
            <v>lug</v>
          </cell>
          <cell r="I2" t="str">
            <v>ago</v>
          </cell>
          <cell r="J2" t="str">
            <v>set</v>
          </cell>
          <cell r="K2" t="str">
            <v>ott</v>
          </cell>
          <cell r="L2" t="str">
            <v>nov</v>
          </cell>
          <cell r="M2" t="str">
            <v>dic</v>
          </cell>
          <cell r="Q2" t="str">
            <v>gen</v>
          </cell>
        </row>
        <row r="3">
          <cell r="B3">
            <v>44449.469846656837</v>
          </cell>
          <cell r="C3">
            <v>82541.480835180118</v>
          </cell>
          <cell r="D3">
            <v>123494.75401878872</v>
          </cell>
          <cell r="E3">
            <v>168395.57504474826</v>
          </cell>
          <cell r="F3">
            <v>215492.29562843902</v>
          </cell>
          <cell r="G3">
            <v>255704.13575121551</v>
          </cell>
          <cell r="H3">
            <v>301078.62194736465</v>
          </cell>
          <cell r="I3">
            <v>333764.56150738569</v>
          </cell>
          <cell r="J3">
            <v>376962.40851812932</v>
          </cell>
          <cell r="K3">
            <v>425406.69103116344</v>
          </cell>
          <cell r="L3">
            <v>466706.13078539242</v>
          </cell>
          <cell r="M3">
            <v>512753</v>
          </cell>
        </row>
        <row r="4">
          <cell r="B4">
            <v>9111.2841819951536</v>
          </cell>
          <cell r="C4">
            <v>17158.872128121126</v>
          </cell>
          <cell r="D4">
            <v>25673.767790754031</v>
          </cell>
          <cell r="E4">
            <v>34922.681089154015</v>
          </cell>
          <cell r="F4">
            <v>44349.08651129825</v>
          </cell>
          <cell r="G4">
            <v>52431.241257213806</v>
          </cell>
          <cell r="H4">
            <v>61551.594560487494</v>
          </cell>
          <cell r="I4">
            <v>67809.144692635178</v>
          </cell>
          <cell r="J4">
            <v>75841.544821388874</v>
          </cell>
          <cell r="K4">
            <v>84842.647925415324</v>
          </cell>
          <cell r="L4">
            <v>92540.105547802857</v>
          </cell>
          <cell r="M4">
            <v>101001</v>
          </cell>
        </row>
        <row r="5">
          <cell r="B5">
            <v>53560.754028651994</v>
          </cell>
          <cell r="C5">
            <v>99700.352963301237</v>
          </cell>
          <cell r="D5">
            <v>149168.52180954276</v>
          </cell>
          <cell r="E5">
            <v>203318.25613390226</v>
          </cell>
          <cell r="F5">
            <v>259841.38213973728</v>
          </cell>
          <cell r="G5">
            <v>308135.37700842932</v>
          </cell>
          <cell r="H5">
            <v>362630.21650785214</v>
          </cell>
          <cell r="I5">
            <v>401573.70620002085</v>
          </cell>
          <cell r="J5">
            <v>452803.95333951816</v>
          </cell>
          <cell r="K5">
            <v>510249.33895657875</v>
          </cell>
          <cell r="L5">
            <v>559246.23633319524</v>
          </cell>
          <cell r="M5">
            <v>613754</v>
          </cell>
        </row>
        <row r="7">
          <cell r="B7">
            <v>3444.6487627626088</v>
          </cell>
          <cell r="C7">
            <v>7103.7422656669823</v>
          </cell>
          <cell r="D7">
            <v>10769.081731876457</v>
          </cell>
          <cell r="E7">
            <v>14636.374011617494</v>
          </cell>
          <cell r="F7">
            <v>18398.525909056018</v>
          </cell>
          <cell r="G7">
            <v>21408.039228229998</v>
          </cell>
          <cell r="H7">
            <v>24224.968678830064</v>
          </cell>
          <cell r="I7">
            <v>27468.705621945293</v>
          </cell>
          <cell r="J7">
            <v>30305.413956344844</v>
          </cell>
          <cell r="K7">
            <v>33883.061014129424</v>
          </cell>
          <cell r="L7">
            <v>37000.958922244492</v>
          </cell>
          <cell r="M7">
            <v>40681</v>
          </cell>
        </row>
        <row r="8">
          <cell r="B8">
            <v>1760.1448210725155</v>
          </cell>
          <cell r="C8">
            <v>3303.0802812467205</v>
          </cell>
          <cell r="D8">
            <v>4917.705530485885</v>
          </cell>
          <cell r="E8">
            <v>6691.760310630706</v>
          </cell>
          <cell r="F8">
            <v>8492.5650120684222</v>
          </cell>
          <cell r="G8">
            <v>10099.700283345577</v>
          </cell>
          <cell r="H8">
            <v>11950.794836813937</v>
          </cell>
          <cell r="I8">
            <v>13288.290901458706</v>
          </cell>
          <cell r="J8">
            <v>14869.746248294679</v>
          </cell>
          <cell r="K8">
            <v>16828.769534064613</v>
          </cell>
          <cell r="L8">
            <v>18523.393173573291</v>
          </cell>
          <cell r="M8">
            <v>20392</v>
          </cell>
        </row>
        <row r="9">
          <cell r="B9">
            <v>5204.7935838351241</v>
          </cell>
          <cell r="C9">
            <v>10406.822546913703</v>
          </cell>
          <cell r="D9">
            <v>15686.787262362341</v>
          </cell>
          <cell r="E9">
            <v>21328.134322248199</v>
          </cell>
          <cell r="F9">
            <v>26891.09092112444</v>
          </cell>
          <cell r="G9">
            <v>31507.739511575575</v>
          </cell>
          <cell r="H9">
            <v>36175.763515644001</v>
          </cell>
          <cell r="I9">
            <v>40756.996523403999</v>
          </cell>
          <cell r="J9">
            <v>45175.160204639527</v>
          </cell>
          <cell r="K9">
            <v>50711.830548194033</v>
          </cell>
          <cell r="L9">
            <v>55524.352095817783</v>
          </cell>
          <cell r="M9">
            <v>61073</v>
          </cell>
        </row>
        <row r="10">
          <cell r="B10">
            <v>1235.1524879614767</v>
          </cell>
          <cell r="C10">
            <v>3096.548956661316</v>
          </cell>
          <cell r="D10">
            <v>4295.9470304975921</v>
          </cell>
          <cell r="E10">
            <v>5523.5152487961477</v>
          </cell>
          <cell r="F10">
            <v>6863.7640449438204</v>
          </cell>
          <cell r="G10">
            <v>8224.5987158908501</v>
          </cell>
          <cell r="H10">
            <v>10199.759229534509</v>
          </cell>
          <cell r="I10">
            <v>10995.024077046548</v>
          </cell>
          <cell r="J10">
            <v>12103.410914927768</v>
          </cell>
          <cell r="K10">
            <v>13307.15789809343</v>
          </cell>
          <cell r="L10">
            <v>14605.697100996045</v>
          </cell>
          <cell r="M10">
            <v>16875</v>
          </cell>
        </row>
        <row r="11">
          <cell r="B11">
            <v>6439.9460717966012</v>
          </cell>
          <cell r="C11">
            <v>13503.371503575019</v>
          </cell>
          <cell r="D11">
            <v>19982.734292859932</v>
          </cell>
          <cell r="E11">
            <v>26851.649571044349</v>
          </cell>
          <cell r="F11">
            <v>33754.854966068262</v>
          </cell>
          <cell r="G11">
            <v>39732.338227466425</v>
          </cell>
          <cell r="H11">
            <v>46375.52274517851</v>
          </cell>
          <cell r="I11">
            <v>51752.020600450545</v>
          </cell>
          <cell r="J11">
            <v>57278.571119567292</v>
          </cell>
          <cell r="K11">
            <v>64018.988446287462</v>
          </cell>
          <cell r="L11">
            <v>70130.049196813823</v>
          </cell>
          <cell r="M11">
            <v>77948</v>
          </cell>
        </row>
        <row r="13">
          <cell r="B13">
            <v>2760.1745242877078</v>
          </cell>
          <cell r="C13">
            <v>5844.2415154712871</v>
          </cell>
          <cell r="D13">
            <v>8849.7891207407156</v>
          </cell>
          <cell r="E13">
            <v>11244.630391122308</v>
          </cell>
          <cell r="F13">
            <v>13551.137352350479</v>
          </cell>
          <cell r="G13">
            <v>15289.469312727644</v>
          </cell>
          <cell r="H13">
            <v>17518.547435068249</v>
          </cell>
          <cell r="I13">
            <v>20312.528917180105</v>
          </cell>
          <cell r="J13">
            <v>22782.61793239609</v>
          </cell>
          <cell r="K13">
            <v>25614.868516933777</v>
          </cell>
          <cell r="L13">
            <v>28432.675542625886</v>
          </cell>
          <cell r="M13">
            <v>32037</v>
          </cell>
        </row>
        <row r="14">
          <cell r="B14">
            <v>2730.6014757219932</v>
          </cell>
          <cell r="C14">
            <v>5851.288876547128</v>
          </cell>
          <cell r="D14">
            <v>9118.1179784195501</v>
          </cell>
          <cell r="E14">
            <v>11515.966042526183</v>
          </cell>
          <cell r="F14">
            <v>14199.352507140591</v>
          </cell>
          <cell r="G14">
            <v>15964.294589019361</v>
          </cell>
          <cell r="H14">
            <v>18200.262615042844</v>
          </cell>
          <cell r="I14">
            <v>19895.506347191367</v>
          </cell>
          <cell r="J14">
            <v>22315.837749920662</v>
          </cell>
          <cell r="K14">
            <v>23947.605773673287</v>
          </cell>
          <cell r="L14">
            <v>25696.412286385053</v>
          </cell>
          <cell r="M14">
            <v>28338</v>
          </cell>
        </row>
        <row r="15">
          <cell r="B15">
            <v>1350.2697749744289</v>
          </cell>
          <cell r="C15">
            <v>2461.1055233549268</v>
          </cell>
          <cell r="D15">
            <v>3799.8640470508017</v>
          </cell>
          <cell r="E15">
            <v>5136.320320490966</v>
          </cell>
          <cell r="F15">
            <v>6235.644817592909</v>
          </cell>
          <cell r="G15">
            <v>7102.4420388680537</v>
          </cell>
          <cell r="H15">
            <v>8178.7440334128878</v>
          </cell>
          <cell r="I15">
            <v>9030.5766280259122</v>
          </cell>
          <cell r="J15">
            <v>10128.75</v>
          </cell>
          <cell r="K15">
            <v>11121.964106425703</v>
          </cell>
          <cell r="L15">
            <v>12197.663570950468</v>
          </cell>
          <cell r="M15">
            <v>13505</v>
          </cell>
        </row>
        <row r="16">
          <cell r="B16">
            <v>221.76870748299319</v>
          </cell>
          <cell r="C16">
            <v>531.97278911564626</v>
          </cell>
          <cell r="D16">
            <v>770.06802721088434</v>
          </cell>
          <cell r="E16">
            <v>987.75510204081638</v>
          </cell>
          <cell r="F16">
            <v>1171.4285714285716</v>
          </cell>
          <cell r="G16">
            <v>1374.1496598639458</v>
          </cell>
          <cell r="H16">
            <v>1555.1020408163267</v>
          </cell>
          <cell r="I16">
            <v>1896.5986394557826</v>
          </cell>
          <cell r="J16">
            <v>2127.8911564625855</v>
          </cell>
          <cell r="K16">
            <v>2322.2688668135283</v>
          </cell>
          <cell r="L16">
            <v>2496.113720437259</v>
          </cell>
          <cell r="M16">
            <v>2800</v>
          </cell>
        </row>
        <row r="17">
          <cell r="B17">
            <v>7062.8144824671226</v>
          </cell>
          <cell r="C17">
            <v>14688.60870448899</v>
          </cell>
          <cell r="D17">
            <v>22537.839173421951</v>
          </cell>
          <cell r="E17">
            <v>28884.671856180274</v>
          </cell>
          <cell r="F17">
            <v>35157.563248512553</v>
          </cell>
          <cell r="G17">
            <v>39730.355600479001</v>
          </cell>
          <cell r="H17">
            <v>45452.656124340305</v>
          </cell>
          <cell r="I17">
            <v>51135.210531853169</v>
          </cell>
          <cell r="J17">
            <v>57355.09683877934</v>
          </cell>
          <cell r="K17">
            <v>63006.707263846292</v>
          </cell>
          <cell r="L17">
            <v>68822.865120398666</v>
          </cell>
          <cell r="M17">
            <v>76680</v>
          </cell>
        </row>
        <row r="19">
          <cell r="B19">
            <v>13502.760554263725</v>
          </cell>
          <cell r="C19">
            <v>28191.980208064007</v>
          </cell>
          <cell r="D19">
            <v>42520.573466281887</v>
          </cell>
          <cell r="E19">
            <v>55736.321427224626</v>
          </cell>
          <cell r="F19">
            <v>68912.418214580815</v>
          </cell>
          <cell r="G19">
            <v>79462.693827945419</v>
          </cell>
          <cell r="H19">
            <v>91828.178869518815</v>
          </cell>
          <cell r="I19">
            <v>102887.23113230371</v>
          </cell>
          <cell r="J19">
            <v>114633.66795834663</v>
          </cell>
          <cell r="K19">
            <v>127025.69571013376</v>
          </cell>
          <cell r="L19">
            <v>138952.91431721247</v>
          </cell>
          <cell r="M19">
            <v>154628</v>
          </cell>
        </row>
        <row r="21">
          <cell r="B21">
            <v>1013.5022850020773</v>
          </cell>
          <cell r="C21">
            <v>2270.6688824262569</v>
          </cell>
          <cell r="D21">
            <v>4109.3338872732311</v>
          </cell>
          <cell r="E21">
            <v>6415.3164381664592</v>
          </cell>
          <cell r="F21">
            <v>8241.0330979088776</v>
          </cell>
          <cell r="G21">
            <v>9732.4470294972998</v>
          </cell>
          <cell r="H21">
            <v>11034.344273646309</v>
          </cell>
          <cell r="I21">
            <v>12003.115911923556</v>
          </cell>
          <cell r="J21">
            <v>12971.887550200803</v>
          </cell>
          <cell r="K21">
            <v>14230.975647475581</v>
          </cell>
          <cell r="L21">
            <v>15639.118447315132</v>
          </cell>
          <cell r="M21">
            <v>17000</v>
          </cell>
        </row>
        <row r="22">
          <cell r="B22">
            <v>373.1764705882353</v>
          </cell>
          <cell r="C22">
            <v>647.45098039215691</v>
          </cell>
          <cell r="D22">
            <v>851.37254901960796</v>
          </cell>
          <cell r="E22">
            <v>1189.8823529411766</v>
          </cell>
          <cell r="F22">
            <v>1517.1764705882354</v>
          </cell>
          <cell r="G22">
            <v>1814.9019607843138</v>
          </cell>
          <cell r="H22">
            <v>2119.7647058823532</v>
          </cell>
          <cell r="I22">
            <v>2349.1764705882356</v>
          </cell>
          <cell r="J22">
            <v>2551.0588235294122</v>
          </cell>
          <cell r="K22">
            <v>2820.6991915249519</v>
          </cell>
          <cell r="L22">
            <v>2966.3049902425432</v>
          </cell>
          <cell r="M22">
            <v>3120</v>
          </cell>
        </row>
        <row r="23">
          <cell r="B23">
            <v>19.047619047619051</v>
          </cell>
          <cell r="C23">
            <v>42.857142857142861</v>
          </cell>
          <cell r="D23">
            <v>77.142857142857139</v>
          </cell>
          <cell r="E23">
            <v>291.42857142857144</v>
          </cell>
          <cell r="F23">
            <v>624.76190476190482</v>
          </cell>
          <cell r="G23">
            <v>1072.3809523809525</v>
          </cell>
          <cell r="H23">
            <v>1191.4285714285716</v>
          </cell>
          <cell r="I23">
            <v>1203.8095238095239</v>
          </cell>
          <cell r="J23">
            <v>1214.2857142857142</v>
          </cell>
          <cell r="K23">
            <v>1362.9766647694935</v>
          </cell>
          <cell r="L23">
            <v>1605.5776892430279</v>
          </cell>
          <cell r="M23">
            <v>2000</v>
          </cell>
        </row>
        <row r="24">
          <cell r="B24">
            <v>608.42874683955085</v>
          </cell>
          <cell r="C24">
            <v>1132.5561395284369</v>
          </cell>
          <cell r="D24">
            <v>1694.4947553191214</v>
          </cell>
          <cell r="E24">
            <v>2309.6140827849053</v>
          </cell>
          <cell r="F24">
            <v>2951.6941906337856</v>
          </cell>
          <cell r="G24">
            <v>3500.2946595912522</v>
          </cell>
          <cell r="H24">
            <v>4119.3342438383215</v>
          </cell>
          <cell r="I24">
            <v>4561.7167132540817</v>
          </cell>
          <cell r="J24">
            <v>5143.6718338016881</v>
          </cell>
          <cell r="K24">
            <v>5796.2284420228098</v>
          </cell>
          <cell r="L24">
            <v>6352.8136023798425</v>
          </cell>
          <cell r="M24">
            <v>6972</v>
          </cell>
        </row>
        <row r="25">
          <cell r="B25">
            <v>2014.1551214774827</v>
          </cell>
          <cell r="C25">
            <v>4093.5331452039936</v>
          </cell>
          <cell r="D25">
            <v>6732.3440487548178</v>
          </cell>
          <cell r="E25">
            <v>10206.241445321113</v>
          </cell>
          <cell r="F25">
            <v>13334.665663892803</v>
          </cell>
          <cell r="G25">
            <v>16120.024602253819</v>
          </cell>
          <cell r="H25">
            <v>18464.871794795556</v>
          </cell>
          <cell r="I25">
            <v>20117.818619575399</v>
          </cell>
          <cell r="J25">
            <v>21880.903921817619</v>
          </cell>
          <cell r="K25">
            <v>24210.879945792836</v>
          </cell>
          <cell r="L25">
            <v>26563.814729180547</v>
          </cell>
          <cell r="M25">
            <v>29092</v>
          </cell>
        </row>
        <row r="26">
          <cell r="B26">
            <v>15516.915675741207</v>
          </cell>
          <cell r="C26">
            <v>32285.513353268001</v>
          </cell>
          <cell r="D26">
            <v>49252.917515036708</v>
          </cell>
          <cell r="E26">
            <v>65942.562872545735</v>
          </cell>
          <cell r="F26">
            <v>82247.083878473612</v>
          </cell>
          <cell r="G26">
            <v>95582.718430199238</v>
          </cell>
          <cell r="H26">
            <v>110293.05066431437</v>
          </cell>
          <cell r="I26">
            <v>123005.04975187911</v>
          </cell>
          <cell r="J26">
            <v>136514.57188016427</v>
          </cell>
          <cell r="K26">
            <v>151236.5756559266</v>
          </cell>
          <cell r="L26">
            <v>165516.72904639301</v>
          </cell>
          <cell r="M26">
            <v>183720</v>
          </cell>
        </row>
        <row r="27">
          <cell r="B27">
            <v>69077.669704393207</v>
          </cell>
          <cell r="C27">
            <v>131985.86631656924</v>
          </cell>
          <cell r="D27">
            <v>198421.43932457946</v>
          </cell>
          <cell r="E27">
            <v>269260.81900644803</v>
          </cell>
          <cell r="F27">
            <v>342088.46601821086</v>
          </cell>
          <cell r="G27">
            <v>403718.09543862857</v>
          </cell>
          <cell r="H27">
            <v>472923.2671721665</v>
          </cell>
          <cell r="I27">
            <v>524578.75595189992</v>
          </cell>
          <cell r="J27">
            <v>589318.52521968237</v>
          </cell>
          <cell r="K27">
            <v>661485.91461250535</v>
          </cell>
          <cell r="L27">
            <v>724762.96537958831</v>
          </cell>
          <cell r="M27">
            <v>797474</v>
          </cell>
        </row>
        <row r="29">
          <cell r="B29">
            <v>9838</v>
          </cell>
          <cell r="C29">
            <v>19114</v>
          </cell>
          <cell r="D29">
            <v>27797</v>
          </cell>
          <cell r="E29">
            <v>37265</v>
          </cell>
          <cell r="F29">
            <v>46894</v>
          </cell>
          <cell r="G29">
            <v>61986</v>
          </cell>
          <cell r="H29">
            <v>75420</v>
          </cell>
          <cell r="I29">
            <v>83145</v>
          </cell>
          <cell r="J29">
            <v>91819</v>
          </cell>
          <cell r="K29">
            <v>102487</v>
          </cell>
          <cell r="L29">
            <v>111943</v>
          </cell>
          <cell r="M29">
            <v>143043</v>
          </cell>
        </row>
        <row r="31">
          <cell r="B31">
            <v>78915.669704393207</v>
          </cell>
          <cell r="C31">
            <v>151099.86631656924</v>
          </cell>
          <cell r="D31">
            <v>226218.43932457946</v>
          </cell>
          <cell r="E31">
            <v>306525.81900644803</v>
          </cell>
          <cell r="F31">
            <v>388982.46601821086</v>
          </cell>
          <cell r="G31">
            <v>465704.09543862857</v>
          </cell>
          <cell r="H31">
            <v>548343.2671721665</v>
          </cell>
          <cell r="I31">
            <v>607723.75595189992</v>
          </cell>
          <cell r="J31">
            <v>681137.52521968237</v>
          </cell>
          <cell r="K31">
            <v>763972.91461250535</v>
          </cell>
          <cell r="L31">
            <v>836705.96537958831</v>
          </cell>
          <cell r="M31">
            <v>940517</v>
          </cell>
        </row>
        <row r="63">
          <cell r="AB63">
            <v>112191.03574721239</v>
          </cell>
        </row>
      </sheetData>
      <sheetData sheetId="2">
        <row r="2">
          <cell r="B2" t="str">
            <v>gen</v>
          </cell>
        </row>
      </sheetData>
      <sheetData sheetId="3">
        <row r="2">
          <cell r="B2" t="str">
            <v>gen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RESULTADO ACUM"/>
      <sheetName val="RESULTADO DO MÊS"/>
      <sheetName val="RESULTADO MÊS A MÊS"/>
      <sheetName val="Finança"/>
      <sheetName val="ATIVO"/>
      <sheetName val="PASSIVO"/>
    </sheetNames>
    <sheetDataSet>
      <sheetData sheetId="0">
        <row r="1">
          <cell r="A1" t="str">
            <v>CONTAS</v>
          </cell>
        </row>
      </sheetData>
      <sheetData sheetId="1"/>
      <sheetData sheetId="2"/>
      <sheetData sheetId="3" refreshError="1">
        <row r="1">
          <cell r="A1" t="str">
            <v>CONTAS</v>
          </cell>
          <cell r="B1" t="str">
            <v>Banco Fininvest S.A.</v>
          </cell>
        </row>
        <row r="3">
          <cell r="B3" t="str">
            <v>C.G.C.: 33.098.518/0001-69</v>
          </cell>
        </row>
        <row r="4">
          <cell r="B4" t="str">
            <v>Av. Presidente Wilson, 231 - 2º e 11º andares (partes)</v>
          </cell>
        </row>
        <row r="7">
          <cell r="D7" t="str">
            <v>JANEIRO</v>
          </cell>
          <cell r="F7" t="str">
            <v>FEVEREIRO</v>
          </cell>
          <cell r="H7" t="str">
            <v>MARÇO</v>
          </cell>
          <cell r="J7" t="str">
            <v>ABRIL</v>
          </cell>
          <cell r="L7" t="str">
            <v>MAIO</v>
          </cell>
          <cell r="N7" t="str">
            <v>JUNHO</v>
          </cell>
          <cell r="P7" t="str">
            <v>JULHO</v>
          </cell>
          <cell r="R7" t="str">
            <v>AGOSTO</v>
          </cell>
          <cell r="T7" t="str">
            <v>SETEMBRO</v>
          </cell>
          <cell r="V7" t="str">
            <v>OUTUBRO</v>
          </cell>
          <cell r="X7" t="str">
            <v>NOVEMBRO</v>
          </cell>
          <cell r="Z7" t="str">
            <v>DEZEMBRO</v>
          </cell>
          <cell r="AB7" t="str">
            <v>ACUMULADO</v>
          </cell>
          <cell r="AF7" t="str">
            <v>ACUM. 1º SEM.</v>
          </cell>
          <cell r="AH7" t="str">
            <v>ACUM. 2º SEM.</v>
          </cell>
        </row>
        <row r="9">
          <cell r="A9">
            <v>71</v>
          </cell>
          <cell r="B9" t="str">
            <v>RECEITAS OPERACIONAIS</v>
          </cell>
          <cell r="D9">
            <v>34239747.310000002</v>
          </cell>
          <cell r="E9">
            <v>0</v>
          </cell>
          <cell r="F9">
            <v>30040551.129999995</v>
          </cell>
          <cell r="H9">
            <v>41429152.109999999</v>
          </cell>
          <cell r="J9">
            <v>32130224.390000001</v>
          </cell>
          <cell r="L9">
            <v>36609612.320000008</v>
          </cell>
          <cell r="N9">
            <v>44998709.609999999</v>
          </cell>
          <cell r="P9">
            <v>35087195.32</v>
          </cell>
          <cell r="R9">
            <v>38553571.800000004</v>
          </cell>
          <cell r="T9">
            <v>46375774.830000006</v>
          </cell>
          <cell r="V9">
            <v>198993222.35000002</v>
          </cell>
          <cell r="X9">
            <v>99214267</v>
          </cell>
          <cell r="Z9">
            <v>129654102.02000001</v>
          </cell>
          <cell r="AB9">
            <v>768719633.1400001</v>
          </cell>
          <cell r="AF9">
            <v>219645482.68999997</v>
          </cell>
          <cell r="AH9">
            <v>549074150.45000005</v>
          </cell>
        </row>
        <row r="11">
          <cell r="A11">
            <v>711</v>
          </cell>
          <cell r="B11" t="str">
            <v xml:space="preserve">  . Rendas de Operação de Crédito</v>
          </cell>
          <cell r="D11">
            <v>29759490.100000001</v>
          </cell>
          <cell r="E11">
            <v>0</v>
          </cell>
          <cell r="F11">
            <v>26620146.379999995</v>
          </cell>
          <cell r="H11">
            <v>29076516.289999999</v>
          </cell>
          <cell r="J11">
            <v>28197408.080000006</v>
          </cell>
          <cell r="L11">
            <v>29341899.850000005</v>
          </cell>
          <cell r="N11">
            <v>25138356.530000001</v>
          </cell>
          <cell r="P11">
            <v>28359320.479999997</v>
          </cell>
          <cell r="R11">
            <v>28539170.420000002</v>
          </cell>
          <cell r="T11">
            <v>28197152.570000004</v>
          </cell>
          <cell r="V11">
            <v>59061686.470000006</v>
          </cell>
          <cell r="X11">
            <v>67093284.460000008</v>
          </cell>
          <cell r="Z11">
            <v>76425737.829999998</v>
          </cell>
          <cell r="AB11">
            <v>455810169.46000004</v>
          </cell>
          <cell r="AF11">
            <v>168133817.22999999</v>
          </cell>
          <cell r="AH11">
            <v>287676352.23000002</v>
          </cell>
        </row>
        <row r="12">
          <cell r="A12">
            <v>71103</v>
          </cell>
          <cell r="B12" t="str">
            <v xml:space="preserve">     Rendas de Adiantamentos a Depositantes</v>
          </cell>
          <cell r="D12">
            <v>14938.84</v>
          </cell>
          <cell r="F12">
            <v>1653.64</v>
          </cell>
          <cell r="H12">
            <v>431.76000000000204</v>
          </cell>
          <cell r="J12">
            <v>65336.29</v>
          </cell>
          <cell r="L12">
            <v>40973.96</v>
          </cell>
          <cell r="N12">
            <v>2537.14</v>
          </cell>
          <cell r="P12">
            <v>256.72000000000003</v>
          </cell>
          <cell r="R12">
            <v>3618.22</v>
          </cell>
          <cell r="T12">
            <v>87.799999999999727</v>
          </cell>
          <cell r="V12">
            <v>250.74</v>
          </cell>
          <cell r="X12">
            <v>511.63</v>
          </cell>
          <cell r="Z12">
            <v>1320.83</v>
          </cell>
          <cell r="AB12">
            <v>131917.57</v>
          </cell>
          <cell r="AF12">
            <v>125871.62999999999</v>
          </cell>
          <cell r="AH12">
            <v>6045.94</v>
          </cell>
        </row>
        <row r="14">
          <cell r="A14">
            <v>71105</v>
          </cell>
          <cell r="B14" t="str">
            <v xml:space="preserve">     Rendas de Emprestimos </v>
          </cell>
          <cell r="D14">
            <v>19032693.990000002</v>
          </cell>
          <cell r="E14">
            <v>0</v>
          </cell>
          <cell r="F14">
            <v>17215405.049999997</v>
          </cell>
          <cell r="H14">
            <v>18893782.599999998</v>
          </cell>
          <cell r="J14">
            <v>18453846.220000006</v>
          </cell>
          <cell r="L14">
            <v>19106745.350000001</v>
          </cell>
          <cell r="N14">
            <v>15262762.860000003</v>
          </cell>
          <cell r="P14">
            <v>18053423.229999997</v>
          </cell>
          <cell r="R14">
            <v>18346176.109999999</v>
          </cell>
          <cell r="T14">
            <v>18080683.720000003</v>
          </cell>
          <cell r="V14">
            <v>41195051.420000002</v>
          </cell>
          <cell r="X14">
            <v>48411762.680000015</v>
          </cell>
          <cell r="Z14">
            <v>53417056.260000005</v>
          </cell>
          <cell r="AB14">
            <v>305469389.49000001</v>
          </cell>
          <cell r="AF14">
            <v>107965236.06999999</v>
          </cell>
          <cell r="AH14">
            <v>197504153.42000002</v>
          </cell>
        </row>
        <row r="15">
          <cell r="A15">
            <v>711050001</v>
          </cell>
          <cell r="B15" t="str">
            <v xml:space="preserve">  -  CDE - Cartão Fininvest Visa</v>
          </cell>
          <cell r="D15">
            <v>7938748.9400000004</v>
          </cell>
          <cell r="F15">
            <v>7468109.7399999993</v>
          </cell>
          <cell r="H15">
            <v>8419819.9699999988</v>
          </cell>
          <cell r="J15">
            <v>8416448.2900000028</v>
          </cell>
          <cell r="L15">
            <v>8715110.4899999984</v>
          </cell>
          <cell r="N15">
            <v>5446298.9200000018</v>
          </cell>
          <cell r="P15">
            <v>7513735.96</v>
          </cell>
          <cell r="R15">
            <v>7594467.6499999994</v>
          </cell>
          <cell r="T15">
            <v>7387235.5899999999</v>
          </cell>
          <cell r="V15">
            <v>11461878.09</v>
          </cell>
          <cell r="X15">
            <v>15830122.460000001</v>
          </cell>
          <cell r="Z15">
            <v>18398101.260000005</v>
          </cell>
          <cell r="AB15">
            <v>114590077.36</v>
          </cell>
          <cell r="AF15">
            <v>46404536.350000001</v>
          </cell>
          <cell r="AH15">
            <v>68185541.010000005</v>
          </cell>
        </row>
        <row r="16">
          <cell r="A16">
            <v>711050002</v>
          </cell>
          <cell r="B16" t="str">
            <v xml:space="preserve">  -  Capital de Giro</v>
          </cell>
          <cell r="D16">
            <v>6807.79</v>
          </cell>
          <cell r="F16">
            <v>7236.87</v>
          </cell>
          <cell r="H16">
            <v>6269.05</v>
          </cell>
          <cell r="J16">
            <v>6460.8</v>
          </cell>
          <cell r="L16">
            <v>38917.760000000002</v>
          </cell>
          <cell r="N16">
            <v>59577.71</v>
          </cell>
          <cell r="P16">
            <v>102443.82</v>
          </cell>
          <cell r="R16">
            <v>115161.26</v>
          </cell>
          <cell r="T16">
            <v>219884.1</v>
          </cell>
          <cell r="V16">
            <v>410818.12</v>
          </cell>
          <cell r="X16">
            <v>374371.76</v>
          </cell>
          <cell r="Z16">
            <v>95673.49</v>
          </cell>
          <cell r="AB16">
            <v>1443622.53</v>
          </cell>
          <cell r="AF16">
            <v>125269.98000000001</v>
          </cell>
          <cell r="AH16">
            <v>1318352.55</v>
          </cell>
        </row>
        <row r="17">
          <cell r="A17">
            <v>711050003</v>
          </cell>
          <cell r="B17" t="str">
            <v xml:space="preserve">  -  SCE - Cartão Loja</v>
          </cell>
          <cell r="D17">
            <v>1267533.5</v>
          </cell>
          <cell r="F17">
            <v>1175758.6100000001</v>
          </cell>
          <cell r="H17">
            <v>1420738.06</v>
          </cell>
          <cell r="J17">
            <v>1491865.05</v>
          </cell>
          <cell r="L17">
            <v>1597867.36</v>
          </cell>
          <cell r="N17">
            <v>2130346.12</v>
          </cell>
          <cell r="P17">
            <v>1582093.88</v>
          </cell>
          <cell r="R17">
            <v>1650083.02</v>
          </cell>
          <cell r="T17">
            <v>1642637.69</v>
          </cell>
          <cell r="V17">
            <v>3163571.5</v>
          </cell>
          <cell r="X17">
            <v>4921651.7699999996</v>
          </cell>
          <cell r="Z17">
            <v>4687278.07</v>
          </cell>
          <cell r="AB17">
            <v>26731424.629999999</v>
          </cell>
          <cell r="AF17">
            <v>9084108.7000000011</v>
          </cell>
          <cell r="AH17">
            <v>17647315.93</v>
          </cell>
        </row>
        <row r="18">
          <cell r="A18">
            <v>711050004</v>
          </cell>
          <cell r="B18" t="str">
            <v xml:space="preserve">  -  Giro Comercial</v>
          </cell>
          <cell r="D18">
            <v>5495541.8399999999</v>
          </cell>
          <cell r="F18">
            <v>4693359.7</v>
          </cell>
          <cell r="H18">
            <v>4721696.76</v>
          </cell>
          <cell r="J18">
            <v>4180089.13</v>
          </cell>
          <cell r="L18">
            <v>4089669.95</v>
          </cell>
          <cell r="N18">
            <v>3918214.91</v>
          </cell>
          <cell r="P18">
            <v>3909576.86</v>
          </cell>
          <cell r="R18">
            <v>3876459.7</v>
          </cell>
          <cell r="T18">
            <v>3694414.91</v>
          </cell>
          <cell r="V18">
            <v>3872716.77</v>
          </cell>
          <cell r="X18">
            <v>3817598.44</v>
          </cell>
          <cell r="Z18">
            <v>4073703.86</v>
          </cell>
          <cell r="AB18">
            <v>50343042.830000006</v>
          </cell>
          <cell r="AF18">
            <v>27098572.289999999</v>
          </cell>
          <cell r="AH18">
            <v>23244470.539999999</v>
          </cell>
        </row>
        <row r="19">
          <cell r="A19">
            <v>711050005</v>
          </cell>
          <cell r="B19" t="str">
            <v xml:space="preserve">  -  Rendas de Emprestimos / Contratos de Mutuo</v>
          </cell>
          <cell r="D19">
            <v>2707.59</v>
          </cell>
          <cell r="F19">
            <v>2375.61</v>
          </cell>
          <cell r="H19">
            <v>2542.62</v>
          </cell>
          <cell r="J19">
            <v>1688.55</v>
          </cell>
          <cell r="L19">
            <v>1576.3</v>
          </cell>
          <cell r="N19">
            <v>2422.59</v>
          </cell>
          <cell r="P19">
            <v>2743.01</v>
          </cell>
          <cell r="R19">
            <v>2972.14</v>
          </cell>
          <cell r="T19">
            <v>2697.23</v>
          </cell>
          <cell r="V19">
            <v>3375.36</v>
          </cell>
          <cell r="X19">
            <v>10857.73</v>
          </cell>
          <cell r="Z19">
            <v>1707.2</v>
          </cell>
          <cell r="AB19">
            <v>37665.929999999993</v>
          </cell>
          <cell r="AF19">
            <v>13313.26</v>
          </cell>
          <cell r="AH19">
            <v>24352.670000000002</v>
          </cell>
        </row>
        <row r="20">
          <cell r="A20">
            <v>711050006</v>
          </cell>
          <cell r="B20" t="str">
            <v xml:space="preserve">  -  Encargos Cartão Fininvest Visa</v>
          </cell>
          <cell r="D20">
            <v>362221.17</v>
          </cell>
          <cell r="F20">
            <v>258935.17</v>
          </cell>
          <cell r="H20">
            <v>270553.06</v>
          </cell>
          <cell r="J20">
            <v>303282.68</v>
          </cell>
          <cell r="L20">
            <v>312660.76</v>
          </cell>
          <cell r="N20">
            <v>-448517.42</v>
          </cell>
          <cell r="P20">
            <v>355619.36</v>
          </cell>
          <cell r="R20">
            <v>362283.17</v>
          </cell>
          <cell r="T20">
            <v>406320.22</v>
          </cell>
          <cell r="V20">
            <v>6163608.79</v>
          </cell>
          <cell r="X20">
            <v>7428967.4200000009</v>
          </cell>
          <cell r="Z20">
            <v>8883496.2699999996</v>
          </cell>
          <cell r="AB20">
            <v>24659430.649999999</v>
          </cell>
          <cell r="AF20">
            <v>1059135.42</v>
          </cell>
          <cell r="AH20">
            <v>23600295.23</v>
          </cell>
        </row>
        <row r="21">
          <cell r="A21">
            <v>711050007</v>
          </cell>
          <cell r="B21" t="str">
            <v xml:space="preserve">  -  Encargos Cartão Loja</v>
          </cell>
          <cell r="D21">
            <v>238736.83</v>
          </cell>
          <cell r="F21">
            <v>189395.94</v>
          </cell>
          <cell r="H21">
            <v>216327.42</v>
          </cell>
          <cell r="J21">
            <v>243692.13</v>
          </cell>
          <cell r="L21">
            <v>268161.55</v>
          </cell>
          <cell r="N21">
            <v>204457.21</v>
          </cell>
          <cell r="P21">
            <v>355037.37</v>
          </cell>
          <cell r="R21">
            <v>363706.45</v>
          </cell>
          <cell r="T21">
            <v>384458.7</v>
          </cell>
          <cell r="V21">
            <v>7399195.1200000001</v>
          </cell>
          <cell r="X21">
            <v>8468916.2699999996</v>
          </cell>
          <cell r="Z21">
            <v>9916270.3099999987</v>
          </cell>
          <cell r="AB21">
            <v>28248355.300000001</v>
          </cell>
          <cell r="AF21">
            <v>1360771.08</v>
          </cell>
          <cell r="AH21">
            <v>26887584.219999999</v>
          </cell>
        </row>
        <row r="22">
          <cell r="A22">
            <v>711050008</v>
          </cell>
          <cell r="B22" t="str">
            <v xml:space="preserve">  -  Rendas de Conta Garantida</v>
          </cell>
          <cell r="D22">
            <v>2828444.12</v>
          </cell>
          <cell r="F22">
            <v>2575948.6800000002</v>
          </cell>
          <cell r="H22">
            <v>2953149.53</v>
          </cell>
          <cell r="J22">
            <v>2878456.4</v>
          </cell>
          <cell r="L22">
            <v>3009821.79</v>
          </cell>
          <cell r="N22">
            <v>3064023.42</v>
          </cell>
          <cell r="P22">
            <v>3183780.86</v>
          </cell>
          <cell r="R22">
            <v>3282144.49</v>
          </cell>
          <cell r="T22">
            <v>3336758.59</v>
          </cell>
          <cell r="V22">
            <v>163028.80000000075</v>
          </cell>
          <cell r="X22">
            <v>146698.1099999994</v>
          </cell>
          <cell r="Z22">
            <v>159634.81000000052</v>
          </cell>
          <cell r="AB22">
            <v>27581889.600000001</v>
          </cell>
          <cell r="AF22">
            <v>17309843.939999998</v>
          </cell>
          <cell r="AH22">
            <v>10272045.66</v>
          </cell>
        </row>
        <row r="23">
          <cell r="A23">
            <v>711050009</v>
          </cell>
          <cell r="B23" t="str">
            <v xml:space="preserve">  -  Tarifas Financiadas - CDE</v>
          </cell>
          <cell r="D23">
            <v>0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759.5</v>
          </cell>
          <cell r="Z23">
            <v>18.5</v>
          </cell>
          <cell r="AB23">
            <v>778</v>
          </cell>
          <cell r="AF23">
            <v>0</v>
          </cell>
          <cell r="AH23">
            <v>778</v>
          </cell>
        </row>
        <row r="24">
          <cell r="A24">
            <v>711050010</v>
          </cell>
          <cell r="B24" t="str">
            <v xml:space="preserve">  -  Tarifas Financiadas - SCE</v>
          </cell>
          <cell r="D24">
            <v>0</v>
          </cell>
          <cell r="F24">
            <v>9.5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  <cell r="AB24">
            <v>9.5</v>
          </cell>
          <cell r="AF24">
            <v>9.5</v>
          </cell>
          <cell r="AH24">
            <v>0</v>
          </cell>
        </row>
        <row r="25">
          <cell r="A25">
            <v>711050011</v>
          </cell>
          <cell r="B25" t="str">
            <v xml:space="preserve">  -  Encargos Moratórios - Vision Plus</v>
          </cell>
          <cell r="D25">
            <v>0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469773.97</v>
          </cell>
          <cell r="X25">
            <v>477546.14</v>
          </cell>
          <cell r="Z25">
            <v>463696.48</v>
          </cell>
          <cell r="AB25">
            <v>1411016.5899999999</v>
          </cell>
          <cell r="AF25">
            <v>0</v>
          </cell>
          <cell r="AH25">
            <v>1411016.5899999999</v>
          </cell>
        </row>
        <row r="26">
          <cell r="A26">
            <v>711050012</v>
          </cell>
          <cell r="B26" t="str">
            <v xml:space="preserve">  -  Rendas de Renegociação de Divida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  <cell r="AF26">
            <v>0</v>
          </cell>
          <cell r="AH26">
            <v>0</v>
          </cell>
        </row>
        <row r="27">
          <cell r="A27">
            <v>711050013</v>
          </cell>
          <cell r="B27" t="str">
            <v xml:space="preserve">  -  Emprestimos a Funcionários Clube Fininvest</v>
          </cell>
          <cell r="D27">
            <v>0</v>
          </cell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  <cell r="AF27">
            <v>0</v>
          </cell>
          <cell r="AH27">
            <v>0</v>
          </cell>
        </row>
        <row r="28">
          <cell r="A28">
            <v>711050014</v>
          </cell>
          <cell r="B28" t="str">
            <v xml:space="preserve">  -  Private Label</v>
          </cell>
          <cell r="D28">
            <v>891952.21</v>
          </cell>
          <cell r="F28">
            <v>844275.23</v>
          </cell>
          <cell r="H28">
            <v>882686.13</v>
          </cell>
          <cell r="J28">
            <v>931863.19</v>
          </cell>
          <cell r="L28">
            <v>1072959.3899999999</v>
          </cell>
          <cell r="N28">
            <v>885939.39999999944</v>
          </cell>
          <cell r="P28">
            <v>1048392.11</v>
          </cell>
          <cell r="R28">
            <v>1098898.23</v>
          </cell>
          <cell r="T28">
            <v>1006276.69</v>
          </cell>
          <cell r="V28">
            <v>1203896.55</v>
          </cell>
          <cell r="X28">
            <v>897687.84</v>
          </cell>
          <cell r="Z28">
            <v>980825.23</v>
          </cell>
          <cell r="AB28">
            <v>11745652.199999999</v>
          </cell>
          <cell r="AF28">
            <v>5509675.5499999989</v>
          </cell>
          <cell r="AH28">
            <v>6235976.6500000004</v>
          </cell>
        </row>
        <row r="29">
          <cell r="A29">
            <v>711050016</v>
          </cell>
          <cell r="B29" t="str">
            <v xml:space="preserve">  -  Encargos por Refinanciamento - Vision Plus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6865649.1500000004</v>
          </cell>
          <cell r="X29">
            <v>6021882.0700000003</v>
          </cell>
          <cell r="Z29">
            <v>5743729.209999999</v>
          </cell>
          <cell r="AB29">
            <v>18631260.43</v>
          </cell>
          <cell r="AF29">
            <v>0</v>
          </cell>
          <cell r="AH29">
            <v>18631260.43</v>
          </cell>
        </row>
        <row r="30">
          <cell r="A30">
            <v>711050017</v>
          </cell>
          <cell r="B30" t="str">
            <v xml:space="preserve">  -  Rendas com Crédito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0</v>
          </cell>
          <cell r="V30">
            <v>17539.2</v>
          </cell>
          <cell r="X30">
            <v>14703.17</v>
          </cell>
          <cell r="Z30">
            <v>12921.57</v>
          </cell>
          <cell r="AB30">
            <v>45163.94</v>
          </cell>
          <cell r="AF30">
            <v>0</v>
          </cell>
          <cell r="AH30">
            <v>45163.94</v>
          </cell>
        </row>
        <row r="31">
          <cell r="A31">
            <v>711050090</v>
          </cell>
          <cell r="B31" t="str">
            <v xml:space="preserve">  -  Renda de Outros Emprestimos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  <cell r="AF31">
            <v>0</v>
          </cell>
          <cell r="AH31">
            <v>0</v>
          </cell>
        </row>
        <row r="33">
          <cell r="A33">
            <v>71110</v>
          </cell>
          <cell r="B33" t="str">
            <v xml:space="preserve">     Rendas de Titulos Descontados </v>
          </cell>
          <cell r="D33">
            <v>2225182.36</v>
          </cell>
          <cell r="F33">
            <v>1906406.82</v>
          </cell>
          <cell r="H33">
            <v>1916462.82</v>
          </cell>
          <cell r="J33">
            <v>1759768.1</v>
          </cell>
          <cell r="L33">
            <v>1745794.62</v>
          </cell>
          <cell r="N33">
            <v>1650100.27</v>
          </cell>
          <cell r="P33">
            <v>1612788.34</v>
          </cell>
          <cell r="R33">
            <v>1489404.59</v>
          </cell>
          <cell r="T33">
            <v>1589939.44</v>
          </cell>
          <cell r="V33">
            <v>5672313.5900000008</v>
          </cell>
          <cell r="X33">
            <v>6153532.9899999984</v>
          </cell>
          <cell r="Z33">
            <v>6776813.8000000007</v>
          </cell>
          <cell r="AB33">
            <v>34498507.739999995</v>
          </cell>
          <cell r="AF33">
            <v>11203714.989999998</v>
          </cell>
          <cell r="AH33">
            <v>23294792.75</v>
          </cell>
        </row>
        <row r="34">
          <cell r="A34">
            <v>71115</v>
          </cell>
          <cell r="B34" t="str">
            <v xml:space="preserve">     Rendas de Financiamentos</v>
          </cell>
          <cell r="D34">
            <v>8486674.9100000001</v>
          </cell>
          <cell r="F34">
            <v>7496680.8699999992</v>
          </cell>
          <cell r="H34">
            <v>8265839.1100000013</v>
          </cell>
          <cell r="J34">
            <v>7918457.4699999988</v>
          </cell>
          <cell r="L34">
            <v>8448385.9200000018</v>
          </cell>
          <cell r="N34">
            <v>8222956.2599999979</v>
          </cell>
          <cell r="P34">
            <v>8692852.1899999995</v>
          </cell>
          <cell r="R34">
            <v>8699971.5000000019</v>
          </cell>
          <cell r="T34">
            <v>8526441.6099999994</v>
          </cell>
          <cell r="V34">
            <v>12194070.720000001</v>
          </cell>
          <cell r="X34">
            <v>12527477.159999996</v>
          </cell>
          <cell r="Z34">
            <v>16230546.939999998</v>
          </cell>
          <cell r="AB34">
            <v>115710354.66</v>
          </cell>
          <cell r="AF34">
            <v>48838994.539999999</v>
          </cell>
          <cell r="AH34">
            <v>66871360.119999997</v>
          </cell>
        </row>
        <row r="35">
          <cell r="A35">
            <v>71118</v>
          </cell>
          <cell r="B35" t="str">
            <v xml:space="preserve">     Rendas de Financiamentos a Agentes Financeiros </v>
          </cell>
          <cell r="D35">
            <v>0</v>
          </cell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  <cell r="T35">
            <v>0</v>
          </cell>
          <cell r="V35">
            <v>0</v>
          </cell>
          <cell r="X35">
            <v>0</v>
          </cell>
          <cell r="Z35">
            <v>0</v>
          </cell>
          <cell r="AB35">
            <v>0</v>
          </cell>
          <cell r="AF35">
            <v>0</v>
          </cell>
          <cell r="AH35">
            <v>0</v>
          </cell>
        </row>
        <row r="36">
          <cell r="A36">
            <v>71120</v>
          </cell>
          <cell r="B36" t="str">
            <v xml:space="preserve">     Rendas de Financiamentos a Exportação</v>
          </cell>
          <cell r="D36">
            <v>0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  <cell r="AB36">
            <v>0</v>
          </cell>
          <cell r="AF36">
            <v>0</v>
          </cell>
          <cell r="AH36">
            <v>0</v>
          </cell>
        </row>
        <row r="37">
          <cell r="A37">
            <v>71123</v>
          </cell>
          <cell r="B37" t="str">
            <v xml:space="preserve">     Rendas de Financiamentos de Moedas Estrangeiras</v>
          </cell>
          <cell r="D37">
            <v>0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  <cell r="AB37">
            <v>0</v>
          </cell>
          <cell r="AF37">
            <v>0</v>
          </cell>
          <cell r="AH37">
            <v>0</v>
          </cell>
        </row>
        <row r="38">
          <cell r="A38">
            <v>71125</v>
          </cell>
          <cell r="B38" t="str">
            <v xml:space="preserve">     Rendas de Financiamentos com Interveniência</v>
          </cell>
          <cell r="D38">
            <v>0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  <cell r="P38">
            <v>0</v>
          </cell>
          <cell r="R38">
            <v>0</v>
          </cell>
          <cell r="T38">
            <v>0</v>
          </cell>
          <cell r="V38">
            <v>0</v>
          </cell>
          <cell r="X38">
            <v>0</v>
          </cell>
          <cell r="Z38">
            <v>0</v>
          </cell>
          <cell r="AB38">
            <v>0</v>
          </cell>
          <cell r="AF38">
            <v>0</v>
          </cell>
          <cell r="AH38">
            <v>0</v>
          </cell>
        </row>
        <row r="39">
          <cell r="A39">
            <v>71135</v>
          </cell>
          <cell r="B39" t="str">
            <v xml:space="preserve">     Rendas de Refinanciamentos de Operações de Arrendamentos</v>
          </cell>
          <cell r="D39">
            <v>0</v>
          </cell>
          <cell r="F39">
            <v>0</v>
          </cell>
          <cell r="H39">
            <v>0</v>
          </cell>
          <cell r="J39">
            <v>0</v>
          </cell>
          <cell r="L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  <cell r="AB39">
            <v>0</v>
          </cell>
          <cell r="AF39">
            <v>0</v>
          </cell>
          <cell r="AH39">
            <v>0</v>
          </cell>
        </row>
        <row r="40">
          <cell r="A40">
            <v>71140</v>
          </cell>
          <cell r="B40" t="str">
            <v xml:space="preserve">     Rendas de Financiamentos Rurais - Aplicações Livres</v>
          </cell>
          <cell r="D40">
            <v>0</v>
          </cell>
          <cell r="F40">
            <v>0</v>
          </cell>
          <cell r="H40">
            <v>0</v>
          </cell>
          <cell r="J40">
            <v>0</v>
          </cell>
          <cell r="L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  <cell r="Z40">
            <v>0</v>
          </cell>
          <cell r="AB40">
            <v>0</v>
          </cell>
          <cell r="AF40">
            <v>0</v>
          </cell>
          <cell r="AH40">
            <v>0</v>
          </cell>
        </row>
        <row r="41">
          <cell r="A41">
            <v>71145</v>
          </cell>
          <cell r="B41" t="str">
            <v xml:space="preserve">     Rendas de Financiamentos Rurais - Aplicações Obrig.</v>
          </cell>
          <cell r="D41">
            <v>0</v>
          </cell>
          <cell r="F41">
            <v>0</v>
          </cell>
          <cell r="H41">
            <v>0</v>
          </cell>
          <cell r="J41">
            <v>0</v>
          </cell>
          <cell r="L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  <cell r="AB41">
            <v>0</v>
          </cell>
          <cell r="AF41">
            <v>0</v>
          </cell>
          <cell r="AH41">
            <v>0</v>
          </cell>
        </row>
        <row r="42">
          <cell r="A42">
            <v>71150</v>
          </cell>
          <cell r="B42" t="str">
            <v xml:space="preserve">     Rendas de Financiamentos Rurais - Aplicações Repas</v>
          </cell>
          <cell r="D42">
            <v>0</v>
          </cell>
          <cell r="F42">
            <v>0</v>
          </cell>
          <cell r="H42">
            <v>0</v>
          </cell>
          <cell r="J42">
            <v>0</v>
          </cell>
          <cell r="L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  <cell r="AB42">
            <v>0</v>
          </cell>
          <cell r="AF42">
            <v>0</v>
          </cell>
          <cell r="AH42">
            <v>0</v>
          </cell>
        </row>
        <row r="43">
          <cell r="A43">
            <v>71155</v>
          </cell>
          <cell r="B43" t="str">
            <v xml:space="preserve">     Rendas de Financiamentos Agro - Industriais</v>
          </cell>
          <cell r="D43">
            <v>0</v>
          </cell>
          <cell r="F43">
            <v>0</v>
          </cell>
          <cell r="H43">
            <v>0</v>
          </cell>
          <cell r="J43">
            <v>0</v>
          </cell>
          <cell r="L43">
            <v>0</v>
          </cell>
          <cell r="N43">
            <v>0</v>
          </cell>
          <cell r="P43">
            <v>0</v>
          </cell>
          <cell r="R43">
            <v>0</v>
          </cell>
          <cell r="T43">
            <v>0</v>
          </cell>
          <cell r="V43">
            <v>0</v>
          </cell>
          <cell r="X43">
            <v>0</v>
          </cell>
          <cell r="Z43">
            <v>0</v>
          </cell>
          <cell r="AB43">
            <v>0</v>
          </cell>
          <cell r="AF43">
            <v>0</v>
          </cell>
          <cell r="AH43">
            <v>0</v>
          </cell>
        </row>
        <row r="44">
          <cell r="A44">
            <v>71160</v>
          </cell>
          <cell r="B44" t="str">
            <v xml:space="preserve">     Rendas de Financiamentos de Empreendimentos Imobiliários</v>
          </cell>
          <cell r="D44">
            <v>0</v>
          </cell>
          <cell r="F44">
            <v>0</v>
          </cell>
          <cell r="H44">
            <v>0</v>
          </cell>
          <cell r="J44">
            <v>0</v>
          </cell>
          <cell r="L44">
            <v>0</v>
          </cell>
          <cell r="N44">
            <v>0</v>
          </cell>
          <cell r="P44">
            <v>0</v>
          </cell>
          <cell r="R44">
            <v>0</v>
          </cell>
          <cell r="T44">
            <v>0</v>
          </cell>
          <cell r="V44">
            <v>0</v>
          </cell>
          <cell r="X44">
            <v>0</v>
          </cell>
          <cell r="Z44">
            <v>0</v>
          </cell>
          <cell r="AB44">
            <v>0</v>
          </cell>
          <cell r="AF44">
            <v>0</v>
          </cell>
          <cell r="AH44">
            <v>0</v>
          </cell>
        </row>
        <row r="45">
          <cell r="A45">
            <v>71165</v>
          </cell>
          <cell r="B45" t="str">
            <v xml:space="preserve">     Rendas de Financiamentos de Habitacionais</v>
          </cell>
          <cell r="D45">
            <v>0</v>
          </cell>
          <cell r="F45">
            <v>0</v>
          </cell>
          <cell r="H45">
            <v>0</v>
          </cell>
          <cell r="J45">
            <v>0</v>
          </cell>
          <cell r="L45">
            <v>0</v>
          </cell>
          <cell r="N45">
            <v>0</v>
          </cell>
          <cell r="P45">
            <v>0</v>
          </cell>
          <cell r="R45">
            <v>0</v>
          </cell>
          <cell r="T45">
            <v>0</v>
          </cell>
          <cell r="V45">
            <v>0</v>
          </cell>
          <cell r="X45">
            <v>0</v>
          </cell>
          <cell r="Z45">
            <v>0</v>
          </cell>
          <cell r="AB45">
            <v>0</v>
          </cell>
          <cell r="AF45">
            <v>0</v>
          </cell>
          <cell r="AH45">
            <v>0</v>
          </cell>
        </row>
        <row r="46">
          <cell r="A46">
            <v>71170</v>
          </cell>
          <cell r="B46" t="str">
            <v xml:space="preserve">     Rendas de Financiamentos de Infra-estrutura e Desenvolvimento</v>
          </cell>
          <cell r="D46">
            <v>0</v>
          </cell>
          <cell r="F46">
            <v>0</v>
          </cell>
          <cell r="H46">
            <v>0</v>
          </cell>
          <cell r="J46">
            <v>0</v>
          </cell>
          <cell r="L46">
            <v>0</v>
          </cell>
          <cell r="N46">
            <v>0</v>
          </cell>
          <cell r="P46">
            <v>0</v>
          </cell>
          <cell r="R46">
            <v>0</v>
          </cell>
          <cell r="T46">
            <v>0</v>
          </cell>
          <cell r="V46">
            <v>0</v>
          </cell>
          <cell r="X46">
            <v>0</v>
          </cell>
          <cell r="Z46">
            <v>0</v>
          </cell>
          <cell r="AB46">
            <v>0</v>
          </cell>
          <cell r="AF46">
            <v>0</v>
          </cell>
          <cell r="AH46">
            <v>0</v>
          </cell>
        </row>
        <row r="47">
          <cell r="A47">
            <v>71170</v>
          </cell>
          <cell r="B47" t="str">
            <v xml:space="preserve">     Rendas de Financiamentos de Infra-estrutura e Desenvolvimento</v>
          </cell>
          <cell r="D47">
            <v>0</v>
          </cell>
          <cell r="F47">
            <v>0</v>
          </cell>
          <cell r="H47">
            <v>0</v>
          </cell>
          <cell r="J47">
            <v>0</v>
          </cell>
          <cell r="L47">
            <v>0</v>
          </cell>
          <cell r="N47">
            <v>0</v>
          </cell>
          <cell r="P47">
            <v>0</v>
          </cell>
          <cell r="R47">
            <v>0</v>
          </cell>
          <cell r="T47">
            <v>0</v>
          </cell>
          <cell r="V47">
            <v>0</v>
          </cell>
          <cell r="X47">
            <v>0</v>
          </cell>
          <cell r="Z47">
            <v>0</v>
          </cell>
          <cell r="AB47">
            <v>0</v>
          </cell>
          <cell r="AF47">
            <v>0</v>
          </cell>
          <cell r="AH47">
            <v>0</v>
          </cell>
        </row>
        <row r="48">
          <cell r="A48">
            <v>71190</v>
          </cell>
          <cell r="B48" t="str">
            <v xml:space="preserve">     Rendas de Financiamentos do Procap</v>
          </cell>
          <cell r="D48">
            <v>0</v>
          </cell>
          <cell r="F48">
            <v>0</v>
          </cell>
          <cell r="H48">
            <v>0</v>
          </cell>
          <cell r="J48">
            <v>0</v>
          </cell>
          <cell r="L48">
            <v>0</v>
          </cell>
          <cell r="N48">
            <v>0</v>
          </cell>
          <cell r="P48">
            <v>0</v>
          </cell>
          <cell r="R48">
            <v>0</v>
          </cell>
          <cell r="T48">
            <v>0</v>
          </cell>
          <cell r="V48">
            <v>0</v>
          </cell>
          <cell r="X48">
            <v>0</v>
          </cell>
          <cell r="Z48">
            <v>0</v>
          </cell>
          <cell r="AB48">
            <v>0</v>
          </cell>
          <cell r="AF48">
            <v>0</v>
          </cell>
          <cell r="AH48">
            <v>0</v>
          </cell>
        </row>
        <row r="49">
          <cell r="A49">
            <v>71192</v>
          </cell>
          <cell r="B49" t="str">
            <v xml:space="preserve">     Rendas de Direitos Por Emprestimos de Ouro</v>
          </cell>
          <cell r="D49">
            <v>0</v>
          </cell>
          <cell r="F49">
            <v>0</v>
          </cell>
          <cell r="H49">
            <v>0</v>
          </cell>
          <cell r="J49">
            <v>0</v>
          </cell>
          <cell r="L49">
            <v>0</v>
          </cell>
          <cell r="N49">
            <v>0</v>
          </cell>
          <cell r="P49">
            <v>0</v>
          </cell>
          <cell r="R49">
            <v>0</v>
          </cell>
          <cell r="T49">
            <v>0</v>
          </cell>
          <cell r="V49">
            <v>0</v>
          </cell>
          <cell r="X49">
            <v>0</v>
          </cell>
          <cell r="Z49">
            <v>0</v>
          </cell>
          <cell r="AB49">
            <v>0</v>
          </cell>
          <cell r="AF49">
            <v>0</v>
          </cell>
          <cell r="AH49">
            <v>0</v>
          </cell>
        </row>
        <row r="51">
          <cell r="A51">
            <v>712</v>
          </cell>
          <cell r="B51" t="str">
            <v xml:space="preserve">  . Rendas de Arrendamento Mercantil</v>
          </cell>
          <cell r="D51">
            <v>0</v>
          </cell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0</v>
          </cell>
          <cell r="T51">
            <v>0</v>
          </cell>
          <cell r="V51">
            <v>0</v>
          </cell>
          <cell r="X51">
            <v>0</v>
          </cell>
          <cell r="Z51">
            <v>0</v>
          </cell>
          <cell r="AB51">
            <v>0</v>
          </cell>
          <cell r="AF51">
            <v>0</v>
          </cell>
          <cell r="AH51">
            <v>0</v>
          </cell>
        </row>
        <row r="52">
          <cell r="A52">
            <v>713</v>
          </cell>
          <cell r="B52" t="str">
            <v xml:space="preserve">  . Rendas de Cambio</v>
          </cell>
          <cell r="D52">
            <v>0.05</v>
          </cell>
          <cell r="F52">
            <v>3.85</v>
          </cell>
          <cell r="H52">
            <v>5.93</v>
          </cell>
          <cell r="J52">
            <v>-0.77999999999999936</v>
          </cell>
          <cell r="L52">
            <v>7.72</v>
          </cell>
          <cell r="N52">
            <v>83.32</v>
          </cell>
          <cell r="P52">
            <v>18.02</v>
          </cell>
          <cell r="R52">
            <v>20.23</v>
          </cell>
          <cell r="T52">
            <v>-0.35999999999999943</v>
          </cell>
          <cell r="V52">
            <v>10011.94</v>
          </cell>
          <cell r="X52">
            <v>1764.17</v>
          </cell>
          <cell r="Z52">
            <v>584.82000000000005</v>
          </cell>
          <cell r="AB52">
            <v>12498.91</v>
          </cell>
          <cell r="AF52">
            <v>100.08999999999999</v>
          </cell>
          <cell r="AH52">
            <v>12398.82</v>
          </cell>
        </row>
        <row r="53">
          <cell r="A53">
            <v>714</v>
          </cell>
          <cell r="B53" t="str">
            <v xml:space="preserve">  . Rendas de Aplicações Interfinanceiras de Liquidez</v>
          </cell>
          <cell r="D53">
            <v>2275226.85</v>
          </cell>
          <cell r="F53">
            <v>1254507.9099999999</v>
          </cell>
          <cell r="H53">
            <v>2376754.46</v>
          </cell>
          <cell r="J53">
            <v>1385916.99</v>
          </cell>
          <cell r="L53">
            <v>1511750.66</v>
          </cell>
          <cell r="N53">
            <v>1323302.96</v>
          </cell>
          <cell r="P53">
            <v>1805773.08</v>
          </cell>
          <cell r="R53">
            <v>1745347.68</v>
          </cell>
          <cell r="T53">
            <v>1609953.18</v>
          </cell>
          <cell r="V53">
            <v>1697004.43</v>
          </cell>
          <cell r="X53">
            <v>769107.81</v>
          </cell>
          <cell r="Z53">
            <v>1474257.4</v>
          </cell>
          <cell r="AB53">
            <v>19228903.409999996</v>
          </cell>
          <cell r="AF53">
            <v>10127459.829999998</v>
          </cell>
          <cell r="AH53">
            <v>9101443.5800000001</v>
          </cell>
        </row>
        <row r="54">
          <cell r="A54">
            <v>71420000102</v>
          </cell>
          <cell r="B54" t="str">
            <v xml:space="preserve">  -  Rendas de CDI - Ligadas</v>
          </cell>
          <cell r="D54">
            <v>712051.83</v>
          </cell>
          <cell r="F54">
            <v>616413</v>
          </cell>
          <cell r="H54">
            <v>788942.79</v>
          </cell>
          <cell r="J54">
            <v>754397.46</v>
          </cell>
          <cell r="L54">
            <v>907443.45</v>
          </cell>
          <cell r="N54">
            <v>934514.65</v>
          </cell>
          <cell r="P54">
            <v>1128640.71</v>
          </cell>
          <cell r="R54">
            <v>1318668.26</v>
          </cell>
          <cell r="T54">
            <v>1200703.6399999999</v>
          </cell>
          <cell r="V54">
            <v>1287320.02</v>
          </cell>
          <cell r="X54">
            <v>435747.44</v>
          </cell>
          <cell r="Z54">
            <v>827491.55</v>
          </cell>
          <cell r="AB54">
            <v>10912334.800000001</v>
          </cell>
          <cell r="AF54">
            <v>4713763.1800000006</v>
          </cell>
          <cell r="AH54">
            <v>6198571.6199999992</v>
          </cell>
        </row>
        <row r="55">
          <cell r="A55">
            <v>715</v>
          </cell>
          <cell r="B55" t="str">
            <v xml:space="preserve">  . Rendas de Titulos e Valores Mobiliários</v>
          </cell>
          <cell r="D55">
            <v>550073.34</v>
          </cell>
          <cell r="F55">
            <v>557862.73</v>
          </cell>
          <cell r="H55">
            <v>616965.56999999995</v>
          </cell>
          <cell r="J55">
            <v>763528.93</v>
          </cell>
          <cell r="L55">
            <v>3502019.67</v>
          </cell>
          <cell r="N55">
            <v>3696670.18</v>
          </cell>
          <cell r="P55">
            <v>3934200.29</v>
          </cell>
          <cell r="R55">
            <v>4008775.79</v>
          </cell>
          <cell r="T55">
            <v>3627818.57</v>
          </cell>
          <cell r="V55">
            <v>7232547.9799999986</v>
          </cell>
          <cell r="X55">
            <v>13852995.77</v>
          </cell>
          <cell r="Z55">
            <v>12806035.910000004</v>
          </cell>
          <cell r="AB55">
            <v>55149494.729999997</v>
          </cell>
          <cell r="AF55">
            <v>9687120.4199999999</v>
          </cell>
          <cell r="AH55">
            <v>45462374.310000002</v>
          </cell>
        </row>
        <row r="57">
          <cell r="A57">
            <v>71610</v>
          </cell>
          <cell r="B57" t="str">
            <v xml:space="preserve">  . Encargos Moratórios</v>
          </cell>
          <cell r="D57">
            <v>0</v>
          </cell>
          <cell r="F57">
            <v>0</v>
          </cell>
          <cell r="H57">
            <v>0</v>
          </cell>
          <cell r="J57">
            <v>0</v>
          </cell>
          <cell r="L57">
            <v>0</v>
          </cell>
          <cell r="N57">
            <v>0</v>
          </cell>
          <cell r="P57">
            <v>0</v>
          </cell>
          <cell r="R57">
            <v>0</v>
          </cell>
          <cell r="T57">
            <v>0</v>
          </cell>
          <cell r="V57">
            <v>0</v>
          </cell>
          <cell r="X57">
            <v>0</v>
          </cell>
          <cell r="Z57">
            <v>0</v>
          </cell>
          <cell r="AB57">
            <v>0</v>
          </cell>
          <cell r="AF57">
            <v>0</v>
          </cell>
          <cell r="AH57">
            <v>0</v>
          </cell>
        </row>
        <row r="58">
          <cell r="A58">
            <v>716101010</v>
          </cell>
          <cell r="B58" t="str">
            <v xml:space="preserve">  -  Finincred</v>
          </cell>
          <cell r="D58">
            <v>0</v>
          </cell>
          <cell r="F58">
            <v>0</v>
          </cell>
          <cell r="H58">
            <v>0</v>
          </cell>
          <cell r="J58">
            <v>0</v>
          </cell>
          <cell r="L58">
            <v>0</v>
          </cell>
          <cell r="N58">
            <v>0</v>
          </cell>
          <cell r="P58">
            <v>0</v>
          </cell>
          <cell r="R58">
            <v>0</v>
          </cell>
          <cell r="T58">
            <v>0</v>
          </cell>
          <cell r="V58">
            <v>0</v>
          </cell>
          <cell r="X58">
            <v>0</v>
          </cell>
          <cell r="Z58">
            <v>0</v>
          </cell>
          <cell r="AB58">
            <v>0</v>
          </cell>
          <cell r="AF58">
            <v>0</v>
          </cell>
          <cell r="AH58">
            <v>0</v>
          </cell>
        </row>
        <row r="59">
          <cell r="A59">
            <v>716101020</v>
          </cell>
          <cell r="B59" t="str">
            <v xml:space="preserve">  -  Cartão Loja</v>
          </cell>
          <cell r="D59">
            <v>0</v>
          </cell>
          <cell r="F59">
            <v>0</v>
          </cell>
          <cell r="H59">
            <v>0</v>
          </cell>
          <cell r="J59">
            <v>0</v>
          </cell>
          <cell r="L59">
            <v>0</v>
          </cell>
          <cell r="N59">
            <v>0</v>
          </cell>
          <cell r="P59">
            <v>0</v>
          </cell>
          <cell r="R59">
            <v>0</v>
          </cell>
          <cell r="T59">
            <v>0</v>
          </cell>
          <cell r="V59">
            <v>0</v>
          </cell>
          <cell r="X59">
            <v>0</v>
          </cell>
          <cell r="Z59">
            <v>0</v>
          </cell>
          <cell r="AB59">
            <v>0</v>
          </cell>
          <cell r="AF59">
            <v>0</v>
          </cell>
          <cell r="AH59">
            <v>0</v>
          </cell>
        </row>
        <row r="60">
          <cell r="A60">
            <v>716101030</v>
          </cell>
          <cell r="B60" t="str">
            <v xml:space="preserve">  -  Cartão </v>
          </cell>
          <cell r="D60">
            <v>0</v>
          </cell>
          <cell r="F60">
            <v>0</v>
          </cell>
          <cell r="H60">
            <v>0</v>
          </cell>
          <cell r="J60">
            <v>0</v>
          </cell>
          <cell r="L60">
            <v>0</v>
          </cell>
          <cell r="N60">
            <v>0</v>
          </cell>
          <cell r="P60">
            <v>0</v>
          </cell>
          <cell r="R60">
            <v>0</v>
          </cell>
          <cell r="T60">
            <v>0</v>
          </cell>
          <cell r="V60">
            <v>0</v>
          </cell>
          <cell r="X60">
            <v>0</v>
          </cell>
          <cell r="Z60">
            <v>0</v>
          </cell>
          <cell r="AB60">
            <v>0</v>
          </cell>
          <cell r="AF60">
            <v>0</v>
          </cell>
          <cell r="AH60">
            <v>0</v>
          </cell>
        </row>
        <row r="61">
          <cell r="A61">
            <v>716101040</v>
          </cell>
          <cell r="B61" t="str">
            <v xml:space="preserve">  -  Cartão Private Label - Vision Plus</v>
          </cell>
          <cell r="D61">
            <v>0</v>
          </cell>
          <cell r="F61">
            <v>0</v>
          </cell>
          <cell r="H61">
            <v>0</v>
          </cell>
          <cell r="J61">
            <v>0</v>
          </cell>
          <cell r="L61">
            <v>0</v>
          </cell>
          <cell r="N61">
            <v>0</v>
          </cell>
          <cell r="P61">
            <v>0</v>
          </cell>
          <cell r="R61">
            <v>0</v>
          </cell>
          <cell r="T61">
            <v>0</v>
          </cell>
          <cell r="V61">
            <v>0</v>
          </cell>
          <cell r="X61">
            <v>0</v>
          </cell>
          <cell r="Z61">
            <v>0</v>
          </cell>
          <cell r="AB61">
            <v>0</v>
          </cell>
          <cell r="AF61">
            <v>0</v>
          </cell>
          <cell r="AH61">
            <v>0</v>
          </cell>
        </row>
        <row r="63">
          <cell r="A63">
            <v>71620</v>
          </cell>
          <cell r="B63" t="str">
            <v xml:space="preserve">  . Receita Sobre Direito de Creditos Adquiridos</v>
          </cell>
          <cell r="D63">
            <v>0</v>
          </cell>
          <cell r="F63">
            <v>0</v>
          </cell>
          <cell r="H63">
            <v>0</v>
          </cell>
          <cell r="J63">
            <v>0</v>
          </cell>
          <cell r="L63">
            <v>0</v>
          </cell>
          <cell r="N63">
            <v>0</v>
          </cell>
          <cell r="P63">
            <v>0</v>
          </cell>
          <cell r="R63">
            <v>0</v>
          </cell>
          <cell r="T63">
            <v>0</v>
          </cell>
          <cell r="V63">
            <v>0</v>
          </cell>
          <cell r="X63">
            <v>0</v>
          </cell>
          <cell r="Z63">
            <v>0</v>
          </cell>
          <cell r="AB63">
            <v>0</v>
          </cell>
          <cell r="AF63">
            <v>0</v>
          </cell>
          <cell r="AH63">
            <v>0</v>
          </cell>
        </row>
        <row r="64">
          <cell r="A64">
            <v>7162010</v>
          </cell>
          <cell r="B64" t="str">
            <v xml:space="preserve">  -  Carteira Honrada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  <cell r="L64">
            <v>0</v>
          </cell>
          <cell r="N64">
            <v>0</v>
          </cell>
          <cell r="P64">
            <v>0</v>
          </cell>
          <cell r="R64">
            <v>0</v>
          </cell>
          <cell r="T64">
            <v>0</v>
          </cell>
          <cell r="V64">
            <v>0</v>
          </cell>
          <cell r="X64">
            <v>0</v>
          </cell>
          <cell r="Z64">
            <v>0</v>
          </cell>
          <cell r="AB64">
            <v>0</v>
          </cell>
          <cell r="AF64">
            <v>0</v>
          </cell>
          <cell r="AH64">
            <v>0</v>
          </cell>
        </row>
        <row r="65">
          <cell r="A65">
            <v>7162020</v>
          </cell>
          <cell r="B65" t="str">
            <v xml:space="preserve">  -  Carteira Ativa</v>
          </cell>
          <cell r="D65">
            <v>0</v>
          </cell>
          <cell r="F65">
            <v>0</v>
          </cell>
          <cell r="H65">
            <v>0</v>
          </cell>
          <cell r="J65">
            <v>0</v>
          </cell>
          <cell r="L65">
            <v>0</v>
          </cell>
          <cell r="N65">
            <v>0</v>
          </cell>
          <cell r="P65">
            <v>0</v>
          </cell>
          <cell r="R65">
            <v>0</v>
          </cell>
          <cell r="T65">
            <v>0</v>
          </cell>
          <cell r="V65">
            <v>0</v>
          </cell>
          <cell r="X65">
            <v>0</v>
          </cell>
          <cell r="Z65">
            <v>0</v>
          </cell>
          <cell r="AB65">
            <v>0</v>
          </cell>
          <cell r="AF65">
            <v>0</v>
          </cell>
          <cell r="AH65">
            <v>0</v>
          </cell>
        </row>
        <row r="67">
          <cell r="A67">
            <v>71630</v>
          </cell>
          <cell r="B67" t="str">
            <v xml:space="preserve">  . Recuperação de Creditos Baixados a Perda</v>
          </cell>
          <cell r="D67">
            <v>0</v>
          </cell>
          <cell r="F67">
            <v>0</v>
          </cell>
          <cell r="H67">
            <v>0</v>
          </cell>
          <cell r="J67">
            <v>0</v>
          </cell>
          <cell r="L67">
            <v>0</v>
          </cell>
          <cell r="N67">
            <v>0</v>
          </cell>
          <cell r="P67">
            <v>0</v>
          </cell>
          <cell r="R67">
            <v>0</v>
          </cell>
          <cell r="T67">
            <v>0</v>
          </cell>
          <cell r="V67">
            <v>0</v>
          </cell>
          <cell r="X67">
            <v>0</v>
          </cell>
          <cell r="Z67">
            <v>0</v>
          </cell>
          <cell r="AB67">
            <v>0</v>
          </cell>
          <cell r="AF67">
            <v>0</v>
          </cell>
          <cell r="AH67">
            <v>0</v>
          </cell>
        </row>
        <row r="68">
          <cell r="A68">
            <v>7163010</v>
          </cell>
          <cell r="B68" t="str">
            <v xml:space="preserve">  -  Carteira Honrada</v>
          </cell>
          <cell r="D68">
            <v>0</v>
          </cell>
          <cell r="F68">
            <v>0</v>
          </cell>
          <cell r="H68">
            <v>0</v>
          </cell>
          <cell r="J68">
            <v>0</v>
          </cell>
          <cell r="L68">
            <v>0</v>
          </cell>
          <cell r="N68">
            <v>0</v>
          </cell>
          <cell r="P68">
            <v>0</v>
          </cell>
          <cell r="R68">
            <v>0</v>
          </cell>
          <cell r="T68">
            <v>0</v>
          </cell>
          <cell r="V68">
            <v>0</v>
          </cell>
          <cell r="X68">
            <v>0</v>
          </cell>
          <cell r="Z68">
            <v>0</v>
          </cell>
          <cell r="AB68">
            <v>0</v>
          </cell>
          <cell r="AF68">
            <v>0</v>
          </cell>
          <cell r="AH68">
            <v>0</v>
          </cell>
        </row>
        <row r="69">
          <cell r="A69">
            <v>7163050</v>
          </cell>
          <cell r="B69" t="str">
            <v xml:space="preserve">  -  Cheques Devolvidos </v>
          </cell>
          <cell r="D69">
            <v>0</v>
          </cell>
          <cell r="F69">
            <v>0</v>
          </cell>
          <cell r="H69">
            <v>0</v>
          </cell>
          <cell r="J69">
            <v>0</v>
          </cell>
          <cell r="L69">
            <v>0</v>
          </cell>
          <cell r="N69">
            <v>0</v>
          </cell>
          <cell r="P69">
            <v>0</v>
          </cell>
          <cell r="R69">
            <v>0</v>
          </cell>
          <cell r="T69">
            <v>0</v>
          </cell>
          <cell r="V69">
            <v>0</v>
          </cell>
          <cell r="X69">
            <v>0</v>
          </cell>
          <cell r="Z69">
            <v>0</v>
          </cell>
          <cell r="AB69">
            <v>0</v>
          </cell>
          <cell r="AF69">
            <v>0</v>
          </cell>
          <cell r="AH69">
            <v>0</v>
          </cell>
        </row>
        <row r="70">
          <cell r="A70">
            <v>7163060</v>
          </cell>
          <cell r="B70" t="str">
            <v xml:space="preserve">  -  Utilizações - Perda e Roubo</v>
          </cell>
          <cell r="D70">
            <v>0</v>
          </cell>
          <cell r="F70">
            <v>0</v>
          </cell>
          <cell r="H70">
            <v>0</v>
          </cell>
          <cell r="J70">
            <v>0</v>
          </cell>
          <cell r="L70">
            <v>0</v>
          </cell>
          <cell r="N70">
            <v>0</v>
          </cell>
          <cell r="P70">
            <v>0</v>
          </cell>
          <cell r="R70">
            <v>0</v>
          </cell>
          <cell r="T70">
            <v>0</v>
          </cell>
          <cell r="V70">
            <v>0</v>
          </cell>
          <cell r="X70">
            <v>0</v>
          </cell>
          <cell r="Z70">
            <v>0</v>
          </cell>
          <cell r="AB70">
            <v>0</v>
          </cell>
          <cell r="AF70">
            <v>0</v>
          </cell>
          <cell r="AH70">
            <v>0</v>
          </cell>
        </row>
        <row r="72">
          <cell r="A72">
            <v>71640</v>
          </cell>
          <cell r="B72" t="str">
            <v xml:space="preserve">  . Reversão de Provisão de Fiança</v>
          </cell>
          <cell r="D72">
            <v>0</v>
          </cell>
          <cell r="F72">
            <v>0</v>
          </cell>
          <cell r="H72">
            <v>0</v>
          </cell>
          <cell r="J72">
            <v>0</v>
          </cell>
          <cell r="L72">
            <v>0</v>
          </cell>
          <cell r="N72">
            <v>0</v>
          </cell>
          <cell r="P72">
            <v>0</v>
          </cell>
          <cell r="R72">
            <v>0</v>
          </cell>
          <cell r="T72">
            <v>0</v>
          </cell>
          <cell r="V72">
            <v>0</v>
          </cell>
          <cell r="X72">
            <v>0</v>
          </cell>
          <cell r="Z72">
            <v>0</v>
          </cell>
          <cell r="AB72">
            <v>0</v>
          </cell>
          <cell r="AF72">
            <v>0</v>
          </cell>
          <cell r="AH72">
            <v>0</v>
          </cell>
        </row>
        <row r="73">
          <cell r="A73">
            <v>716401010</v>
          </cell>
          <cell r="B73" t="str">
            <v xml:space="preserve">  -  Finincred</v>
          </cell>
          <cell r="D73">
            <v>0</v>
          </cell>
          <cell r="F73">
            <v>0</v>
          </cell>
          <cell r="H73">
            <v>0</v>
          </cell>
          <cell r="J73">
            <v>0</v>
          </cell>
          <cell r="L73">
            <v>0</v>
          </cell>
          <cell r="N73">
            <v>0</v>
          </cell>
          <cell r="P73">
            <v>0</v>
          </cell>
          <cell r="R73">
            <v>0</v>
          </cell>
          <cell r="T73">
            <v>0</v>
          </cell>
          <cell r="V73">
            <v>0</v>
          </cell>
          <cell r="X73">
            <v>0</v>
          </cell>
          <cell r="Z73">
            <v>0</v>
          </cell>
          <cell r="AB73">
            <v>0</v>
          </cell>
          <cell r="AF73">
            <v>0</v>
          </cell>
          <cell r="AH73">
            <v>0</v>
          </cell>
        </row>
        <row r="74">
          <cell r="A74">
            <v>716401020</v>
          </cell>
          <cell r="B74" t="str">
            <v xml:space="preserve">  -  Cartão Loja</v>
          </cell>
          <cell r="D74">
            <v>0</v>
          </cell>
          <cell r="F74">
            <v>0</v>
          </cell>
          <cell r="H74">
            <v>0</v>
          </cell>
          <cell r="J74">
            <v>0</v>
          </cell>
          <cell r="L74">
            <v>0</v>
          </cell>
          <cell r="N74">
            <v>0</v>
          </cell>
          <cell r="P74">
            <v>0</v>
          </cell>
          <cell r="R74">
            <v>0</v>
          </cell>
          <cell r="T74">
            <v>0</v>
          </cell>
          <cell r="V74">
            <v>0</v>
          </cell>
          <cell r="X74">
            <v>0</v>
          </cell>
          <cell r="Z74">
            <v>0</v>
          </cell>
          <cell r="AB74">
            <v>0</v>
          </cell>
          <cell r="AF74">
            <v>0</v>
          </cell>
          <cell r="AH74">
            <v>0</v>
          </cell>
        </row>
        <row r="75">
          <cell r="A75">
            <v>716401030</v>
          </cell>
          <cell r="B75" t="str">
            <v xml:space="preserve">  -  Cartão </v>
          </cell>
          <cell r="D75">
            <v>0</v>
          </cell>
          <cell r="F75">
            <v>0</v>
          </cell>
          <cell r="H75">
            <v>0</v>
          </cell>
          <cell r="J75">
            <v>0</v>
          </cell>
          <cell r="L75">
            <v>0</v>
          </cell>
          <cell r="N75">
            <v>0</v>
          </cell>
          <cell r="P75">
            <v>0</v>
          </cell>
          <cell r="R75">
            <v>0</v>
          </cell>
          <cell r="T75">
            <v>0</v>
          </cell>
          <cell r="V75">
            <v>0</v>
          </cell>
          <cell r="X75">
            <v>0</v>
          </cell>
          <cell r="Z75">
            <v>0</v>
          </cell>
          <cell r="AB75">
            <v>0</v>
          </cell>
          <cell r="AF75">
            <v>0</v>
          </cell>
          <cell r="AH75">
            <v>0</v>
          </cell>
        </row>
        <row r="77">
          <cell r="A77">
            <v>71690</v>
          </cell>
          <cell r="B77" t="str">
            <v xml:space="preserve">  . Descontos Recebidos</v>
          </cell>
          <cell r="D77">
            <v>0</v>
          </cell>
          <cell r="F77">
            <v>0</v>
          </cell>
          <cell r="H77">
            <v>0</v>
          </cell>
          <cell r="J77">
            <v>0</v>
          </cell>
          <cell r="L77">
            <v>0</v>
          </cell>
          <cell r="N77">
            <v>0</v>
          </cell>
          <cell r="P77">
            <v>0</v>
          </cell>
          <cell r="R77">
            <v>0</v>
          </cell>
          <cell r="T77">
            <v>0</v>
          </cell>
          <cell r="V77">
            <v>0</v>
          </cell>
          <cell r="X77">
            <v>0</v>
          </cell>
          <cell r="Z77">
            <v>0</v>
          </cell>
          <cell r="AB77">
            <v>0</v>
          </cell>
          <cell r="AF77">
            <v>0</v>
          </cell>
          <cell r="AH77">
            <v>0</v>
          </cell>
        </row>
        <row r="78">
          <cell r="A78">
            <v>716901010</v>
          </cell>
          <cell r="B78" t="str">
            <v xml:space="preserve">  -  Finincred</v>
          </cell>
          <cell r="D78">
            <v>0</v>
          </cell>
          <cell r="F78">
            <v>0</v>
          </cell>
          <cell r="H78">
            <v>0</v>
          </cell>
          <cell r="J78">
            <v>0</v>
          </cell>
          <cell r="L78">
            <v>0</v>
          </cell>
          <cell r="N78">
            <v>0</v>
          </cell>
          <cell r="P78">
            <v>0</v>
          </cell>
          <cell r="R78">
            <v>0</v>
          </cell>
          <cell r="T78">
            <v>0</v>
          </cell>
          <cell r="V78">
            <v>0</v>
          </cell>
          <cell r="X78">
            <v>0</v>
          </cell>
          <cell r="Z78">
            <v>0</v>
          </cell>
          <cell r="AB78">
            <v>0</v>
          </cell>
          <cell r="AF78">
            <v>0</v>
          </cell>
          <cell r="AH78">
            <v>0</v>
          </cell>
        </row>
        <row r="79">
          <cell r="A79">
            <v>716901020</v>
          </cell>
          <cell r="B79" t="str">
            <v xml:space="preserve">  -  Cartão Loja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0</v>
          </cell>
          <cell r="P79">
            <v>0</v>
          </cell>
          <cell r="R79">
            <v>0</v>
          </cell>
          <cell r="T79">
            <v>0</v>
          </cell>
          <cell r="V79">
            <v>0</v>
          </cell>
          <cell r="X79">
            <v>0</v>
          </cell>
          <cell r="Z79">
            <v>0</v>
          </cell>
          <cell r="AB79">
            <v>0</v>
          </cell>
          <cell r="AF79">
            <v>0</v>
          </cell>
          <cell r="AH79">
            <v>0</v>
          </cell>
        </row>
        <row r="80">
          <cell r="A80">
            <v>716901030</v>
          </cell>
          <cell r="B80" t="str">
            <v xml:space="preserve">  -  Cartão 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0</v>
          </cell>
          <cell r="P80">
            <v>0</v>
          </cell>
          <cell r="R80">
            <v>0</v>
          </cell>
          <cell r="T80">
            <v>0</v>
          </cell>
          <cell r="V80">
            <v>0</v>
          </cell>
          <cell r="X80">
            <v>0</v>
          </cell>
          <cell r="Z80">
            <v>0</v>
          </cell>
          <cell r="AB80">
            <v>0</v>
          </cell>
          <cell r="AF80">
            <v>0</v>
          </cell>
          <cell r="AH80">
            <v>0</v>
          </cell>
        </row>
        <row r="82">
          <cell r="A82">
            <v>717</v>
          </cell>
          <cell r="B82" t="str">
            <v xml:space="preserve">  . Rendas de Prestação de Serviços</v>
          </cell>
          <cell r="D82">
            <v>81250.03</v>
          </cell>
          <cell r="F82">
            <v>59512.07</v>
          </cell>
          <cell r="H82">
            <v>62960.2</v>
          </cell>
          <cell r="J82">
            <v>68728.91</v>
          </cell>
          <cell r="L82">
            <v>76229.009999999995</v>
          </cell>
          <cell r="N82">
            <v>72656.52</v>
          </cell>
          <cell r="P82">
            <v>76301.100000000006</v>
          </cell>
          <cell r="R82">
            <v>119652.93</v>
          </cell>
          <cell r="T82">
            <v>146816.71</v>
          </cell>
          <cell r="V82">
            <v>688903.27</v>
          </cell>
          <cell r="X82">
            <v>569576.6</v>
          </cell>
          <cell r="Z82">
            <v>613504.13</v>
          </cell>
          <cell r="AB82">
            <v>2636091.48</v>
          </cell>
          <cell r="AF82">
            <v>421336.74000000005</v>
          </cell>
          <cell r="AH82">
            <v>2214754.7399999998</v>
          </cell>
        </row>
        <row r="83">
          <cell r="A83">
            <v>71710</v>
          </cell>
          <cell r="B83" t="str">
            <v xml:space="preserve">  -  Rendas de Administração e de Fundos de Investimento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0</v>
          </cell>
          <cell r="P83">
            <v>0</v>
          </cell>
          <cell r="R83">
            <v>0</v>
          </cell>
          <cell r="T83">
            <v>0</v>
          </cell>
          <cell r="V83">
            <v>0</v>
          </cell>
          <cell r="X83">
            <v>0</v>
          </cell>
          <cell r="Z83">
            <v>0</v>
          </cell>
          <cell r="AB83">
            <v>0</v>
          </cell>
          <cell r="AF83">
            <v>0</v>
          </cell>
          <cell r="AH83">
            <v>0</v>
          </cell>
        </row>
        <row r="84">
          <cell r="A84">
            <v>71715</v>
          </cell>
          <cell r="B84" t="str">
            <v xml:space="preserve">  -  Rendas de Administração de Fundos e Programas</v>
          </cell>
          <cell r="D84">
            <v>0</v>
          </cell>
          <cell r="F84">
            <v>0</v>
          </cell>
          <cell r="H84">
            <v>0</v>
          </cell>
          <cell r="J84">
            <v>0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T84">
            <v>0</v>
          </cell>
          <cell r="V84">
            <v>0</v>
          </cell>
          <cell r="X84">
            <v>0</v>
          </cell>
          <cell r="Z84">
            <v>0</v>
          </cell>
          <cell r="AB84">
            <v>0</v>
          </cell>
          <cell r="AF84">
            <v>0</v>
          </cell>
          <cell r="AH84">
            <v>0</v>
          </cell>
        </row>
        <row r="86">
          <cell r="A86">
            <v>71720</v>
          </cell>
          <cell r="B86" t="str">
            <v xml:space="preserve">  -  Rendas de Prestação de Serviços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0</v>
          </cell>
          <cell r="P86">
            <v>0</v>
          </cell>
          <cell r="R86">
            <v>0</v>
          </cell>
          <cell r="T86">
            <v>0</v>
          </cell>
          <cell r="V86">
            <v>0</v>
          </cell>
          <cell r="X86">
            <v>0</v>
          </cell>
          <cell r="Z86">
            <v>0</v>
          </cell>
          <cell r="AB86">
            <v>0</v>
          </cell>
          <cell r="AF86">
            <v>0</v>
          </cell>
          <cell r="AH86">
            <v>0</v>
          </cell>
        </row>
        <row r="87">
          <cell r="A87">
            <v>7172005</v>
          </cell>
          <cell r="B87" t="str">
            <v xml:space="preserve">     Anuidades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0</v>
          </cell>
          <cell r="P87">
            <v>0</v>
          </cell>
          <cell r="R87">
            <v>0</v>
          </cell>
          <cell r="T87">
            <v>0</v>
          </cell>
          <cell r="V87">
            <v>0</v>
          </cell>
          <cell r="X87">
            <v>0</v>
          </cell>
          <cell r="Z87">
            <v>0</v>
          </cell>
          <cell r="AB87">
            <v>0</v>
          </cell>
          <cell r="AF87">
            <v>0</v>
          </cell>
          <cell r="AH87">
            <v>0</v>
          </cell>
        </row>
        <row r="88">
          <cell r="A88">
            <v>7172010</v>
          </cell>
          <cell r="B88" t="str">
            <v xml:space="preserve">     Taxa de Administração e Serviços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0</v>
          </cell>
          <cell r="P88">
            <v>0</v>
          </cell>
          <cell r="R88">
            <v>0</v>
          </cell>
          <cell r="T88">
            <v>0</v>
          </cell>
          <cell r="V88">
            <v>0</v>
          </cell>
          <cell r="X88">
            <v>0</v>
          </cell>
          <cell r="Z88">
            <v>0</v>
          </cell>
          <cell r="AB88">
            <v>0</v>
          </cell>
          <cell r="AF88">
            <v>0</v>
          </cell>
          <cell r="AH88">
            <v>0</v>
          </cell>
        </row>
        <row r="89">
          <cell r="A89">
            <v>7172015</v>
          </cell>
          <cell r="B89" t="str">
            <v xml:space="preserve">     Comissão de Lojistas - OPD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0</v>
          </cell>
          <cell r="P89">
            <v>0</v>
          </cell>
          <cell r="R89">
            <v>0</v>
          </cell>
          <cell r="T89">
            <v>0</v>
          </cell>
          <cell r="V89">
            <v>0</v>
          </cell>
          <cell r="X89">
            <v>0</v>
          </cell>
          <cell r="Z89">
            <v>0</v>
          </cell>
          <cell r="AB89">
            <v>0</v>
          </cell>
          <cell r="AF89">
            <v>0</v>
          </cell>
          <cell r="AH89">
            <v>0</v>
          </cell>
        </row>
        <row r="90">
          <cell r="A90">
            <v>7172020</v>
          </cell>
          <cell r="B90" t="str">
            <v xml:space="preserve">     Tarifa sobre Cancelamento Lojistas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0</v>
          </cell>
          <cell r="P90">
            <v>0</v>
          </cell>
          <cell r="R90">
            <v>0</v>
          </cell>
          <cell r="T90">
            <v>0</v>
          </cell>
          <cell r="V90">
            <v>0</v>
          </cell>
          <cell r="X90">
            <v>0</v>
          </cell>
          <cell r="Z90">
            <v>0</v>
          </cell>
          <cell r="AB90">
            <v>0</v>
          </cell>
          <cell r="AF90">
            <v>0</v>
          </cell>
          <cell r="AH90">
            <v>0</v>
          </cell>
        </row>
        <row r="91">
          <cell r="A91">
            <v>7172090</v>
          </cell>
          <cell r="B91" t="str">
            <v xml:space="preserve">     Outras Rendas  de Prestação de Serviços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0</v>
          </cell>
          <cell r="P91">
            <v>0</v>
          </cell>
          <cell r="R91">
            <v>0</v>
          </cell>
          <cell r="T91">
            <v>0</v>
          </cell>
          <cell r="V91">
            <v>0</v>
          </cell>
          <cell r="X91">
            <v>0</v>
          </cell>
          <cell r="Z91">
            <v>0</v>
          </cell>
          <cell r="AB91">
            <v>0</v>
          </cell>
          <cell r="AF91">
            <v>0</v>
          </cell>
          <cell r="AH91">
            <v>0</v>
          </cell>
        </row>
        <row r="93">
          <cell r="A93">
            <v>71725</v>
          </cell>
          <cell r="B93" t="str">
            <v xml:space="preserve">  -  Rendas de Administração de Sociedades de Investimentos</v>
          </cell>
          <cell r="D93">
            <v>0</v>
          </cell>
          <cell r="F93">
            <v>0</v>
          </cell>
          <cell r="H93">
            <v>0</v>
          </cell>
          <cell r="J93">
            <v>0</v>
          </cell>
          <cell r="L93">
            <v>0</v>
          </cell>
          <cell r="N93">
            <v>0</v>
          </cell>
          <cell r="P93">
            <v>0</v>
          </cell>
          <cell r="R93">
            <v>0</v>
          </cell>
          <cell r="T93">
            <v>0</v>
          </cell>
          <cell r="V93">
            <v>0</v>
          </cell>
          <cell r="X93">
            <v>0</v>
          </cell>
          <cell r="Z93">
            <v>0</v>
          </cell>
          <cell r="AB93">
            <v>0</v>
          </cell>
          <cell r="AF93">
            <v>0</v>
          </cell>
          <cell r="AH93">
            <v>0</v>
          </cell>
        </row>
        <row r="94">
          <cell r="A94">
            <v>71740</v>
          </cell>
          <cell r="B94" t="str">
            <v xml:space="preserve">  -  Rendas de Cobrança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0</v>
          </cell>
          <cell r="P94">
            <v>0</v>
          </cell>
          <cell r="R94">
            <v>0</v>
          </cell>
          <cell r="T94">
            <v>0</v>
          </cell>
          <cell r="V94">
            <v>0</v>
          </cell>
          <cell r="X94">
            <v>0</v>
          </cell>
          <cell r="Z94">
            <v>0</v>
          </cell>
          <cell r="AB94">
            <v>0</v>
          </cell>
          <cell r="AF94">
            <v>0</v>
          </cell>
          <cell r="AH94">
            <v>0</v>
          </cell>
        </row>
        <row r="95">
          <cell r="A95">
            <v>71745</v>
          </cell>
          <cell r="B95" t="str">
            <v xml:space="preserve">  -  Rendas de Comissões de Colocação de Titulos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  <cell r="X95">
            <v>0</v>
          </cell>
          <cell r="Z95">
            <v>0</v>
          </cell>
          <cell r="AB95">
            <v>0</v>
          </cell>
          <cell r="AF95">
            <v>0</v>
          </cell>
          <cell r="AH95">
            <v>0</v>
          </cell>
        </row>
        <row r="96">
          <cell r="A96">
            <v>71760</v>
          </cell>
          <cell r="B96" t="str">
            <v xml:space="preserve">  -  Rendas de Corretagens de Operações em Bolsas</v>
          </cell>
          <cell r="D96">
            <v>0</v>
          </cell>
          <cell r="F96">
            <v>0</v>
          </cell>
          <cell r="H96">
            <v>0</v>
          </cell>
          <cell r="J96">
            <v>0</v>
          </cell>
          <cell r="L96">
            <v>0</v>
          </cell>
          <cell r="N96">
            <v>0</v>
          </cell>
          <cell r="P96">
            <v>0</v>
          </cell>
          <cell r="R96">
            <v>0</v>
          </cell>
          <cell r="T96">
            <v>0</v>
          </cell>
          <cell r="V96">
            <v>0</v>
          </cell>
          <cell r="X96">
            <v>0</v>
          </cell>
          <cell r="Z96">
            <v>0</v>
          </cell>
          <cell r="AB96">
            <v>0</v>
          </cell>
          <cell r="AF96">
            <v>0</v>
          </cell>
          <cell r="AH96">
            <v>0</v>
          </cell>
        </row>
        <row r="97">
          <cell r="A97">
            <v>71770</v>
          </cell>
          <cell r="B97" t="str">
            <v xml:space="preserve">  -  Rendas de Serviços de Custodia</v>
          </cell>
          <cell r="D97">
            <v>0</v>
          </cell>
          <cell r="F97">
            <v>0</v>
          </cell>
          <cell r="H97">
            <v>0</v>
          </cell>
          <cell r="J97">
            <v>0</v>
          </cell>
          <cell r="L97">
            <v>0</v>
          </cell>
          <cell r="N97">
            <v>0</v>
          </cell>
          <cell r="P97">
            <v>0</v>
          </cell>
          <cell r="R97">
            <v>0</v>
          </cell>
          <cell r="T97">
            <v>0</v>
          </cell>
          <cell r="V97">
            <v>0</v>
          </cell>
          <cell r="X97">
            <v>0</v>
          </cell>
          <cell r="Z97">
            <v>0</v>
          </cell>
          <cell r="AB97">
            <v>0</v>
          </cell>
          <cell r="AF97">
            <v>0</v>
          </cell>
          <cell r="AH97">
            <v>0</v>
          </cell>
        </row>
        <row r="98">
          <cell r="A98">
            <v>71780</v>
          </cell>
          <cell r="B98" t="str">
            <v xml:space="preserve">  -  Rendas de Serviços Prestados a Ligadas</v>
          </cell>
          <cell r="D98">
            <v>1113.79</v>
          </cell>
          <cell r="F98">
            <v>0</v>
          </cell>
          <cell r="H98">
            <v>0</v>
          </cell>
          <cell r="J98">
            <v>0</v>
          </cell>
          <cell r="L98">
            <v>0</v>
          </cell>
          <cell r="N98">
            <v>0</v>
          </cell>
          <cell r="P98">
            <v>0</v>
          </cell>
          <cell r="R98">
            <v>0</v>
          </cell>
          <cell r="T98">
            <v>0</v>
          </cell>
          <cell r="V98">
            <v>0</v>
          </cell>
          <cell r="X98">
            <v>0</v>
          </cell>
          <cell r="Z98">
            <v>0</v>
          </cell>
          <cell r="AB98">
            <v>1113.79</v>
          </cell>
          <cell r="AF98">
            <v>1113.79</v>
          </cell>
          <cell r="AH98">
            <v>0</v>
          </cell>
        </row>
        <row r="99">
          <cell r="A99">
            <v>71790</v>
          </cell>
          <cell r="B99" t="str">
            <v xml:space="preserve">  -  Rendas de Transferência de Fundos </v>
          </cell>
          <cell r="D99">
            <v>0</v>
          </cell>
          <cell r="F99">
            <v>0</v>
          </cell>
          <cell r="H99">
            <v>0</v>
          </cell>
          <cell r="J99">
            <v>0</v>
          </cell>
          <cell r="L99">
            <v>0</v>
          </cell>
          <cell r="N99">
            <v>0</v>
          </cell>
          <cell r="P99">
            <v>0</v>
          </cell>
          <cell r="R99">
            <v>0</v>
          </cell>
          <cell r="T99">
            <v>0</v>
          </cell>
          <cell r="V99">
            <v>0</v>
          </cell>
          <cell r="X99">
            <v>0</v>
          </cell>
          <cell r="Z99">
            <v>0</v>
          </cell>
          <cell r="AB99">
            <v>0</v>
          </cell>
          <cell r="AF99">
            <v>0</v>
          </cell>
          <cell r="AH99">
            <v>0</v>
          </cell>
        </row>
        <row r="100">
          <cell r="A100">
            <v>71799</v>
          </cell>
          <cell r="B100" t="str">
            <v xml:space="preserve">  -  Rendas de Outros Serviços</v>
          </cell>
          <cell r="D100">
            <v>80136.240000000005</v>
          </cell>
          <cell r="F100">
            <v>59512.07</v>
          </cell>
          <cell r="H100">
            <v>62960.2</v>
          </cell>
          <cell r="J100">
            <v>68728.91</v>
          </cell>
          <cell r="L100">
            <v>76229.009999999995</v>
          </cell>
          <cell r="N100">
            <v>72656.52</v>
          </cell>
          <cell r="P100">
            <v>76301.100000000006</v>
          </cell>
          <cell r="R100">
            <v>119652.93</v>
          </cell>
          <cell r="T100">
            <v>146816.71</v>
          </cell>
          <cell r="V100">
            <v>688903.27</v>
          </cell>
          <cell r="X100">
            <v>569576.6</v>
          </cell>
          <cell r="Z100">
            <v>613504.13</v>
          </cell>
          <cell r="AB100">
            <v>2634977.69</v>
          </cell>
          <cell r="AF100">
            <v>420222.95000000007</v>
          </cell>
          <cell r="AH100">
            <v>2214754.7399999998</v>
          </cell>
        </row>
        <row r="102">
          <cell r="A102">
            <v>718</v>
          </cell>
          <cell r="B102" t="str">
            <v xml:space="preserve">  . Rendas de Participações</v>
          </cell>
          <cell r="D102">
            <v>1307754.96</v>
          </cell>
          <cell r="F102">
            <v>1314238.8799999999</v>
          </cell>
          <cell r="H102">
            <v>8740236.2599999998</v>
          </cell>
          <cell r="J102">
            <v>1444757.88</v>
          </cell>
          <cell r="L102">
            <v>1941809.28</v>
          </cell>
          <cell r="N102">
            <v>13506017.200000001</v>
          </cell>
          <cell r="P102">
            <v>634585.19999999995</v>
          </cell>
          <cell r="R102">
            <v>1967921.61</v>
          </cell>
          <cell r="T102">
            <v>11990545.639999999</v>
          </cell>
          <cell r="V102">
            <v>4046.98</v>
          </cell>
          <cell r="X102">
            <v>5471948.7999999998</v>
          </cell>
          <cell r="Z102">
            <v>6628290.0599999996</v>
          </cell>
          <cell r="AB102">
            <v>54952152.75</v>
          </cell>
          <cell r="AF102">
            <v>28254814.460000005</v>
          </cell>
          <cell r="AH102">
            <v>26697338.289999995</v>
          </cell>
        </row>
        <row r="103">
          <cell r="A103">
            <v>71810</v>
          </cell>
          <cell r="B103" t="str">
            <v xml:space="preserve">  -  Rendas de Ajustes em Investimentos no Exterior</v>
          </cell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L103">
            <v>0</v>
          </cell>
          <cell r="N103">
            <v>0</v>
          </cell>
          <cell r="P103">
            <v>0</v>
          </cell>
          <cell r="R103">
            <v>0</v>
          </cell>
          <cell r="T103">
            <v>0</v>
          </cell>
          <cell r="V103">
            <v>0</v>
          </cell>
          <cell r="X103">
            <v>0</v>
          </cell>
          <cell r="Z103">
            <v>0</v>
          </cell>
          <cell r="AB103">
            <v>0</v>
          </cell>
          <cell r="AF103">
            <v>0</v>
          </cell>
          <cell r="AH103">
            <v>0</v>
          </cell>
        </row>
        <row r="105">
          <cell r="A105">
            <v>71820</v>
          </cell>
          <cell r="B105" t="str">
            <v xml:space="preserve">  -  Rendas de Ajustes em Invest. em Coligadas e Controladas</v>
          </cell>
          <cell r="D105">
            <v>1307754.96</v>
          </cell>
          <cell r="F105">
            <v>1314238.8799999999</v>
          </cell>
          <cell r="H105">
            <v>8740236.2599999998</v>
          </cell>
          <cell r="J105">
            <v>1444757.88</v>
          </cell>
          <cell r="L105">
            <v>1941809.28</v>
          </cell>
          <cell r="N105">
            <v>13506017.200000001</v>
          </cell>
          <cell r="P105">
            <v>634585.19999999995</v>
          </cell>
          <cell r="R105">
            <v>1967921.61</v>
          </cell>
          <cell r="T105">
            <v>11990545.639999999</v>
          </cell>
          <cell r="V105">
            <v>4046.98</v>
          </cell>
          <cell r="X105">
            <v>5471948.7999999998</v>
          </cell>
          <cell r="Z105">
            <v>6628290.0599999996</v>
          </cell>
          <cell r="AB105">
            <v>54952152.75</v>
          </cell>
          <cell r="AF105">
            <v>28254814.460000005</v>
          </cell>
          <cell r="AH105">
            <v>26697338.289999995</v>
          </cell>
        </row>
        <row r="106">
          <cell r="A106">
            <v>718200007</v>
          </cell>
          <cell r="B106" t="str">
            <v xml:space="preserve">     G 700 Corretora de Seguros</v>
          </cell>
          <cell r="D106">
            <v>3075.04</v>
          </cell>
          <cell r="F106">
            <v>2628.37</v>
          </cell>
          <cell r="H106">
            <v>3034.85</v>
          </cell>
          <cell r="J106">
            <v>2233.52</v>
          </cell>
          <cell r="L106">
            <v>3270.01</v>
          </cell>
          <cell r="N106">
            <v>3064.05</v>
          </cell>
          <cell r="P106">
            <v>3361.49</v>
          </cell>
          <cell r="R106">
            <v>3760.56</v>
          </cell>
          <cell r="T106">
            <v>3356.32</v>
          </cell>
          <cell r="V106">
            <v>4046.98</v>
          </cell>
          <cell r="X106">
            <v>2824.84</v>
          </cell>
          <cell r="Z106">
            <v>2865.88</v>
          </cell>
          <cell r="AB106">
            <v>37521.909999999996</v>
          </cell>
          <cell r="AF106">
            <v>17305.84</v>
          </cell>
          <cell r="AH106">
            <v>20216.07</v>
          </cell>
        </row>
        <row r="107">
          <cell r="A107">
            <v>718200011</v>
          </cell>
          <cell r="B107" t="str">
            <v xml:space="preserve">     Fininvest FDTVM</v>
          </cell>
          <cell r="D107">
            <v>18239.75</v>
          </cell>
          <cell r="F107">
            <v>394980.74</v>
          </cell>
          <cell r="H107">
            <v>67426.86</v>
          </cell>
          <cell r="J107">
            <v>0</v>
          </cell>
          <cell r="L107">
            <v>20534.169999999998</v>
          </cell>
          <cell r="N107">
            <v>234522.03</v>
          </cell>
          <cell r="P107">
            <v>0</v>
          </cell>
          <cell r="R107">
            <v>0</v>
          </cell>
          <cell r="T107">
            <v>162223.03</v>
          </cell>
          <cell r="V107">
            <v>0</v>
          </cell>
          <cell r="X107">
            <v>0</v>
          </cell>
          <cell r="Z107">
            <v>0</v>
          </cell>
          <cell r="AB107">
            <v>897926.58</v>
          </cell>
          <cell r="AF107">
            <v>735703.54999999993</v>
          </cell>
          <cell r="AH107">
            <v>162223.03</v>
          </cell>
        </row>
        <row r="108">
          <cell r="A108">
            <v>718200021</v>
          </cell>
          <cell r="B108" t="str">
            <v xml:space="preserve">     Fininvest S.A. Adm. de Cartões de Créditos</v>
          </cell>
          <cell r="D108">
            <v>600408.46</v>
          </cell>
          <cell r="F108">
            <v>873012.27</v>
          </cell>
          <cell r="H108">
            <v>8144854.4900000002</v>
          </cell>
          <cell r="J108">
            <v>1140310.51</v>
          </cell>
          <cell r="L108">
            <v>1619047.5</v>
          </cell>
          <cell r="N108">
            <v>13117159.4</v>
          </cell>
          <cell r="P108">
            <v>616202.37</v>
          </cell>
          <cell r="R108">
            <v>1797389.56</v>
          </cell>
          <cell r="T108">
            <v>11824966.289999999</v>
          </cell>
          <cell r="V108">
            <v>0</v>
          </cell>
          <cell r="X108">
            <v>5341345.83</v>
          </cell>
          <cell r="Z108">
            <v>6027553.9299999997</v>
          </cell>
          <cell r="AB108">
            <v>51102250.609999999</v>
          </cell>
          <cell r="AF108">
            <v>25494792.630000003</v>
          </cell>
          <cell r="AH108">
            <v>25607457.979999997</v>
          </cell>
        </row>
        <row r="109">
          <cell r="A109">
            <v>718200032</v>
          </cell>
          <cell r="B109" t="str">
            <v xml:space="preserve">     Fininvest Participações Ltda</v>
          </cell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L109">
            <v>0</v>
          </cell>
          <cell r="N109">
            <v>0</v>
          </cell>
          <cell r="P109">
            <v>0</v>
          </cell>
          <cell r="R109">
            <v>0</v>
          </cell>
          <cell r="T109">
            <v>0</v>
          </cell>
          <cell r="V109">
            <v>0</v>
          </cell>
          <cell r="X109">
            <v>0</v>
          </cell>
          <cell r="Z109">
            <v>0</v>
          </cell>
          <cell r="AB109">
            <v>0</v>
          </cell>
          <cell r="AF109">
            <v>0</v>
          </cell>
          <cell r="AH109">
            <v>0</v>
          </cell>
        </row>
        <row r="110">
          <cell r="A110">
            <v>718200041</v>
          </cell>
          <cell r="B110" t="str">
            <v xml:space="preserve">     Fininvest Leasing Atividade Mercantil</v>
          </cell>
          <cell r="D110">
            <v>50862.55</v>
          </cell>
          <cell r="F110">
            <v>43617.5</v>
          </cell>
          <cell r="H110">
            <v>50299.01</v>
          </cell>
          <cell r="J110">
            <v>36985.58</v>
          </cell>
          <cell r="L110">
            <v>52392.05</v>
          </cell>
          <cell r="N110">
            <v>0</v>
          </cell>
          <cell r="P110">
            <v>0</v>
          </cell>
          <cell r="R110">
            <v>0</v>
          </cell>
          <cell r="T110">
            <v>0</v>
          </cell>
          <cell r="V110">
            <v>0</v>
          </cell>
          <cell r="X110">
            <v>0</v>
          </cell>
          <cell r="Z110">
            <v>0</v>
          </cell>
          <cell r="AB110">
            <v>234156.69</v>
          </cell>
          <cell r="AF110">
            <v>234156.69</v>
          </cell>
          <cell r="AH110">
            <v>0</v>
          </cell>
        </row>
        <row r="111">
          <cell r="A111">
            <v>718200072</v>
          </cell>
          <cell r="B111" t="str">
            <v xml:space="preserve">     Cemap Factoring Ltda</v>
          </cell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L111">
            <v>0</v>
          </cell>
          <cell r="N111">
            <v>0</v>
          </cell>
          <cell r="P111">
            <v>0</v>
          </cell>
          <cell r="R111">
            <v>0</v>
          </cell>
          <cell r="T111">
            <v>0</v>
          </cell>
          <cell r="V111">
            <v>0</v>
          </cell>
          <cell r="X111">
            <v>0</v>
          </cell>
          <cell r="Z111">
            <v>0</v>
          </cell>
          <cell r="AB111">
            <v>0</v>
          </cell>
          <cell r="AF111">
            <v>0</v>
          </cell>
          <cell r="AH111">
            <v>0</v>
          </cell>
        </row>
        <row r="112">
          <cell r="A112">
            <v>718200081</v>
          </cell>
          <cell r="B112" t="str">
            <v xml:space="preserve">     FMX Participações</v>
          </cell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L112">
            <v>0</v>
          </cell>
          <cell r="N112">
            <v>0</v>
          </cell>
          <cell r="P112">
            <v>0</v>
          </cell>
          <cell r="R112">
            <v>0</v>
          </cell>
          <cell r="T112">
            <v>0</v>
          </cell>
          <cell r="V112">
            <v>0</v>
          </cell>
          <cell r="X112">
            <v>127778.13</v>
          </cell>
          <cell r="Z112">
            <v>597870.25</v>
          </cell>
          <cell r="AB112">
            <v>725648.38</v>
          </cell>
          <cell r="AF112">
            <v>0</v>
          </cell>
          <cell r="AH112">
            <v>725648.38</v>
          </cell>
        </row>
        <row r="113">
          <cell r="A113">
            <v>718200061</v>
          </cell>
          <cell r="B113" t="str">
            <v xml:space="preserve">     FMX</v>
          </cell>
          <cell r="D113">
            <v>635169.16</v>
          </cell>
          <cell r="F113">
            <v>0</v>
          </cell>
          <cell r="H113">
            <v>474621.05</v>
          </cell>
          <cell r="J113">
            <v>265228.27</v>
          </cell>
          <cell r="L113">
            <v>246565.55</v>
          </cell>
          <cell r="N113">
            <v>151271.72</v>
          </cell>
          <cell r="P113">
            <v>15021.34</v>
          </cell>
          <cell r="R113">
            <v>166771.49</v>
          </cell>
          <cell r="T113">
            <v>0</v>
          </cell>
          <cell r="V113">
            <v>0</v>
          </cell>
          <cell r="X113">
            <v>0</v>
          </cell>
          <cell r="Z113">
            <v>0</v>
          </cell>
          <cell r="AB113">
            <v>1954648.58</v>
          </cell>
          <cell r="AF113">
            <v>1772855.75</v>
          </cell>
          <cell r="AH113">
            <v>181792.83</v>
          </cell>
        </row>
        <row r="114">
          <cell r="AH114">
            <v>0</v>
          </cell>
        </row>
        <row r="115">
          <cell r="A115">
            <v>719</v>
          </cell>
          <cell r="B115" t="str">
            <v xml:space="preserve">  . Outras Receitas Operacionais</v>
          </cell>
          <cell r="D115">
            <v>265951.98</v>
          </cell>
          <cell r="F115">
            <v>234279.31</v>
          </cell>
          <cell r="H115">
            <v>555713.4</v>
          </cell>
          <cell r="J115">
            <v>269884.38</v>
          </cell>
          <cell r="L115">
            <v>235896.13</v>
          </cell>
          <cell r="N115">
            <v>1261622.8999999999</v>
          </cell>
          <cell r="P115">
            <v>276997.15000000002</v>
          </cell>
          <cell r="R115">
            <v>2172683.14</v>
          </cell>
          <cell r="T115">
            <v>803488.52</v>
          </cell>
          <cell r="V115">
            <v>130299021.28</v>
          </cell>
          <cell r="X115">
            <v>11455589.389999997</v>
          </cell>
          <cell r="Z115">
            <v>31705691.870000005</v>
          </cell>
          <cell r="AB115">
            <v>180930322.40000001</v>
          </cell>
          <cell r="AF115">
            <v>3020833.92</v>
          </cell>
          <cell r="AH115">
            <v>177909488.48000002</v>
          </cell>
        </row>
        <row r="116">
          <cell r="A116">
            <v>71920</v>
          </cell>
          <cell r="B116" t="str">
            <v xml:space="preserve">  -  Recuperação de Créditos Baixados com Prejuízo</v>
          </cell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L116">
            <v>0</v>
          </cell>
          <cell r="N116">
            <v>0</v>
          </cell>
          <cell r="P116">
            <v>0</v>
          </cell>
          <cell r="R116">
            <v>0</v>
          </cell>
          <cell r="T116">
            <v>0</v>
          </cell>
          <cell r="V116">
            <v>1981981.07</v>
          </cell>
          <cell r="X116">
            <v>2516860.31</v>
          </cell>
          <cell r="Z116">
            <v>20113759.52</v>
          </cell>
          <cell r="AB116">
            <v>24612600.899999999</v>
          </cell>
          <cell r="AF116">
            <v>0</v>
          </cell>
          <cell r="AH116">
            <v>24612600.899999999</v>
          </cell>
        </row>
        <row r="117">
          <cell r="A117">
            <v>71925</v>
          </cell>
          <cell r="B117" t="str">
            <v xml:space="preserve">  -  Rendas de Creditos Decorrentes de Contratos de Exportação</v>
          </cell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L117">
            <v>0</v>
          </cell>
          <cell r="N117">
            <v>0</v>
          </cell>
          <cell r="P117">
            <v>0</v>
          </cell>
          <cell r="R117">
            <v>0</v>
          </cell>
          <cell r="T117">
            <v>0</v>
          </cell>
          <cell r="V117">
            <v>0</v>
          </cell>
          <cell r="X117">
            <v>0</v>
          </cell>
          <cell r="Z117">
            <v>0</v>
          </cell>
          <cell r="AB117">
            <v>0</v>
          </cell>
          <cell r="AF117">
            <v>0</v>
          </cell>
          <cell r="AH117">
            <v>0</v>
          </cell>
        </row>
        <row r="118">
          <cell r="A118">
            <v>71930</v>
          </cell>
          <cell r="B118" t="str">
            <v xml:space="preserve">  -  Recuperação de Encargos e Despesas</v>
          </cell>
          <cell r="D118">
            <v>15225.78</v>
          </cell>
          <cell r="F118">
            <v>12963.42</v>
          </cell>
          <cell r="H118">
            <v>12142.28</v>
          </cell>
          <cell r="J118">
            <v>0</v>
          </cell>
          <cell r="L118">
            <v>0</v>
          </cell>
          <cell r="N118">
            <v>0</v>
          </cell>
          <cell r="P118">
            <v>0</v>
          </cell>
          <cell r="R118">
            <v>0</v>
          </cell>
          <cell r="T118">
            <v>0</v>
          </cell>
          <cell r="V118">
            <v>4925048.96</v>
          </cell>
          <cell r="X118">
            <v>6606606.1499999994</v>
          </cell>
          <cell r="Z118">
            <v>7682617.5199999996</v>
          </cell>
          <cell r="AB118">
            <v>19254604.109999999</v>
          </cell>
          <cell r="AF118">
            <v>40331.480000000003</v>
          </cell>
          <cell r="AH118">
            <v>19214272.629999999</v>
          </cell>
        </row>
        <row r="119">
          <cell r="A119">
            <v>71940</v>
          </cell>
          <cell r="B119" t="str">
            <v xml:space="preserve">  -  Rendas de Aplicação no Exterior</v>
          </cell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L119">
            <v>0</v>
          </cell>
          <cell r="N119">
            <v>0</v>
          </cell>
          <cell r="P119">
            <v>0</v>
          </cell>
          <cell r="R119">
            <v>0</v>
          </cell>
          <cell r="T119">
            <v>0</v>
          </cell>
          <cell r="V119">
            <v>0</v>
          </cell>
          <cell r="X119">
            <v>0</v>
          </cell>
          <cell r="Z119">
            <v>0</v>
          </cell>
          <cell r="AB119">
            <v>0</v>
          </cell>
          <cell r="AF119">
            <v>0</v>
          </cell>
          <cell r="AH119">
            <v>0</v>
          </cell>
        </row>
        <row r="120">
          <cell r="A120">
            <v>71945</v>
          </cell>
          <cell r="B120" t="str">
            <v xml:space="preserve">  -  Rendas de Aplicação no Exterior - Taxas Flutuantes</v>
          </cell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L120">
            <v>0</v>
          </cell>
          <cell r="N120">
            <v>0</v>
          </cell>
          <cell r="P120">
            <v>0</v>
          </cell>
          <cell r="R120">
            <v>0</v>
          </cell>
          <cell r="T120">
            <v>0</v>
          </cell>
          <cell r="V120">
            <v>0</v>
          </cell>
          <cell r="X120">
            <v>0</v>
          </cell>
          <cell r="Z120">
            <v>0</v>
          </cell>
          <cell r="AB120">
            <v>0</v>
          </cell>
          <cell r="AF120">
            <v>0</v>
          </cell>
          <cell r="AH120">
            <v>0</v>
          </cell>
        </row>
        <row r="121">
          <cell r="A121">
            <v>71947</v>
          </cell>
          <cell r="B121" t="str">
            <v xml:space="preserve">  -  Rendas de Aplicações em Moedas Estrangeiras no Pais</v>
          </cell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L121">
            <v>0</v>
          </cell>
          <cell r="N121">
            <v>0</v>
          </cell>
          <cell r="P121">
            <v>0</v>
          </cell>
          <cell r="R121">
            <v>0</v>
          </cell>
          <cell r="T121">
            <v>0</v>
          </cell>
          <cell r="V121">
            <v>0</v>
          </cell>
          <cell r="X121">
            <v>0</v>
          </cell>
          <cell r="Z121">
            <v>0</v>
          </cell>
          <cell r="AB121">
            <v>0</v>
          </cell>
          <cell r="AF121">
            <v>0</v>
          </cell>
          <cell r="AH121">
            <v>0</v>
          </cell>
        </row>
        <row r="122">
          <cell r="A122">
            <v>71950</v>
          </cell>
          <cell r="B122" t="str">
            <v xml:space="preserve">  -  Rendas de Creditos por Avais e Fianças Honrados</v>
          </cell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L122">
            <v>0</v>
          </cell>
          <cell r="N122">
            <v>0</v>
          </cell>
          <cell r="P122">
            <v>0</v>
          </cell>
          <cell r="R122">
            <v>0</v>
          </cell>
          <cell r="T122">
            <v>0</v>
          </cell>
          <cell r="V122">
            <v>0</v>
          </cell>
          <cell r="X122">
            <v>0</v>
          </cell>
          <cell r="Z122">
            <v>0</v>
          </cell>
          <cell r="AB122">
            <v>0</v>
          </cell>
          <cell r="AF122">
            <v>0</v>
          </cell>
          <cell r="AH122">
            <v>0</v>
          </cell>
        </row>
        <row r="123">
          <cell r="A123">
            <v>71955</v>
          </cell>
          <cell r="B123" t="str">
            <v xml:space="preserve">  -  Rendas de Creditos Vinculados ao Crédito Rural</v>
          </cell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L123">
            <v>0</v>
          </cell>
          <cell r="N123">
            <v>0</v>
          </cell>
          <cell r="P123">
            <v>0</v>
          </cell>
          <cell r="R123">
            <v>0</v>
          </cell>
          <cell r="T123">
            <v>0</v>
          </cell>
          <cell r="V123">
            <v>0</v>
          </cell>
          <cell r="X123">
            <v>0</v>
          </cell>
          <cell r="Z123">
            <v>0</v>
          </cell>
          <cell r="AB123">
            <v>0</v>
          </cell>
          <cell r="AF123">
            <v>0</v>
          </cell>
          <cell r="AH123">
            <v>0</v>
          </cell>
        </row>
        <row r="124">
          <cell r="A124">
            <v>71960</v>
          </cell>
          <cell r="B124" t="str">
            <v xml:space="preserve">  -  Rendas de Creditos Vinculados ao Banco Central</v>
          </cell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L124">
            <v>0</v>
          </cell>
          <cell r="N124">
            <v>0</v>
          </cell>
          <cell r="P124">
            <v>0</v>
          </cell>
          <cell r="R124">
            <v>0</v>
          </cell>
          <cell r="T124">
            <v>0</v>
          </cell>
          <cell r="V124">
            <v>0</v>
          </cell>
          <cell r="X124">
            <v>0</v>
          </cell>
          <cell r="Z124">
            <v>0</v>
          </cell>
          <cell r="AB124">
            <v>0</v>
          </cell>
          <cell r="AF124">
            <v>0</v>
          </cell>
          <cell r="AH124">
            <v>0</v>
          </cell>
        </row>
        <row r="125">
          <cell r="A125">
            <v>71965</v>
          </cell>
          <cell r="B125" t="str">
            <v xml:space="preserve">  -  Rendas de Creditos Vinculados ao SFH</v>
          </cell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L125">
            <v>0</v>
          </cell>
          <cell r="N125">
            <v>0</v>
          </cell>
          <cell r="P125">
            <v>0</v>
          </cell>
          <cell r="R125">
            <v>0</v>
          </cell>
          <cell r="T125">
            <v>0</v>
          </cell>
          <cell r="V125">
            <v>0</v>
          </cell>
          <cell r="X125">
            <v>0</v>
          </cell>
          <cell r="Z125">
            <v>0</v>
          </cell>
          <cell r="AB125">
            <v>0</v>
          </cell>
          <cell r="AF125">
            <v>0</v>
          </cell>
          <cell r="AH125">
            <v>0</v>
          </cell>
        </row>
        <row r="126">
          <cell r="A126">
            <v>71970</v>
          </cell>
          <cell r="B126" t="str">
            <v xml:space="preserve">  -  Rendas de Garantias Prestadas</v>
          </cell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L126">
            <v>0</v>
          </cell>
          <cell r="N126">
            <v>0</v>
          </cell>
          <cell r="P126">
            <v>0</v>
          </cell>
          <cell r="R126">
            <v>0</v>
          </cell>
          <cell r="T126">
            <v>0</v>
          </cell>
          <cell r="V126">
            <v>1487508.98</v>
          </cell>
          <cell r="X126">
            <v>-1558.9399999999441</v>
          </cell>
          <cell r="Z126">
            <v>0</v>
          </cell>
          <cell r="AB126">
            <v>1485950.04</v>
          </cell>
          <cell r="AF126">
            <v>0</v>
          </cell>
          <cell r="AH126">
            <v>1485950.04</v>
          </cell>
        </row>
        <row r="127">
          <cell r="A127">
            <v>71980</v>
          </cell>
          <cell r="B127" t="str">
            <v xml:space="preserve">  -  Rendas de Repasses Interfinanceiros</v>
          </cell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L127">
            <v>0</v>
          </cell>
          <cell r="N127">
            <v>0</v>
          </cell>
          <cell r="P127">
            <v>0</v>
          </cell>
          <cell r="R127">
            <v>0</v>
          </cell>
          <cell r="T127">
            <v>0</v>
          </cell>
          <cell r="V127">
            <v>0</v>
          </cell>
          <cell r="X127">
            <v>0</v>
          </cell>
          <cell r="Z127">
            <v>0</v>
          </cell>
          <cell r="AB127">
            <v>0</v>
          </cell>
          <cell r="AF127">
            <v>0</v>
          </cell>
          <cell r="AH127">
            <v>0</v>
          </cell>
        </row>
        <row r="128">
          <cell r="A128">
            <v>71985</v>
          </cell>
          <cell r="B128" t="str">
            <v xml:space="preserve">  -  Rendas de Creditos Especificos</v>
          </cell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L128">
            <v>0</v>
          </cell>
          <cell r="N128">
            <v>0</v>
          </cell>
          <cell r="P128">
            <v>0</v>
          </cell>
          <cell r="R128">
            <v>0</v>
          </cell>
          <cell r="T128">
            <v>0</v>
          </cell>
          <cell r="V128">
            <v>0</v>
          </cell>
          <cell r="X128">
            <v>0</v>
          </cell>
          <cell r="Z128">
            <v>0</v>
          </cell>
          <cell r="AB128">
            <v>0</v>
          </cell>
          <cell r="AF128">
            <v>0</v>
          </cell>
          <cell r="AH128">
            <v>0</v>
          </cell>
        </row>
        <row r="129">
          <cell r="A129">
            <v>71987</v>
          </cell>
          <cell r="B129" t="str">
            <v xml:space="preserve">  -  Rendas de Operações Refinanciadas Com o Governo Federal</v>
          </cell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L129">
            <v>0</v>
          </cell>
          <cell r="N129">
            <v>0</v>
          </cell>
          <cell r="P129">
            <v>0</v>
          </cell>
          <cell r="R129">
            <v>0</v>
          </cell>
          <cell r="T129">
            <v>0</v>
          </cell>
          <cell r="V129">
            <v>0</v>
          </cell>
          <cell r="X129">
            <v>0</v>
          </cell>
          <cell r="Z129">
            <v>0</v>
          </cell>
          <cell r="AB129">
            <v>0</v>
          </cell>
          <cell r="AF129">
            <v>0</v>
          </cell>
          <cell r="AH129">
            <v>0</v>
          </cell>
        </row>
        <row r="130">
          <cell r="A130">
            <v>71990</v>
          </cell>
          <cell r="B130" t="str">
            <v xml:space="preserve">  -  Reversão de Provisões Operacionais</v>
          </cell>
          <cell r="D130">
            <v>4391.32</v>
          </cell>
          <cell r="F130">
            <v>0</v>
          </cell>
          <cell r="H130">
            <v>0</v>
          </cell>
          <cell r="J130">
            <v>0</v>
          </cell>
          <cell r="L130">
            <v>0</v>
          </cell>
          <cell r="N130">
            <v>0</v>
          </cell>
          <cell r="P130">
            <v>0</v>
          </cell>
          <cell r="R130">
            <v>993605.98</v>
          </cell>
          <cell r="T130">
            <v>605511.58999999985</v>
          </cell>
          <cell r="V130">
            <v>10114490.190000001</v>
          </cell>
          <cell r="X130">
            <v>3430</v>
          </cell>
          <cell r="Z130">
            <v>13976.989999998361</v>
          </cell>
          <cell r="AB130">
            <v>11735406.07</v>
          </cell>
          <cell r="AF130">
            <v>4391.32</v>
          </cell>
          <cell r="AH130">
            <v>11731014.75</v>
          </cell>
          <cell r="AJ130">
            <v>0</v>
          </cell>
        </row>
        <row r="131">
          <cell r="A131">
            <v>7199030</v>
          </cell>
          <cell r="B131" t="str">
            <v xml:space="preserve">  Reversão de Operações de Crédito e Liquidação Duvidosa</v>
          </cell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L131">
            <v>0</v>
          </cell>
          <cell r="N131">
            <v>0</v>
          </cell>
          <cell r="P131">
            <v>0</v>
          </cell>
          <cell r="R131">
            <v>0</v>
          </cell>
          <cell r="T131">
            <v>0</v>
          </cell>
          <cell r="V131">
            <v>0</v>
          </cell>
          <cell r="X131">
            <v>0</v>
          </cell>
          <cell r="Z131">
            <v>0</v>
          </cell>
          <cell r="AB131">
            <v>0</v>
          </cell>
          <cell r="AF131">
            <v>0</v>
          </cell>
          <cell r="AH131">
            <v>0</v>
          </cell>
        </row>
        <row r="132">
          <cell r="A132">
            <v>7199095</v>
          </cell>
          <cell r="B132" t="str">
            <v xml:space="preserve">  Reversão de IR</v>
          </cell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L132">
            <v>0</v>
          </cell>
          <cell r="N132">
            <v>0</v>
          </cell>
          <cell r="P132">
            <v>0</v>
          </cell>
          <cell r="R132">
            <v>0</v>
          </cell>
          <cell r="T132">
            <v>0</v>
          </cell>
          <cell r="V132">
            <v>0</v>
          </cell>
          <cell r="X132">
            <v>0</v>
          </cell>
          <cell r="Z132">
            <v>0</v>
          </cell>
          <cell r="AB132">
            <v>0</v>
          </cell>
          <cell r="AF132">
            <v>0</v>
          </cell>
          <cell r="AH132">
            <v>0</v>
          </cell>
        </row>
        <row r="133">
          <cell r="A133">
            <v>7199099</v>
          </cell>
          <cell r="B133" t="str">
            <v xml:space="preserve">  Outras Reversões</v>
          </cell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L133">
            <v>0</v>
          </cell>
          <cell r="N133">
            <v>0</v>
          </cell>
          <cell r="P133">
            <v>0</v>
          </cell>
          <cell r="R133">
            <v>993605.98</v>
          </cell>
          <cell r="T133">
            <v>-590505.54</v>
          </cell>
          <cell r="V133">
            <v>161494.64000000001</v>
          </cell>
          <cell r="X133">
            <v>3430</v>
          </cell>
          <cell r="Z133">
            <v>3430</v>
          </cell>
          <cell r="AB133">
            <v>571455.07999999996</v>
          </cell>
          <cell r="AF133">
            <v>0</v>
          </cell>
          <cell r="AH133">
            <v>571455.07999999996</v>
          </cell>
        </row>
        <row r="134">
          <cell r="A134">
            <v>719909996</v>
          </cell>
          <cell r="B134" t="str">
            <v xml:space="preserve">  -  Reversão de Provisões Fiscais</v>
          </cell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L134">
            <v>0</v>
          </cell>
          <cell r="N134">
            <v>0</v>
          </cell>
          <cell r="P134">
            <v>0</v>
          </cell>
          <cell r="R134">
            <v>0</v>
          </cell>
          <cell r="T134">
            <v>0</v>
          </cell>
          <cell r="V134">
            <v>0</v>
          </cell>
          <cell r="X134">
            <v>0</v>
          </cell>
          <cell r="Z134">
            <v>0</v>
          </cell>
          <cell r="AB134">
            <v>0</v>
          </cell>
          <cell r="AF134">
            <v>0</v>
          </cell>
          <cell r="AH134">
            <v>0</v>
          </cell>
        </row>
        <row r="135">
          <cell r="A135">
            <v>71999</v>
          </cell>
          <cell r="B135" t="str">
            <v xml:space="preserve">  -  Outras Rendas Operacionais</v>
          </cell>
          <cell r="D135">
            <v>246334.88</v>
          </cell>
          <cell r="F135">
            <v>221315.89</v>
          </cell>
          <cell r="H135">
            <v>543571.12</v>
          </cell>
          <cell r="J135">
            <v>269884.38</v>
          </cell>
          <cell r="L135">
            <v>235896.13</v>
          </cell>
          <cell r="N135">
            <v>1261622.8999999999</v>
          </cell>
          <cell r="P135">
            <v>276997.15000000002</v>
          </cell>
          <cell r="R135">
            <v>1179077.1599999999</v>
          </cell>
          <cell r="T135">
            <v>1393994.06</v>
          </cell>
          <cell r="V135">
            <v>111789992.08</v>
          </cell>
          <cell r="X135">
            <v>2330251.87</v>
          </cell>
          <cell r="Z135">
            <v>3895337.8400000087</v>
          </cell>
          <cell r="AB135">
            <v>123841761.28</v>
          </cell>
          <cell r="AF135">
            <v>2976111.12</v>
          </cell>
          <cell r="AH135">
            <v>120865650.16000001</v>
          </cell>
        </row>
        <row r="136">
          <cell r="A136">
            <v>719990001</v>
          </cell>
          <cell r="B136" t="str">
            <v xml:space="preserve"> Variações Monetárias Ativas</v>
          </cell>
          <cell r="D136">
            <v>0</v>
          </cell>
          <cell r="F136">
            <v>0</v>
          </cell>
          <cell r="H136">
            <v>430911.67</v>
          </cell>
          <cell r="J136">
            <v>0</v>
          </cell>
          <cell r="L136">
            <v>0</v>
          </cell>
          <cell r="N136">
            <v>708788.68</v>
          </cell>
          <cell r="P136">
            <v>0</v>
          </cell>
          <cell r="R136">
            <v>0</v>
          </cell>
          <cell r="T136">
            <v>1110592.3400000001</v>
          </cell>
          <cell r="V136">
            <v>2717524.95</v>
          </cell>
          <cell r="X136">
            <v>762037.89</v>
          </cell>
          <cell r="Z136">
            <v>1914815.69</v>
          </cell>
          <cell r="AB136">
            <v>7644671.2200000007</v>
          </cell>
          <cell r="AF136">
            <v>1139700.3500000001</v>
          </cell>
          <cell r="AH136">
            <v>6504970.8699999992</v>
          </cell>
        </row>
        <row r="137">
          <cell r="A137">
            <v>719990002</v>
          </cell>
          <cell r="B137" t="str">
            <v xml:space="preserve"> Juros</v>
          </cell>
          <cell r="D137">
            <v>35641.94</v>
          </cell>
          <cell r="F137">
            <v>23604.78</v>
          </cell>
          <cell r="H137">
            <v>98730.32</v>
          </cell>
          <cell r="J137">
            <v>55052.62</v>
          </cell>
          <cell r="L137">
            <v>0</v>
          </cell>
          <cell r="N137">
            <v>217783.35</v>
          </cell>
          <cell r="P137">
            <v>46355.98</v>
          </cell>
          <cell r="R137">
            <v>54751.15</v>
          </cell>
          <cell r="T137">
            <v>50329.77</v>
          </cell>
          <cell r="V137">
            <v>56252.47</v>
          </cell>
          <cell r="X137">
            <v>55846.16</v>
          </cell>
          <cell r="Z137">
            <v>0</v>
          </cell>
          <cell r="AB137">
            <v>694348.54</v>
          </cell>
          <cell r="AF137">
            <v>430813.01</v>
          </cell>
          <cell r="AH137">
            <v>263535.53000000003</v>
          </cell>
        </row>
        <row r="138">
          <cell r="A138">
            <v>719990003</v>
          </cell>
          <cell r="B138" t="str">
            <v xml:space="preserve"> Juros Recuperados Cheque DMF</v>
          </cell>
          <cell r="T138">
            <v>109090.39</v>
          </cell>
          <cell r="V138">
            <v>16599.169999999998</v>
          </cell>
          <cell r="X138">
            <v>10677.93</v>
          </cell>
          <cell r="Z138">
            <v>15365.51</v>
          </cell>
          <cell r="AB138">
            <v>151733</v>
          </cell>
          <cell r="AF138">
            <v>0</v>
          </cell>
          <cell r="AH138">
            <v>151733</v>
          </cell>
        </row>
        <row r="139">
          <cell r="A139">
            <v>719990004</v>
          </cell>
          <cell r="B139" t="str">
            <v xml:space="preserve"> Baixa de Rejeitado</v>
          </cell>
          <cell r="D139">
            <v>8505.1299999999992</v>
          </cell>
          <cell r="F139">
            <v>100.38000000000102</v>
          </cell>
          <cell r="H139">
            <v>0</v>
          </cell>
          <cell r="J139">
            <v>0</v>
          </cell>
          <cell r="L139">
            <v>0</v>
          </cell>
          <cell r="N139">
            <v>81687.63</v>
          </cell>
          <cell r="P139">
            <v>0</v>
          </cell>
          <cell r="R139">
            <v>0</v>
          </cell>
          <cell r="T139">
            <v>0</v>
          </cell>
          <cell r="V139">
            <v>583044.30000000005</v>
          </cell>
          <cell r="X139">
            <v>215587.21</v>
          </cell>
          <cell r="Z139">
            <v>808561.7</v>
          </cell>
          <cell r="AB139">
            <v>1697486.35</v>
          </cell>
          <cell r="AF139">
            <v>90293.14</v>
          </cell>
          <cell r="AH139">
            <v>1607193.21</v>
          </cell>
        </row>
        <row r="140">
          <cell r="A140">
            <v>719990006</v>
          </cell>
          <cell r="B140" t="str">
            <v xml:space="preserve"> Amortização de Deságio</v>
          </cell>
          <cell r="D140">
            <v>197485.82</v>
          </cell>
          <cell r="F140">
            <v>197485.82</v>
          </cell>
          <cell r="H140">
            <v>197485.82</v>
          </cell>
          <cell r="J140">
            <v>197485.82</v>
          </cell>
          <cell r="L140">
            <v>197485.82</v>
          </cell>
          <cell r="N140">
            <v>197485.82</v>
          </cell>
          <cell r="P140">
            <v>197485.82</v>
          </cell>
          <cell r="R140">
            <v>197485.82</v>
          </cell>
          <cell r="T140">
            <v>197485.82</v>
          </cell>
          <cell r="V140">
            <v>197485.82</v>
          </cell>
          <cell r="X140">
            <v>197485.82</v>
          </cell>
          <cell r="Z140">
            <v>197485.82</v>
          </cell>
          <cell r="AB140">
            <v>2369829.8400000003</v>
          </cell>
          <cell r="AF140">
            <v>1184914.9200000002</v>
          </cell>
          <cell r="AH140">
            <v>1184914.9200000002</v>
          </cell>
        </row>
        <row r="141">
          <cell r="A141">
            <v>719990007</v>
          </cell>
          <cell r="B141" t="str">
            <v xml:space="preserve"> Dividendos em Espécie</v>
          </cell>
          <cell r="V141">
            <v>2919.72</v>
          </cell>
          <cell r="X141">
            <v>-2919.72</v>
          </cell>
          <cell r="Z141">
            <v>81.83</v>
          </cell>
          <cell r="AB141">
            <v>81.83</v>
          </cell>
          <cell r="AF141">
            <v>0</v>
          </cell>
          <cell r="AH141">
            <v>81.83</v>
          </cell>
        </row>
        <row r="142">
          <cell r="A142">
            <v>719990009</v>
          </cell>
          <cell r="B142" t="str">
            <v xml:space="preserve"> Receita de Deságio com Cessão de Crédito</v>
          </cell>
          <cell r="V142">
            <v>4779555.03</v>
          </cell>
          <cell r="X142">
            <v>0</v>
          </cell>
          <cell r="Z142">
            <v>0</v>
          </cell>
          <cell r="AB142">
            <v>4779555.03</v>
          </cell>
          <cell r="AF142">
            <v>0</v>
          </cell>
          <cell r="AH142">
            <v>4779555.03</v>
          </cell>
        </row>
        <row r="143">
          <cell r="A143">
            <v>719990010</v>
          </cell>
          <cell r="B143" t="str">
            <v xml:space="preserve"> Juros sobre o capital próprio</v>
          </cell>
          <cell r="V143">
            <v>0</v>
          </cell>
          <cell r="X143">
            <v>7079.47</v>
          </cell>
          <cell r="Z143">
            <v>0</v>
          </cell>
          <cell r="AB143">
            <v>7079.47</v>
          </cell>
          <cell r="AF143">
            <v>0</v>
          </cell>
          <cell r="AH143">
            <v>7079.47</v>
          </cell>
        </row>
        <row r="144">
          <cell r="A144">
            <v>719990012</v>
          </cell>
          <cell r="B144" t="str">
            <v xml:space="preserve"> Descontos Recebidos</v>
          </cell>
          <cell r="T144">
            <v>5962.0899999999965</v>
          </cell>
          <cell r="V144">
            <v>222389.6</v>
          </cell>
          <cell r="X144">
            <v>147300.85</v>
          </cell>
          <cell r="Z144">
            <v>100660.58</v>
          </cell>
          <cell r="AB144">
            <v>476313.12000000005</v>
          </cell>
          <cell r="AF144">
            <v>0</v>
          </cell>
          <cell r="AH144">
            <v>476313.12000000005</v>
          </cell>
        </row>
        <row r="145">
          <cell r="A145">
            <v>719990013</v>
          </cell>
          <cell r="B145" t="str">
            <v xml:space="preserve"> Desconto - Vision Plus</v>
          </cell>
          <cell r="V145">
            <v>2867.68</v>
          </cell>
          <cell r="X145">
            <v>5728.22</v>
          </cell>
          <cell r="Z145">
            <v>24190.35</v>
          </cell>
          <cell r="AB145">
            <v>32786.25</v>
          </cell>
          <cell r="AF145">
            <v>0</v>
          </cell>
          <cell r="AH145">
            <v>32786.25</v>
          </cell>
        </row>
        <row r="146">
          <cell r="A146">
            <v>719990014</v>
          </cell>
          <cell r="B146" t="str">
            <v xml:space="preserve"> Encargos de Inadimplência</v>
          </cell>
          <cell r="V146">
            <v>50573.09</v>
          </cell>
          <cell r="X146">
            <v>50117.89</v>
          </cell>
          <cell r="Z146">
            <v>62017.84</v>
          </cell>
          <cell r="AB146">
            <v>162708.82</v>
          </cell>
          <cell r="AF146">
            <v>0</v>
          </cell>
          <cell r="AH146">
            <v>162708.82</v>
          </cell>
        </row>
        <row r="147">
          <cell r="A147">
            <v>719990016</v>
          </cell>
          <cell r="B147" t="str">
            <v xml:space="preserve"> Encargos Tecban</v>
          </cell>
          <cell r="V147">
            <v>695.2</v>
          </cell>
          <cell r="X147">
            <v>582.07000000000005</v>
          </cell>
          <cell r="Z147">
            <v>186.39</v>
          </cell>
          <cell r="AB147">
            <v>1463.6599999999999</v>
          </cell>
          <cell r="AF147">
            <v>0</v>
          </cell>
          <cell r="AH147">
            <v>1463.6599999999999</v>
          </cell>
        </row>
        <row r="148">
          <cell r="A148">
            <v>719990017</v>
          </cell>
          <cell r="B148" t="str">
            <v xml:space="preserve"> Remuneração de Garantia</v>
          </cell>
          <cell r="V148">
            <v>103091022.05</v>
          </cell>
          <cell r="X148">
            <v>875977.15999999642</v>
          </cell>
          <cell r="Z148">
            <v>752909.85000000894</v>
          </cell>
          <cell r="AB148">
            <v>104719909.06</v>
          </cell>
          <cell r="AF148">
            <v>0</v>
          </cell>
          <cell r="AH148">
            <v>104719909.06</v>
          </cell>
        </row>
        <row r="149">
          <cell r="A149">
            <v>719990099</v>
          </cell>
          <cell r="B149" t="str">
            <v xml:space="preserve"> Diversas</v>
          </cell>
          <cell r="H149">
            <v>130389.7</v>
          </cell>
          <cell r="T149">
            <v>880529.19</v>
          </cell>
          <cell r="V149">
            <v>69063</v>
          </cell>
          <cell r="X149">
            <v>4750.9200000000419</v>
          </cell>
          <cell r="Z149">
            <v>19062.28</v>
          </cell>
          <cell r="AB149">
            <v>1103795.0900000001</v>
          </cell>
          <cell r="AF149">
            <v>130389.7</v>
          </cell>
          <cell r="AH149">
            <v>973405.39</v>
          </cell>
        </row>
        <row r="153">
          <cell r="A153">
            <v>81</v>
          </cell>
          <cell r="B153" t="str">
            <v>DESPESAS OPERACIONAIS</v>
          </cell>
          <cell r="D153">
            <v>-37229852.740000002</v>
          </cell>
          <cell r="F153">
            <v>-33661561.479999997</v>
          </cell>
          <cell r="H153">
            <v>-33497906.399999995</v>
          </cell>
          <cell r="J153">
            <v>-35320366.840000004</v>
          </cell>
          <cell r="L153">
            <v>-36502586.010000005</v>
          </cell>
          <cell r="N153">
            <v>-35192068.730000012</v>
          </cell>
          <cell r="P153">
            <v>-40223385.349999994</v>
          </cell>
          <cell r="R153">
            <v>-37908084.240000002</v>
          </cell>
          <cell r="T153">
            <v>-34992231.719999999</v>
          </cell>
          <cell r="V153">
            <v>-188938920.01000002</v>
          </cell>
          <cell r="X153">
            <v>-106799103.73</v>
          </cell>
          <cell r="Z153">
            <v>-192362993.97999999</v>
          </cell>
          <cell r="AB153">
            <v>-813825078.36000001</v>
          </cell>
          <cell r="AF153">
            <v>-211404342.20000002</v>
          </cell>
          <cell r="AH153">
            <v>-602420736.15999997</v>
          </cell>
        </row>
        <row r="155">
          <cell r="A155">
            <v>811</v>
          </cell>
          <cell r="B155" t="str">
            <v xml:space="preserve">  . Despesas de Captação</v>
          </cell>
          <cell r="D155">
            <v>-12158619.109999999</v>
          </cell>
          <cell r="F155">
            <v>-9828171.8899999987</v>
          </cell>
          <cell r="H155">
            <v>-12441943.550000003</v>
          </cell>
          <cell r="J155">
            <v>-10488705.099999998</v>
          </cell>
          <cell r="L155">
            <v>-12045914.84</v>
          </cell>
          <cell r="N155">
            <v>-12384302.920000004</v>
          </cell>
          <cell r="P155">
            <v>-15168183.77</v>
          </cell>
          <cell r="R155">
            <v>-15678192.260000002</v>
          </cell>
          <cell r="T155">
            <v>-13733847.99</v>
          </cell>
          <cell r="V155">
            <v>-17304244.200000003</v>
          </cell>
          <cell r="X155">
            <v>-15812009.059999993</v>
          </cell>
          <cell r="Z155">
            <v>-17012876.430000007</v>
          </cell>
          <cell r="AB155">
            <v>-164057011.12000003</v>
          </cell>
          <cell r="AF155">
            <v>-69347657.409999996</v>
          </cell>
          <cell r="AH155">
            <v>-94709353.709999993</v>
          </cell>
        </row>
        <row r="156">
          <cell r="A156">
            <v>81130</v>
          </cell>
          <cell r="B156" t="str">
            <v>.Despesas de captações no mercado - CDB</v>
          </cell>
          <cell r="D156">
            <v>-9676156.5899999999</v>
          </cell>
          <cell r="F156">
            <v>-7667051.4499999993</v>
          </cell>
          <cell r="H156">
            <v>-9903304.2400000021</v>
          </cell>
          <cell r="J156">
            <v>-7895271.2599999979</v>
          </cell>
          <cell r="L156">
            <v>-9441005.8999999985</v>
          </cell>
          <cell r="N156">
            <v>-8416140.1900000051</v>
          </cell>
          <cell r="P156">
            <v>-9135294.7899999991</v>
          </cell>
          <cell r="R156">
            <v>-11850368.060000002</v>
          </cell>
          <cell r="T156">
            <v>-10259164.52</v>
          </cell>
          <cell r="V156">
            <v>-11663619.720000003</v>
          </cell>
          <cell r="X156">
            <v>-9431224.3799999952</v>
          </cell>
          <cell r="Z156">
            <v>-11001472.620000005</v>
          </cell>
          <cell r="AB156">
            <v>-116340073.72</v>
          </cell>
          <cell r="AF156">
            <v>-52998929.630000003</v>
          </cell>
          <cell r="AH156">
            <v>-63341144.090000004</v>
          </cell>
        </row>
        <row r="157">
          <cell r="A157">
            <v>81120</v>
          </cell>
          <cell r="B157" t="str">
            <v>.Despesas de captações no mercado - CDI</v>
          </cell>
          <cell r="D157">
            <v>-2482289.0099999998</v>
          </cell>
          <cell r="F157">
            <v>-1812929.33</v>
          </cell>
          <cell r="H157">
            <v>-2357367.08</v>
          </cell>
          <cell r="J157">
            <v>-2397156.31</v>
          </cell>
          <cell r="L157">
            <v>-2430498.56</v>
          </cell>
          <cell r="N157">
            <v>-3800280.53</v>
          </cell>
          <cell r="P157">
            <v>-5856255.1900000004</v>
          </cell>
          <cell r="R157">
            <v>-3682496.93</v>
          </cell>
          <cell r="T157">
            <v>-3241407.14</v>
          </cell>
          <cell r="V157">
            <v>-5498411.4500000011</v>
          </cell>
          <cell r="X157">
            <v>-6105414.0999999978</v>
          </cell>
          <cell r="Z157">
            <v>-5666708.7600000016</v>
          </cell>
          <cell r="AB157">
            <v>-45331214.390000001</v>
          </cell>
          <cell r="AF157">
            <v>-15280520.82</v>
          </cell>
          <cell r="AH157">
            <v>-30050693.57</v>
          </cell>
        </row>
        <row r="158">
          <cell r="A158">
            <v>81150</v>
          </cell>
          <cell r="B158" t="str">
            <v>.Despesas de operações compromissadas</v>
          </cell>
          <cell r="D158">
            <v>-173.51</v>
          </cell>
          <cell r="F158">
            <v>0</v>
          </cell>
          <cell r="H158">
            <v>-336.21</v>
          </cell>
          <cell r="J158">
            <v>0</v>
          </cell>
          <cell r="L158">
            <v>0</v>
          </cell>
          <cell r="N158">
            <v>0</v>
          </cell>
          <cell r="P158">
            <v>0</v>
          </cell>
          <cell r="R158">
            <v>0</v>
          </cell>
          <cell r="T158">
            <v>-61679.18</v>
          </cell>
          <cell r="V158">
            <v>45666.54</v>
          </cell>
          <cell r="X158">
            <v>0</v>
          </cell>
          <cell r="Z158">
            <v>0</v>
          </cell>
          <cell r="AB158">
            <v>-16522.36</v>
          </cell>
          <cell r="AF158">
            <v>-509.71999999999997</v>
          </cell>
          <cell r="AH158">
            <v>-16012.64</v>
          </cell>
        </row>
        <row r="159">
          <cell r="A159">
            <v>81155</v>
          </cell>
          <cell r="B159" t="str">
            <v>.Despesas de contratos de assunção de obrigação</v>
          </cell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L159">
            <v>0</v>
          </cell>
          <cell r="N159">
            <v>0</v>
          </cell>
          <cell r="P159">
            <v>0</v>
          </cell>
          <cell r="R159">
            <v>0</v>
          </cell>
          <cell r="T159">
            <v>0</v>
          </cell>
          <cell r="V159">
            <v>0</v>
          </cell>
          <cell r="X159">
            <v>-86736.02</v>
          </cell>
          <cell r="Z159">
            <v>0</v>
          </cell>
          <cell r="AB159">
            <v>-86736.02</v>
          </cell>
          <cell r="AF159">
            <v>0</v>
          </cell>
          <cell r="AH159">
            <v>-86736.02</v>
          </cell>
        </row>
        <row r="160">
          <cell r="A160">
            <v>81185</v>
          </cell>
          <cell r="B160" t="str">
            <v>.Fundo garantidor de crédito</v>
          </cell>
          <cell r="D160">
            <v>0</v>
          </cell>
          <cell r="F160">
            <v>-348191.11</v>
          </cell>
          <cell r="H160">
            <v>-180936.02</v>
          </cell>
          <cell r="J160">
            <v>-196277.53</v>
          </cell>
          <cell r="L160">
            <v>-174410.38</v>
          </cell>
          <cell r="N160">
            <v>-167882.2</v>
          </cell>
          <cell r="P160">
            <v>-176633.79</v>
          </cell>
          <cell r="R160">
            <v>-145327.26999999999</v>
          </cell>
          <cell r="T160">
            <v>-171597.15</v>
          </cell>
          <cell r="V160">
            <v>-187879.57</v>
          </cell>
          <cell r="X160">
            <v>-188634.56</v>
          </cell>
          <cell r="Z160">
            <v>-344695.05</v>
          </cell>
          <cell r="AB160">
            <v>-2282464.63</v>
          </cell>
          <cell r="AF160">
            <v>-1067697.24</v>
          </cell>
          <cell r="AH160">
            <v>-1214767.3900000001</v>
          </cell>
        </row>
        <row r="161">
          <cell r="A161">
            <v>812</v>
          </cell>
          <cell r="B161" t="str">
            <v xml:space="preserve">  . Despesa de Obrigações por Emprestimos e Repasses</v>
          </cell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L161">
            <v>0</v>
          </cell>
          <cell r="N161">
            <v>0</v>
          </cell>
          <cell r="P161">
            <v>0</v>
          </cell>
          <cell r="R161">
            <v>0</v>
          </cell>
          <cell r="T161">
            <v>0</v>
          </cell>
          <cell r="V161">
            <v>-215382.17</v>
          </cell>
          <cell r="X161">
            <v>-645777.71</v>
          </cell>
          <cell r="Z161">
            <v>-723268.44</v>
          </cell>
          <cell r="AB161">
            <v>-1584428.3199999998</v>
          </cell>
          <cell r="AF161">
            <v>0</v>
          </cell>
          <cell r="AH161">
            <v>-1584428.3199999998</v>
          </cell>
        </row>
        <row r="162">
          <cell r="A162">
            <v>813</v>
          </cell>
          <cell r="B162" t="str">
            <v xml:space="preserve">  . Despesas de Arrendamento Mercantil</v>
          </cell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L162">
            <v>0</v>
          </cell>
          <cell r="N162">
            <v>0</v>
          </cell>
          <cell r="P162">
            <v>0</v>
          </cell>
          <cell r="R162">
            <v>0</v>
          </cell>
          <cell r="T162">
            <v>0</v>
          </cell>
          <cell r="V162">
            <v>0</v>
          </cell>
          <cell r="X162">
            <v>0</v>
          </cell>
          <cell r="Z162">
            <v>0</v>
          </cell>
          <cell r="AB162">
            <v>0</v>
          </cell>
          <cell r="AF162">
            <v>0</v>
          </cell>
          <cell r="AH162">
            <v>0</v>
          </cell>
        </row>
        <row r="163">
          <cell r="A163">
            <v>814</v>
          </cell>
          <cell r="B163" t="str">
            <v xml:space="preserve">  . Despesas de Cambio</v>
          </cell>
          <cell r="D163">
            <v>-24.71</v>
          </cell>
          <cell r="F163">
            <v>-112.05</v>
          </cell>
          <cell r="H163">
            <v>-176</v>
          </cell>
          <cell r="J163">
            <v>-34.93</v>
          </cell>
          <cell r="L163">
            <v>-265.07</v>
          </cell>
          <cell r="N163">
            <v>-4.6100000000000136</v>
          </cell>
          <cell r="P163">
            <v>-191.13</v>
          </cell>
          <cell r="R163">
            <v>-182.05</v>
          </cell>
          <cell r="T163">
            <v>-180.95</v>
          </cell>
          <cell r="V163">
            <v>-69.66</v>
          </cell>
          <cell r="X163">
            <v>-38012.629999999997</v>
          </cell>
          <cell r="Z163">
            <v>-49807.59</v>
          </cell>
          <cell r="AB163">
            <v>-89061.38</v>
          </cell>
          <cell r="AF163">
            <v>-617.37</v>
          </cell>
          <cell r="AH163">
            <v>-88444.01</v>
          </cell>
        </row>
        <row r="164">
          <cell r="A164">
            <v>815</v>
          </cell>
          <cell r="B164" t="str">
            <v xml:space="preserve">  . Resultado de Transações com Titulos e Valores Mobiliários</v>
          </cell>
          <cell r="D164">
            <v>-632546.1</v>
          </cell>
          <cell r="F164">
            <v>-1307733.77</v>
          </cell>
          <cell r="H164">
            <v>-429920.87</v>
          </cell>
          <cell r="J164">
            <v>-934118.32</v>
          </cell>
          <cell r="L164">
            <v>-757297.79</v>
          </cell>
          <cell r="N164">
            <v>-1258713.51</v>
          </cell>
          <cell r="P164">
            <v>-642939.59</v>
          </cell>
          <cell r="R164">
            <v>-651271.43000000005</v>
          </cell>
          <cell r="T164">
            <v>-2814375.15</v>
          </cell>
          <cell r="V164">
            <v>-1685502.61</v>
          </cell>
          <cell r="X164">
            <v>-21978169.219999999</v>
          </cell>
          <cell r="Z164">
            <v>-24761519.130000003</v>
          </cell>
          <cell r="AB164">
            <v>-57854107.490000002</v>
          </cell>
          <cell r="AF164">
            <v>-5320330.3600000003</v>
          </cell>
          <cell r="AH164">
            <v>-52533777.130000003</v>
          </cell>
        </row>
        <row r="165">
          <cell r="A165">
            <v>81520</v>
          </cell>
          <cell r="B165" t="str">
            <v xml:space="preserve">  Prej. c/ Títulos de Renda Fixa</v>
          </cell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L165">
            <v>0</v>
          </cell>
          <cell r="N165">
            <v>0</v>
          </cell>
          <cell r="P165">
            <v>0</v>
          </cell>
          <cell r="R165">
            <v>0</v>
          </cell>
          <cell r="T165">
            <v>-255154.17</v>
          </cell>
          <cell r="V165">
            <v>0</v>
          </cell>
          <cell r="X165">
            <v>-8527823.0500000007</v>
          </cell>
          <cell r="Z165">
            <v>-9052820.2200000007</v>
          </cell>
          <cell r="AB165">
            <v>-17835797.440000001</v>
          </cell>
          <cell r="AF165">
            <v>0</v>
          </cell>
          <cell r="AH165">
            <v>-17835797.440000001</v>
          </cell>
        </row>
        <row r="166">
          <cell r="A166">
            <v>8155040</v>
          </cell>
          <cell r="B166" t="str">
            <v xml:space="preserve">  Despesa de Swap</v>
          </cell>
          <cell r="D166">
            <v>-632546.1</v>
          </cell>
          <cell r="F166">
            <v>-1307733.77</v>
          </cell>
          <cell r="H166">
            <v>-429920.87</v>
          </cell>
          <cell r="J166">
            <v>-934118.32</v>
          </cell>
          <cell r="L166">
            <v>-757297.79</v>
          </cell>
          <cell r="N166">
            <v>-1258713.51</v>
          </cell>
          <cell r="P166">
            <v>-642939.59</v>
          </cell>
          <cell r="R166">
            <v>-651271.43000000005</v>
          </cell>
          <cell r="T166">
            <v>-2559220.98</v>
          </cell>
          <cell r="V166">
            <v>-1685502.61</v>
          </cell>
          <cell r="X166">
            <v>-13450346.170000002</v>
          </cell>
          <cell r="Z166">
            <v>-15708698.909999996</v>
          </cell>
          <cell r="AB166">
            <v>-40018310.049999997</v>
          </cell>
          <cell r="AF166">
            <v>-5320330.3600000003</v>
          </cell>
          <cell r="AH166">
            <v>-34697979.689999998</v>
          </cell>
        </row>
        <row r="167">
          <cell r="A167">
            <v>8155090</v>
          </cell>
          <cell r="B167" t="str">
            <v xml:space="preserve">  Prej. c/ Títulos de Renda Variável</v>
          </cell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L167">
            <v>0</v>
          </cell>
          <cell r="N167">
            <v>0</v>
          </cell>
          <cell r="P167">
            <v>0</v>
          </cell>
          <cell r="R167">
            <v>0</v>
          </cell>
          <cell r="T167">
            <v>0</v>
          </cell>
          <cell r="V167">
            <v>0</v>
          </cell>
          <cell r="X167">
            <v>0</v>
          </cell>
          <cell r="Z167">
            <v>0</v>
          </cell>
          <cell r="AB167">
            <v>0</v>
          </cell>
          <cell r="AF167">
            <v>0</v>
          </cell>
          <cell r="AH167">
            <v>0</v>
          </cell>
        </row>
        <row r="168">
          <cell r="A168">
            <v>816</v>
          </cell>
          <cell r="B168" t="str">
            <v xml:space="preserve">  . Despesas de Participações</v>
          </cell>
          <cell r="D168">
            <v>0</v>
          </cell>
          <cell r="F168">
            <v>-397922.39</v>
          </cell>
          <cell r="H168">
            <v>0</v>
          </cell>
          <cell r="J168">
            <v>-5017.5200000000004</v>
          </cell>
          <cell r="L168">
            <v>0</v>
          </cell>
          <cell r="N168">
            <v>0</v>
          </cell>
          <cell r="P168">
            <v>-5898.23</v>
          </cell>
          <cell r="R168">
            <v>-2111.98</v>
          </cell>
          <cell r="T168">
            <v>-1037870.13</v>
          </cell>
          <cell r="V168">
            <v>-2441015.46</v>
          </cell>
          <cell r="X168">
            <v>-118434.24000000001</v>
          </cell>
          <cell r="Z168">
            <v>-43335.06</v>
          </cell>
          <cell r="AB168">
            <v>-4051605.01</v>
          </cell>
          <cell r="AF168">
            <v>-402939.91000000003</v>
          </cell>
          <cell r="AH168">
            <v>-3648665.1</v>
          </cell>
        </row>
        <row r="169">
          <cell r="A169">
            <v>81610</v>
          </cell>
          <cell r="B169" t="str">
            <v xml:space="preserve">  -  Despesas de Ajuste em Investimentos no Exterior</v>
          </cell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L169">
            <v>0</v>
          </cell>
          <cell r="N169">
            <v>0</v>
          </cell>
          <cell r="P169">
            <v>0</v>
          </cell>
          <cell r="R169">
            <v>0</v>
          </cell>
          <cell r="T169">
            <v>0</v>
          </cell>
          <cell r="V169">
            <v>0</v>
          </cell>
          <cell r="X169">
            <v>0</v>
          </cell>
          <cell r="Z169">
            <v>0</v>
          </cell>
          <cell r="AB169">
            <v>0</v>
          </cell>
          <cell r="AF169">
            <v>0</v>
          </cell>
          <cell r="AH169">
            <v>0</v>
          </cell>
        </row>
        <row r="171">
          <cell r="A171">
            <v>81620</v>
          </cell>
          <cell r="B171" t="str">
            <v xml:space="preserve">  -  Despesas de Ajuste em Investimentos no Exterior</v>
          </cell>
          <cell r="D171">
            <v>0</v>
          </cell>
          <cell r="F171">
            <v>-397922.39</v>
          </cell>
          <cell r="H171">
            <v>0</v>
          </cell>
          <cell r="J171">
            <v>-5017.5200000000004</v>
          </cell>
          <cell r="L171">
            <v>0</v>
          </cell>
          <cell r="N171">
            <v>0</v>
          </cell>
          <cell r="P171">
            <v>-5898.23</v>
          </cell>
          <cell r="R171">
            <v>-2111.98</v>
          </cell>
          <cell r="T171">
            <v>-1037870.13</v>
          </cell>
          <cell r="V171">
            <v>-2441015.46</v>
          </cell>
          <cell r="X171">
            <v>-118434.24000000001</v>
          </cell>
          <cell r="Z171">
            <v>-43335.06</v>
          </cell>
          <cell r="AB171">
            <v>-4051605.01</v>
          </cell>
          <cell r="AF171">
            <v>-402939.91000000003</v>
          </cell>
          <cell r="AH171">
            <v>-3648665.1</v>
          </cell>
        </row>
        <row r="172">
          <cell r="A172">
            <v>816200007</v>
          </cell>
          <cell r="B172" t="str">
            <v xml:space="preserve">     G 700 Corretora de Seguros</v>
          </cell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L172">
            <v>0</v>
          </cell>
          <cell r="N172">
            <v>0</v>
          </cell>
          <cell r="P172">
            <v>0</v>
          </cell>
          <cell r="R172">
            <v>0</v>
          </cell>
          <cell r="T172">
            <v>0</v>
          </cell>
          <cell r="V172">
            <v>0</v>
          </cell>
          <cell r="X172">
            <v>0</v>
          </cell>
          <cell r="Z172">
            <v>0</v>
          </cell>
          <cell r="AB172">
            <v>0</v>
          </cell>
          <cell r="AF172">
            <v>0</v>
          </cell>
          <cell r="AH172">
            <v>0</v>
          </cell>
        </row>
        <row r="173">
          <cell r="A173">
            <v>816200011</v>
          </cell>
          <cell r="B173" t="str">
            <v xml:space="preserve">     Fininvest FDTVM</v>
          </cell>
          <cell r="D173">
            <v>0</v>
          </cell>
          <cell r="F173">
            <v>0</v>
          </cell>
          <cell r="H173">
            <v>0</v>
          </cell>
          <cell r="J173">
            <v>-5017.5200000000004</v>
          </cell>
          <cell r="L173">
            <v>0</v>
          </cell>
          <cell r="N173">
            <v>0</v>
          </cell>
          <cell r="P173">
            <v>-5898.23</v>
          </cell>
          <cell r="R173">
            <v>-2111.98</v>
          </cell>
          <cell r="T173">
            <v>0</v>
          </cell>
          <cell r="V173">
            <v>-6028.49</v>
          </cell>
          <cell r="X173">
            <v>-7323.41</v>
          </cell>
          <cell r="Z173">
            <v>-43335.06</v>
          </cell>
          <cell r="AB173">
            <v>-69714.69</v>
          </cell>
          <cell r="AF173">
            <v>-5017.5200000000004</v>
          </cell>
          <cell r="AH173">
            <v>-64697.17</v>
          </cell>
        </row>
        <row r="174">
          <cell r="A174">
            <v>816200021</v>
          </cell>
          <cell r="B174" t="str">
            <v xml:space="preserve">     Fininvest S.A. Adm. de Cartões de Créditos</v>
          </cell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L174">
            <v>0</v>
          </cell>
          <cell r="N174">
            <v>0</v>
          </cell>
          <cell r="P174">
            <v>0</v>
          </cell>
          <cell r="R174">
            <v>0</v>
          </cell>
          <cell r="T174">
            <v>0</v>
          </cell>
          <cell r="V174">
            <v>-2867982.27</v>
          </cell>
          <cell r="X174">
            <v>0</v>
          </cell>
          <cell r="Z174">
            <v>0</v>
          </cell>
          <cell r="AB174">
            <v>-2867982.27</v>
          </cell>
          <cell r="AF174">
            <v>0</v>
          </cell>
          <cell r="AH174">
            <v>-2867982.27</v>
          </cell>
        </row>
        <row r="175">
          <cell r="A175">
            <v>816200031</v>
          </cell>
          <cell r="B175" t="str">
            <v xml:space="preserve">     Fininvest Participações Ltda</v>
          </cell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L175">
            <v>0</v>
          </cell>
          <cell r="N175">
            <v>0</v>
          </cell>
          <cell r="P175">
            <v>0</v>
          </cell>
          <cell r="R175">
            <v>0</v>
          </cell>
          <cell r="T175">
            <v>0</v>
          </cell>
          <cell r="V175">
            <v>0</v>
          </cell>
          <cell r="X175">
            <v>0</v>
          </cell>
          <cell r="Z175">
            <v>0</v>
          </cell>
          <cell r="AB175">
            <v>0</v>
          </cell>
          <cell r="AF175">
            <v>0</v>
          </cell>
          <cell r="AH175">
            <v>0</v>
          </cell>
        </row>
        <row r="176">
          <cell r="A176">
            <v>816200032</v>
          </cell>
          <cell r="B176" t="str">
            <v xml:space="preserve">     Fininvest Leasing Atividade Mercantil</v>
          </cell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L176">
            <v>0</v>
          </cell>
          <cell r="N176">
            <v>0</v>
          </cell>
          <cell r="P176">
            <v>0</v>
          </cell>
          <cell r="R176">
            <v>0</v>
          </cell>
          <cell r="T176">
            <v>0</v>
          </cell>
          <cell r="V176">
            <v>0</v>
          </cell>
          <cell r="X176">
            <v>0</v>
          </cell>
          <cell r="Z176">
            <v>0</v>
          </cell>
          <cell r="AB176">
            <v>0</v>
          </cell>
          <cell r="AF176">
            <v>0</v>
          </cell>
          <cell r="AH176">
            <v>0</v>
          </cell>
        </row>
        <row r="177">
          <cell r="A177">
            <v>816200041</v>
          </cell>
          <cell r="B177" t="str">
            <v xml:space="preserve">     Cemap Factoring Ltda</v>
          </cell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L177">
            <v>0</v>
          </cell>
          <cell r="N177">
            <v>0</v>
          </cell>
          <cell r="P177">
            <v>0</v>
          </cell>
          <cell r="R177">
            <v>0</v>
          </cell>
          <cell r="T177">
            <v>0</v>
          </cell>
          <cell r="V177">
            <v>0</v>
          </cell>
          <cell r="X177">
            <v>0</v>
          </cell>
          <cell r="Z177">
            <v>0</v>
          </cell>
          <cell r="AB177">
            <v>0</v>
          </cell>
          <cell r="AF177">
            <v>0</v>
          </cell>
          <cell r="AH177">
            <v>0</v>
          </cell>
        </row>
        <row r="178">
          <cell r="A178">
            <v>816200061</v>
          </cell>
          <cell r="B178" t="str">
            <v xml:space="preserve">     Industrias Schineider</v>
          </cell>
          <cell r="D178">
            <v>0</v>
          </cell>
          <cell r="F178">
            <v>-397922.39</v>
          </cell>
          <cell r="H178">
            <v>0</v>
          </cell>
          <cell r="J178">
            <v>0</v>
          </cell>
          <cell r="L178">
            <v>0</v>
          </cell>
          <cell r="N178">
            <v>0</v>
          </cell>
          <cell r="P178">
            <v>0</v>
          </cell>
          <cell r="R178">
            <v>0</v>
          </cell>
          <cell r="T178">
            <v>-1037870.13</v>
          </cell>
          <cell r="V178">
            <v>432995.3</v>
          </cell>
          <cell r="X178">
            <v>-111110.83</v>
          </cell>
          <cell r="Z178">
            <v>0</v>
          </cell>
          <cell r="AB178">
            <v>-1113908.05</v>
          </cell>
          <cell r="AF178">
            <v>-397922.39</v>
          </cell>
          <cell r="AH178">
            <v>-715985.66</v>
          </cell>
        </row>
        <row r="180">
          <cell r="A180">
            <v>817</v>
          </cell>
          <cell r="B180" t="str">
            <v xml:space="preserve">  . Despesas Administrativas</v>
          </cell>
          <cell r="D180">
            <v>-15985189.210000005</v>
          </cell>
          <cell r="F180">
            <v>-15657542.699999999</v>
          </cell>
          <cell r="H180">
            <v>-13778820.669999996</v>
          </cell>
          <cell r="J180">
            <v>-18123832.460000008</v>
          </cell>
          <cell r="L180">
            <v>-18067655.790000007</v>
          </cell>
          <cell r="N180">
            <v>-11533957.850000009</v>
          </cell>
          <cell r="P180">
            <v>-19034833.569999993</v>
          </cell>
          <cell r="R180">
            <v>-11744210.419999998</v>
          </cell>
          <cell r="T180">
            <v>-12889420.859999999</v>
          </cell>
          <cell r="V180">
            <v>-22039053.610000003</v>
          </cell>
          <cell r="X180">
            <v>-22012376.220000003</v>
          </cell>
          <cell r="Z180">
            <v>-24797326.20999999</v>
          </cell>
          <cell r="AB180">
            <v>-205664219.57000002</v>
          </cell>
          <cell r="AF180">
            <v>-93146998.680000022</v>
          </cell>
          <cell r="AH180">
            <v>-112517220.88999999</v>
          </cell>
        </row>
        <row r="181">
          <cell r="A181">
            <v>81703</v>
          </cell>
          <cell r="B181" t="str">
            <v xml:space="preserve">  -  Despesa de Agua, Energia e Gas</v>
          </cell>
          <cell r="D181">
            <v>-55408.15</v>
          </cell>
          <cell r="F181">
            <v>-59188.81</v>
          </cell>
          <cell r="H181">
            <v>-57453.63</v>
          </cell>
          <cell r="J181">
            <v>-61800.71</v>
          </cell>
          <cell r="L181">
            <v>-60756.9</v>
          </cell>
          <cell r="N181">
            <v>-57200.58</v>
          </cell>
          <cell r="P181">
            <v>-48129.42</v>
          </cell>
          <cell r="R181">
            <v>-41620.089999999997</v>
          </cell>
          <cell r="T181">
            <v>-44383.03</v>
          </cell>
          <cell r="V181">
            <v>-135416.29</v>
          </cell>
          <cell r="X181">
            <v>-143006.82</v>
          </cell>
          <cell r="Z181">
            <v>-154150.23000000001</v>
          </cell>
          <cell r="AB181">
            <v>-918514.66000000015</v>
          </cell>
          <cell r="AF181">
            <v>-351808.78</v>
          </cell>
          <cell r="AH181">
            <v>-566705.88</v>
          </cell>
        </row>
        <row r="182">
          <cell r="A182">
            <v>81706</v>
          </cell>
          <cell r="B182" t="str">
            <v xml:space="preserve">  -  Despesas de Alugueis</v>
          </cell>
          <cell r="D182">
            <v>0</v>
          </cell>
          <cell r="F182">
            <v>-2037.33</v>
          </cell>
          <cell r="H182">
            <v>-1412.13</v>
          </cell>
          <cell r="J182">
            <v>-536.92999999999995</v>
          </cell>
          <cell r="L182">
            <v>0</v>
          </cell>
          <cell r="N182">
            <v>0</v>
          </cell>
          <cell r="P182">
            <v>-1140.93</v>
          </cell>
          <cell r="R182">
            <v>-308</v>
          </cell>
          <cell r="T182">
            <v>-280</v>
          </cell>
          <cell r="V182">
            <v>-645102.6</v>
          </cell>
          <cell r="X182">
            <v>-631990.5</v>
          </cell>
          <cell r="Z182">
            <v>-741436.49</v>
          </cell>
          <cell r="AB182">
            <v>-2024244.91</v>
          </cell>
          <cell r="AF182">
            <v>-3986.39</v>
          </cell>
          <cell r="AH182">
            <v>-2020258.52</v>
          </cell>
        </row>
        <row r="183">
          <cell r="A183">
            <v>81709</v>
          </cell>
          <cell r="B183" t="str">
            <v xml:space="preserve">  -  Despesas de Arrendamento de Bens</v>
          </cell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L183">
            <v>0</v>
          </cell>
          <cell r="N183">
            <v>0</v>
          </cell>
          <cell r="P183">
            <v>0</v>
          </cell>
          <cell r="R183">
            <v>0</v>
          </cell>
          <cell r="T183">
            <v>0</v>
          </cell>
          <cell r="V183">
            <v>-54470.09</v>
          </cell>
          <cell r="X183">
            <v>-47897.919999999998</v>
          </cell>
          <cell r="Z183">
            <v>2838.7699999999895</v>
          </cell>
          <cell r="AB183">
            <v>-99529.24</v>
          </cell>
          <cell r="AF183">
            <v>0</v>
          </cell>
          <cell r="AH183">
            <v>-99529.24</v>
          </cell>
        </row>
        <row r="184">
          <cell r="A184">
            <v>81712</v>
          </cell>
          <cell r="B184" t="str">
            <v xml:space="preserve">  -  Despesas de Comunicação</v>
          </cell>
          <cell r="D184">
            <v>-4440.26</v>
          </cell>
          <cell r="F184">
            <v>-3396.09</v>
          </cell>
          <cell r="H184">
            <v>-6785.88</v>
          </cell>
          <cell r="J184">
            <v>-5699.17</v>
          </cell>
          <cell r="L184">
            <v>-4507.33</v>
          </cell>
          <cell r="N184">
            <v>-6886.2</v>
          </cell>
          <cell r="P184">
            <v>-4184.88</v>
          </cell>
          <cell r="R184">
            <v>-4705.3599999999997</v>
          </cell>
          <cell r="T184">
            <v>-4662.47</v>
          </cell>
          <cell r="V184">
            <v>-5170054.1100000003</v>
          </cell>
          <cell r="X184">
            <v>-6260496.6500000004</v>
          </cell>
          <cell r="Z184">
            <v>-6875483.5600000005</v>
          </cell>
          <cell r="AB184">
            <v>-18351301.960000001</v>
          </cell>
          <cell r="AF184">
            <v>-31714.930000000004</v>
          </cell>
          <cell r="AH184">
            <v>-18319587.030000001</v>
          </cell>
        </row>
        <row r="185">
          <cell r="A185">
            <v>81715</v>
          </cell>
          <cell r="B185" t="str">
            <v xml:space="preserve">  -  Despesas de Contribuições Filantrópicas</v>
          </cell>
          <cell r="D185">
            <v>-63151.32</v>
          </cell>
          <cell r="F185">
            <v>-62796.03</v>
          </cell>
          <cell r="H185">
            <v>-62841.24</v>
          </cell>
          <cell r="J185">
            <v>-70824.28</v>
          </cell>
          <cell r="L185">
            <v>-71022.69</v>
          </cell>
          <cell r="N185">
            <v>-71356.38</v>
          </cell>
          <cell r="P185">
            <v>-1718.66</v>
          </cell>
          <cell r="R185">
            <v>-78160.45</v>
          </cell>
          <cell r="T185">
            <v>-78420.02</v>
          </cell>
          <cell r="V185">
            <v>-153259.91</v>
          </cell>
          <cell r="X185">
            <v>-6049.820000000007</v>
          </cell>
          <cell r="Z185">
            <v>-79784.460000000006</v>
          </cell>
          <cell r="AB185">
            <v>-799385.26</v>
          </cell>
          <cell r="AF185">
            <v>-401991.94</v>
          </cell>
          <cell r="AH185">
            <v>-397393.32000000007</v>
          </cell>
        </row>
        <row r="186">
          <cell r="A186">
            <v>817150002</v>
          </cell>
          <cell r="B186" t="str">
            <v xml:space="preserve">     Despesas de Contribuições não dedutíveis</v>
          </cell>
          <cell r="D186">
            <v>-63151.32</v>
          </cell>
          <cell r="F186">
            <v>-62796.03</v>
          </cell>
          <cell r="H186">
            <v>-62311.24</v>
          </cell>
          <cell r="J186">
            <v>-70824.28</v>
          </cell>
          <cell r="L186">
            <v>-71022.69</v>
          </cell>
          <cell r="N186">
            <v>-71356.38</v>
          </cell>
          <cell r="P186">
            <v>-1718.66</v>
          </cell>
          <cell r="R186">
            <v>-78160.45</v>
          </cell>
          <cell r="T186">
            <v>-78420.02</v>
          </cell>
          <cell r="V186">
            <v>-153259.91</v>
          </cell>
          <cell r="X186">
            <v>-1374.820000000007</v>
          </cell>
          <cell r="Z186">
            <v>-77196.960000000006</v>
          </cell>
          <cell r="AB186">
            <v>-791592.76</v>
          </cell>
          <cell r="AF186">
            <v>-401461.94</v>
          </cell>
          <cell r="AH186">
            <v>-390130.82000000007</v>
          </cell>
        </row>
        <row r="187">
          <cell r="A187">
            <v>81718</v>
          </cell>
          <cell r="B187" t="str">
            <v xml:space="preserve">  -  Despesas de Honorários</v>
          </cell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L187">
            <v>0</v>
          </cell>
          <cell r="N187">
            <v>0</v>
          </cell>
          <cell r="P187">
            <v>-6000</v>
          </cell>
          <cell r="R187">
            <v>-6000</v>
          </cell>
          <cell r="T187">
            <v>-6000</v>
          </cell>
          <cell r="V187">
            <v>-12000</v>
          </cell>
          <cell r="X187">
            <v>-38732</v>
          </cell>
          <cell r="Z187">
            <v>-81966</v>
          </cell>
          <cell r="AB187">
            <v>-150698</v>
          </cell>
          <cell r="AF187">
            <v>0</v>
          </cell>
          <cell r="AH187">
            <v>-150698</v>
          </cell>
        </row>
        <row r="188">
          <cell r="A188">
            <v>81721</v>
          </cell>
          <cell r="B188" t="str">
            <v xml:space="preserve">  -  Despesas de Manutenção e Conservação de Bens</v>
          </cell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L188">
            <v>0</v>
          </cell>
          <cell r="N188">
            <v>0</v>
          </cell>
          <cell r="P188">
            <v>0</v>
          </cell>
          <cell r="R188">
            <v>0</v>
          </cell>
          <cell r="T188">
            <v>0</v>
          </cell>
          <cell r="V188">
            <v>-269317.82</v>
          </cell>
          <cell r="X188">
            <v>-227816.39</v>
          </cell>
          <cell r="Z188">
            <v>-203390.39</v>
          </cell>
          <cell r="AB188">
            <v>-700524.60000000009</v>
          </cell>
          <cell r="AF188">
            <v>0</v>
          </cell>
          <cell r="AH188">
            <v>-700524.60000000009</v>
          </cell>
        </row>
        <row r="189">
          <cell r="A189">
            <v>81724</v>
          </cell>
          <cell r="B189" t="str">
            <v xml:space="preserve">  -  Despesas de Material</v>
          </cell>
          <cell r="D189">
            <v>-83.42</v>
          </cell>
          <cell r="F189">
            <v>-527.54999999999995</v>
          </cell>
          <cell r="H189">
            <v>-892.8</v>
          </cell>
          <cell r="J189">
            <v>-1438.06</v>
          </cell>
          <cell r="L189">
            <v>-1712.46</v>
          </cell>
          <cell r="N189">
            <v>-239.01</v>
          </cell>
          <cell r="P189">
            <v>-509.77</v>
          </cell>
          <cell r="R189">
            <v>-1655.35</v>
          </cell>
          <cell r="T189">
            <v>-368.27</v>
          </cell>
          <cell r="V189">
            <v>-763226.69</v>
          </cell>
          <cell r="X189">
            <v>-655367.85</v>
          </cell>
          <cell r="Z189">
            <v>-527298.9</v>
          </cell>
          <cell r="AB189">
            <v>-1953320.13</v>
          </cell>
          <cell r="AF189">
            <v>-4893.3</v>
          </cell>
          <cell r="AH189">
            <v>-1948426.83</v>
          </cell>
        </row>
        <row r="191">
          <cell r="A191">
            <v>81727</v>
          </cell>
          <cell r="B191" t="str">
            <v xml:space="preserve">  -  Despesas de Pessoal - Benefícios</v>
          </cell>
          <cell r="D191">
            <v>-29847.31</v>
          </cell>
          <cell r="F191">
            <v>-33670.82</v>
          </cell>
          <cell r="H191">
            <v>-25426.31</v>
          </cell>
          <cell r="J191">
            <v>-29834.13</v>
          </cell>
          <cell r="L191">
            <v>-29508.74</v>
          </cell>
          <cell r="N191">
            <v>-28069.58</v>
          </cell>
          <cell r="P191">
            <v>-29913.15</v>
          </cell>
          <cell r="R191">
            <v>-29911.45</v>
          </cell>
          <cell r="T191">
            <v>-33164.54</v>
          </cell>
          <cell r="V191">
            <v>-41629.94</v>
          </cell>
          <cell r="X191">
            <v>-45526.16</v>
          </cell>
          <cell r="Z191">
            <v>-50240.049999999988</v>
          </cell>
          <cell r="AB191">
            <v>-406742.18000000005</v>
          </cell>
          <cell r="AF191">
            <v>-176356.89</v>
          </cell>
          <cell r="AH191">
            <v>-230385.29000000004</v>
          </cell>
        </row>
        <row r="192">
          <cell r="A192">
            <v>817270001</v>
          </cell>
          <cell r="B192" t="str">
            <v xml:space="preserve">     Ajuda de Custo</v>
          </cell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L192">
            <v>0</v>
          </cell>
          <cell r="N192">
            <v>0</v>
          </cell>
          <cell r="P192">
            <v>0</v>
          </cell>
          <cell r="R192">
            <v>0</v>
          </cell>
          <cell r="T192">
            <v>0</v>
          </cell>
          <cell r="V192">
            <v>-5.25</v>
          </cell>
          <cell r="X192">
            <v>0</v>
          </cell>
          <cell r="Z192">
            <v>0</v>
          </cell>
          <cell r="AB192">
            <v>-5.25</v>
          </cell>
          <cell r="AF192">
            <v>0</v>
          </cell>
          <cell r="AH192">
            <v>-5.25</v>
          </cell>
        </row>
        <row r="193">
          <cell r="A193">
            <v>817270002</v>
          </cell>
          <cell r="B193" t="str">
            <v xml:space="preserve">     Assistencia Medica</v>
          </cell>
          <cell r="D193">
            <v>-16046.84</v>
          </cell>
          <cell r="F193">
            <v>-16116.09</v>
          </cell>
          <cell r="H193">
            <v>-10928.72</v>
          </cell>
          <cell r="J193">
            <v>-13807.26</v>
          </cell>
          <cell r="L193">
            <v>-14845.61</v>
          </cell>
          <cell r="N193">
            <v>-14420.23</v>
          </cell>
          <cell r="P193">
            <v>-15804.76</v>
          </cell>
          <cell r="R193">
            <v>-16322.26</v>
          </cell>
          <cell r="T193">
            <v>-17138.7</v>
          </cell>
          <cell r="V193">
            <v>-16657.78</v>
          </cell>
          <cell r="X193">
            <v>-14847.99</v>
          </cell>
          <cell r="Z193">
            <v>-20608.419999999998</v>
          </cell>
          <cell r="AB193">
            <v>-187544.65999999997</v>
          </cell>
          <cell r="AF193">
            <v>-86164.75</v>
          </cell>
          <cell r="AH193">
            <v>-101379.91</v>
          </cell>
        </row>
        <row r="194">
          <cell r="A194">
            <v>817270003</v>
          </cell>
          <cell r="B194" t="str">
            <v xml:space="preserve">     Auxilio Moradia</v>
          </cell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L194">
            <v>0</v>
          </cell>
          <cell r="N194">
            <v>0</v>
          </cell>
          <cell r="P194">
            <v>0</v>
          </cell>
          <cell r="R194">
            <v>0</v>
          </cell>
          <cell r="T194">
            <v>0</v>
          </cell>
          <cell r="V194">
            <v>-830.57</v>
          </cell>
          <cell r="X194">
            <v>-903.22</v>
          </cell>
          <cell r="Z194">
            <v>-985.09</v>
          </cell>
          <cell r="AB194">
            <v>-2718.88</v>
          </cell>
          <cell r="AF194">
            <v>0</v>
          </cell>
          <cell r="AH194">
            <v>-2718.88</v>
          </cell>
        </row>
        <row r="195">
          <cell r="A195">
            <v>817270004</v>
          </cell>
          <cell r="B195" t="str">
            <v xml:space="preserve">     Programa de Alimentação ao Trabalhador - PAT</v>
          </cell>
          <cell r="D195">
            <v>-10722.88</v>
          </cell>
          <cell r="F195">
            <v>-15086.84</v>
          </cell>
          <cell r="H195">
            <v>-13987.16</v>
          </cell>
          <cell r="J195">
            <v>-12723.6</v>
          </cell>
          <cell r="L195">
            <v>-12055.56</v>
          </cell>
          <cell r="N195">
            <v>-11102.72</v>
          </cell>
          <cell r="P195">
            <v>-11410.72</v>
          </cell>
          <cell r="R195">
            <v>-11564.72</v>
          </cell>
          <cell r="T195">
            <v>-13105.08</v>
          </cell>
          <cell r="V195">
            <v>-17278.939999999999</v>
          </cell>
          <cell r="X195">
            <v>-19474.77</v>
          </cell>
          <cell r="Z195">
            <v>-18296.5</v>
          </cell>
          <cell r="AB195">
            <v>-166809.49</v>
          </cell>
          <cell r="AF195">
            <v>-75678.759999999995</v>
          </cell>
          <cell r="AH195">
            <v>-91130.73</v>
          </cell>
        </row>
        <row r="196">
          <cell r="A196">
            <v>81727000401</v>
          </cell>
          <cell r="B196" t="str">
            <v xml:space="preserve">     Vale Alimentação</v>
          </cell>
          <cell r="D196">
            <v>-4508.32</v>
          </cell>
          <cell r="F196">
            <v>-4841.96</v>
          </cell>
          <cell r="H196">
            <v>-6918.56</v>
          </cell>
          <cell r="J196">
            <v>-5856.96</v>
          </cell>
          <cell r="L196">
            <v>-4986.96</v>
          </cell>
          <cell r="N196">
            <v>-4841.96</v>
          </cell>
          <cell r="P196">
            <v>-4841.96</v>
          </cell>
          <cell r="R196">
            <v>-4841.96</v>
          </cell>
          <cell r="T196">
            <v>-4986.96</v>
          </cell>
          <cell r="V196">
            <v>-3351.59</v>
          </cell>
          <cell r="X196">
            <v>-4102.8599999999997</v>
          </cell>
          <cell r="Z196">
            <v>-4284.97</v>
          </cell>
          <cell r="AB196">
            <v>-58365.020000000004</v>
          </cell>
          <cell r="AF196">
            <v>-31954.719999999998</v>
          </cell>
          <cell r="AH196">
            <v>-26410.300000000003</v>
          </cell>
        </row>
        <row r="197">
          <cell r="A197">
            <v>81727000402</v>
          </cell>
          <cell r="B197" t="str">
            <v xml:space="preserve">     Vale Refeição</v>
          </cell>
          <cell r="D197">
            <v>-6214.56</v>
          </cell>
          <cell r="F197">
            <v>-10244.879999999999</v>
          </cell>
          <cell r="H197">
            <v>-7068.6</v>
          </cell>
          <cell r="J197">
            <v>-6866.64</v>
          </cell>
          <cell r="L197">
            <v>-7068.6</v>
          </cell>
          <cell r="N197">
            <v>-6260.76</v>
          </cell>
          <cell r="P197">
            <v>-6568.76</v>
          </cell>
          <cell r="R197">
            <v>-6722.76</v>
          </cell>
          <cell r="T197">
            <v>-8118.12</v>
          </cell>
          <cell r="V197">
            <v>-13927.35</v>
          </cell>
          <cell r="X197">
            <v>-15371.91</v>
          </cell>
          <cell r="Z197">
            <v>-14011.53</v>
          </cell>
          <cell r="AB197">
            <v>-108444.47000000002</v>
          </cell>
          <cell r="AF197">
            <v>-43724.04</v>
          </cell>
          <cell r="AH197">
            <v>-64720.429999999993</v>
          </cell>
        </row>
        <row r="198">
          <cell r="A198">
            <v>817270005</v>
          </cell>
          <cell r="B198" t="str">
            <v xml:space="preserve">     Vale Transporte </v>
          </cell>
          <cell r="D198">
            <v>-946.15</v>
          </cell>
          <cell r="F198">
            <v>-1449.99</v>
          </cell>
          <cell r="H198">
            <v>877.53</v>
          </cell>
          <cell r="J198">
            <v>-1468.74</v>
          </cell>
          <cell r="L198">
            <v>-1151.25</v>
          </cell>
          <cell r="N198">
            <v>-1370.61</v>
          </cell>
          <cell r="P198">
            <v>-1502.75</v>
          </cell>
          <cell r="R198">
            <v>-1225.02</v>
          </cell>
          <cell r="T198">
            <v>-1330.22</v>
          </cell>
          <cell r="V198">
            <v>-6741.34</v>
          </cell>
          <cell r="X198">
            <v>-6997.74</v>
          </cell>
          <cell r="Z198">
            <v>-9755.8700000000008</v>
          </cell>
          <cell r="AB198">
            <v>-33062.15</v>
          </cell>
          <cell r="AF198">
            <v>-5509.21</v>
          </cell>
          <cell r="AH198">
            <v>-27552.940000000002</v>
          </cell>
        </row>
        <row r="199">
          <cell r="A199">
            <v>817270006</v>
          </cell>
          <cell r="B199" t="str">
            <v xml:space="preserve">     Auxilio Creche</v>
          </cell>
          <cell r="D199">
            <v>-2083</v>
          </cell>
          <cell r="F199">
            <v>-1017.9</v>
          </cell>
          <cell r="H199">
            <v>-1338.1</v>
          </cell>
          <cell r="J199">
            <v>-1809.6</v>
          </cell>
          <cell r="L199">
            <v>-1432.1</v>
          </cell>
          <cell r="N199">
            <v>-1151.8</v>
          </cell>
          <cell r="P199">
            <v>-1170.7</v>
          </cell>
          <cell r="R199">
            <v>-772.6</v>
          </cell>
          <cell r="T199">
            <v>-1564.4</v>
          </cell>
          <cell r="V199">
            <v>-116.06</v>
          </cell>
          <cell r="X199">
            <v>-57.199999999999818</v>
          </cell>
          <cell r="Z199">
            <v>-28.179999999999836</v>
          </cell>
          <cell r="AB199">
            <v>-12541.64</v>
          </cell>
          <cell r="AF199">
            <v>-8832.5</v>
          </cell>
          <cell r="AH199">
            <v>-3709.14</v>
          </cell>
        </row>
        <row r="200">
          <cell r="A200">
            <v>817270007</v>
          </cell>
          <cell r="B200" t="str">
            <v xml:space="preserve">     Outros Benefícios</v>
          </cell>
          <cell r="D200">
            <v>-48.44</v>
          </cell>
          <cell r="F200">
            <v>0</v>
          </cell>
          <cell r="H200">
            <v>-49.86</v>
          </cell>
          <cell r="J200">
            <v>-24.93</v>
          </cell>
          <cell r="L200">
            <v>-24.22</v>
          </cell>
          <cell r="N200">
            <v>-24.22</v>
          </cell>
          <cell r="P200">
            <v>-24.22</v>
          </cell>
          <cell r="R200">
            <v>-26.85</v>
          </cell>
          <cell r="T200">
            <v>-26.14</v>
          </cell>
          <cell r="V200">
            <v>0</v>
          </cell>
          <cell r="X200">
            <v>-3245.24</v>
          </cell>
          <cell r="Z200">
            <v>-565.99</v>
          </cell>
          <cell r="AB200">
            <v>-4060.1099999999997</v>
          </cell>
          <cell r="AF200">
            <v>-171.67</v>
          </cell>
          <cell r="AH200">
            <v>-3888.4399999999996</v>
          </cell>
        </row>
        <row r="202">
          <cell r="A202">
            <v>81730</v>
          </cell>
          <cell r="B202" t="str">
            <v xml:space="preserve">  -  Despesas de Pessoal - Encargos Sociais</v>
          </cell>
          <cell r="D202">
            <v>-52837.1</v>
          </cell>
          <cell r="F202">
            <v>-59239.19</v>
          </cell>
          <cell r="H202">
            <v>-43142.69</v>
          </cell>
          <cell r="J202">
            <v>-46192.97</v>
          </cell>
          <cell r="L202">
            <v>-49674.71</v>
          </cell>
          <cell r="N202">
            <v>-43426.52</v>
          </cell>
          <cell r="P202">
            <v>-42583.44</v>
          </cell>
          <cell r="R202">
            <v>-44048.19</v>
          </cell>
          <cell r="T202">
            <v>-46393.96</v>
          </cell>
          <cell r="V202">
            <v>-38980</v>
          </cell>
          <cell r="X202">
            <v>-43096.62</v>
          </cell>
          <cell r="Z202">
            <v>-68580.94</v>
          </cell>
          <cell r="AB202">
            <v>-578196.33000000007</v>
          </cell>
          <cell r="AF202">
            <v>-294513.18</v>
          </cell>
          <cell r="AH202">
            <v>-283683.15000000002</v>
          </cell>
        </row>
        <row r="203">
          <cell r="A203">
            <v>8173010</v>
          </cell>
          <cell r="B203" t="str">
            <v xml:space="preserve">     FGTS</v>
          </cell>
          <cell r="D203">
            <v>-12456.88</v>
          </cell>
          <cell r="F203">
            <v>-14074.69</v>
          </cell>
          <cell r="H203">
            <v>-10171.129999999999</v>
          </cell>
          <cell r="J203">
            <v>-10609.83</v>
          </cell>
          <cell r="L203">
            <v>-14607.41</v>
          </cell>
          <cell r="N203">
            <v>-10158.16</v>
          </cell>
          <cell r="P203">
            <v>-9832.51</v>
          </cell>
          <cell r="R203">
            <v>-10238.290000000001</v>
          </cell>
          <cell r="T203">
            <v>-9855.07</v>
          </cell>
          <cell r="V203">
            <v>-9711.41</v>
          </cell>
          <cell r="X203">
            <v>-11348.75</v>
          </cell>
          <cell r="Z203">
            <v>-13686.2</v>
          </cell>
          <cell r="AB203">
            <v>-136750.33000000002</v>
          </cell>
          <cell r="AF203">
            <v>-72078.100000000006</v>
          </cell>
          <cell r="AH203">
            <v>-64672.229999999996</v>
          </cell>
        </row>
        <row r="204">
          <cell r="A204">
            <v>8173050</v>
          </cell>
          <cell r="B204" t="str">
            <v xml:space="preserve">     Previdência Social</v>
          </cell>
          <cell r="D204">
            <v>-36797.82</v>
          </cell>
          <cell r="F204">
            <v>-40920.99</v>
          </cell>
          <cell r="H204">
            <v>-29866.54</v>
          </cell>
          <cell r="J204">
            <v>-32267.52</v>
          </cell>
          <cell r="L204">
            <v>-31746.95</v>
          </cell>
          <cell r="N204">
            <v>-30093.9</v>
          </cell>
          <cell r="P204">
            <v>-29678.23</v>
          </cell>
          <cell r="R204">
            <v>-30610.39</v>
          </cell>
          <cell r="T204">
            <v>-33465.43</v>
          </cell>
          <cell r="V204">
            <v>-26503.64</v>
          </cell>
          <cell r="X204">
            <v>-29075.15</v>
          </cell>
          <cell r="Z204">
            <v>-49889.99</v>
          </cell>
          <cell r="AB204">
            <v>-400916.55000000005</v>
          </cell>
          <cell r="AF204">
            <v>-201693.72</v>
          </cell>
          <cell r="AH204">
            <v>-199222.83</v>
          </cell>
        </row>
        <row r="205">
          <cell r="A205">
            <v>8173060</v>
          </cell>
          <cell r="B205" t="str">
            <v xml:space="preserve">     Previdência Social Complementar</v>
          </cell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L205">
            <v>0</v>
          </cell>
          <cell r="N205">
            <v>0</v>
          </cell>
          <cell r="P205">
            <v>0</v>
          </cell>
          <cell r="R205">
            <v>0</v>
          </cell>
          <cell r="T205">
            <v>0</v>
          </cell>
          <cell r="V205">
            <v>0</v>
          </cell>
          <cell r="X205">
            <v>0</v>
          </cell>
          <cell r="Z205">
            <v>0</v>
          </cell>
          <cell r="AB205">
            <v>0</v>
          </cell>
          <cell r="AF205">
            <v>0</v>
          </cell>
          <cell r="AH205">
            <v>0</v>
          </cell>
        </row>
        <row r="206">
          <cell r="A206">
            <v>8173099</v>
          </cell>
          <cell r="B206" t="str">
            <v xml:space="preserve">     Outras</v>
          </cell>
          <cell r="D206">
            <v>-3582.4</v>
          </cell>
          <cell r="F206">
            <v>-4243.51</v>
          </cell>
          <cell r="H206">
            <v>-3105.02</v>
          </cell>
          <cell r="J206">
            <v>-3315.62</v>
          </cell>
          <cell r="L206">
            <v>-3320.35</v>
          </cell>
          <cell r="N206">
            <v>-3174.46</v>
          </cell>
          <cell r="P206">
            <v>-3072.7</v>
          </cell>
          <cell r="R206">
            <v>-3199.51</v>
          </cell>
          <cell r="T206">
            <v>-3073.46</v>
          </cell>
          <cell r="V206">
            <v>-2764.95</v>
          </cell>
          <cell r="X206">
            <v>-2672.72</v>
          </cell>
          <cell r="Z206">
            <v>-5004.75</v>
          </cell>
          <cell r="AB206">
            <v>-40529.449999999997</v>
          </cell>
          <cell r="AF206">
            <v>-20741.359999999997</v>
          </cell>
          <cell r="AH206">
            <v>-19788.089999999997</v>
          </cell>
        </row>
        <row r="208">
          <cell r="A208">
            <v>81733</v>
          </cell>
          <cell r="B208" t="str">
            <v xml:space="preserve">  -  Despesas de Pessoal - Proventos</v>
          </cell>
          <cell r="D208">
            <v>-142804.60999999999</v>
          </cell>
          <cell r="F208">
            <v>-184273.65</v>
          </cell>
          <cell r="H208">
            <v>-230257.26</v>
          </cell>
          <cell r="J208">
            <v>-167174.13</v>
          </cell>
          <cell r="L208">
            <v>-206854.89</v>
          </cell>
          <cell r="N208">
            <v>-140624.60999999999</v>
          </cell>
          <cell r="P208">
            <v>-125008.93</v>
          </cell>
          <cell r="R208">
            <v>-206425.95</v>
          </cell>
          <cell r="T208">
            <v>-136310.67000000001</v>
          </cell>
          <cell r="V208">
            <v>-163096.62</v>
          </cell>
          <cell r="X208">
            <v>-138150.37</v>
          </cell>
          <cell r="Z208">
            <v>-131829.76000000001</v>
          </cell>
          <cell r="AB208">
            <v>-1972811.4499999997</v>
          </cell>
          <cell r="AF208">
            <v>-1071989.1500000004</v>
          </cell>
          <cell r="AH208">
            <v>-900822.3</v>
          </cell>
        </row>
        <row r="209">
          <cell r="A209">
            <v>817330001</v>
          </cell>
          <cell r="B209" t="str">
            <v xml:space="preserve">     Adicional Noturno</v>
          </cell>
          <cell r="D209">
            <v>-90.99</v>
          </cell>
          <cell r="F209">
            <v>-144.29</v>
          </cell>
          <cell r="H209">
            <v>-71.540000000000006</v>
          </cell>
          <cell r="J209">
            <v>-264.93</v>
          </cell>
          <cell r="L209">
            <v>-338.33</v>
          </cell>
          <cell r="N209">
            <v>-189.86</v>
          </cell>
          <cell r="P209">
            <v>-105.19</v>
          </cell>
          <cell r="R209">
            <v>-343.85</v>
          </cell>
          <cell r="T209">
            <v>-57.24</v>
          </cell>
          <cell r="V209">
            <v>-309.27</v>
          </cell>
          <cell r="X209">
            <v>-175.27</v>
          </cell>
          <cell r="Z209">
            <v>-153.54</v>
          </cell>
          <cell r="AB209">
            <v>-2244.3000000000002</v>
          </cell>
          <cell r="AF209">
            <v>-1099.94</v>
          </cell>
          <cell r="AH209">
            <v>-1144.3599999999999</v>
          </cell>
        </row>
        <row r="210">
          <cell r="A210">
            <v>817330002</v>
          </cell>
          <cell r="B210" t="str">
            <v xml:space="preserve">     Aviso Prévio</v>
          </cell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L210">
            <v>-43856.11</v>
          </cell>
          <cell r="N210">
            <v>0</v>
          </cell>
          <cell r="P210">
            <v>0</v>
          </cell>
          <cell r="R210">
            <v>0</v>
          </cell>
          <cell r="T210">
            <v>0</v>
          </cell>
          <cell r="V210">
            <v>-1496.54</v>
          </cell>
          <cell r="X210">
            <v>-2045.62</v>
          </cell>
          <cell r="Z210">
            <v>-747.86000000000058</v>
          </cell>
          <cell r="AB210">
            <v>-48146.130000000005</v>
          </cell>
          <cell r="AF210">
            <v>-43856.11</v>
          </cell>
          <cell r="AH210">
            <v>-4290.0200000000004</v>
          </cell>
        </row>
        <row r="211">
          <cell r="A211">
            <v>817330003</v>
          </cell>
          <cell r="B211" t="str">
            <v xml:space="preserve">     Comissões</v>
          </cell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L211">
            <v>0</v>
          </cell>
          <cell r="N211">
            <v>0</v>
          </cell>
          <cell r="P211">
            <v>0</v>
          </cell>
          <cell r="R211">
            <v>0</v>
          </cell>
          <cell r="T211">
            <v>0</v>
          </cell>
          <cell r="V211">
            <v>0</v>
          </cell>
          <cell r="X211">
            <v>0</v>
          </cell>
          <cell r="Z211">
            <v>0</v>
          </cell>
          <cell r="AB211">
            <v>0</v>
          </cell>
          <cell r="AF211">
            <v>0</v>
          </cell>
          <cell r="AH211">
            <v>0</v>
          </cell>
        </row>
        <row r="212">
          <cell r="A212">
            <v>817330004</v>
          </cell>
          <cell r="B212" t="str">
            <v xml:space="preserve">     Diárias</v>
          </cell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L212">
            <v>0</v>
          </cell>
          <cell r="N212">
            <v>0</v>
          </cell>
          <cell r="P212">
            <v>0</v>
          </cell>
          <cell r="R212">
            <v>0</v>
          </cell>
          <cell r="T212">
            <v>0</v>
          </cell>
          <cell r="V212">
            <v>0</v>
          </cell>
          <cell r="X212">
            <v>0</v>
          </cell>
          <cell r="Z212">
            <v>0</v>
          </cell>
          <cell r="AB212">
            <v>0</v>
          </cell>
          <cell r="AF212">
            <v>0</v>
          </cell>
          <cell r="AH212">
            <v>0</v>
          </cell>
        </row>
        <row r="213">
          <cell r="A213">
            <v>817330005</v>
          </cell>
          <cell r="B213" t="str">
            <v xml:space="preserve">     Ferias - Abono Pecuniário</v>
          </cell>
          <cell r="D213">
            <v>-7300.76</v>
          </cell>
          <cell r="F213">
            <v>-4162.24</v>
          </cell>
          <cell r="H213">
            <v>-2781.19</v>
          </cell>
          <cell r="J213">
            <v>0</v>
          </cell>
          <cell r="L213">
            <v>0</v>
          </cell>
          <cell r="N213">
            <v>-3224.45</v>
          </cell>
          <cell r="P213">
            <v>-5150.63</v>
          </cell>
          <cell r="R213">
            <v>0</v>
          </cell>
          <cell r="T213">
            <v>-2952.88</v>
          </cell>
          <cell r="V213">
            <v>-848.33</v>
          </cell>
          <cell r="X213">
            <v>-800.58</v>
          </cell>
          <cell r="Z213">
            <v>-622.95000000000073</v>
          </cell>
          <cell r="AB213">
            <v>-27844.010000000006</v>
          </cell>
          <cell r="AF213">
            <v>-17468.64</v>
          </cell>
          <cell r="AH213">
            <v>-10375.370000000001</v>
          </cell>
        </row>
        <row r="214">
          <cell r="A214">
            <v>817330006</v>
          </cell>
          <cell r="B214" t="str">
            <v xml:space="preserve">     Ferias - Indenizadas</v>
          </cell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L214">
            <v>0</v>
          </cell>
          <cell r="N214">
            <v>0</v>
          </cell>
          <cell r="P214">
            <v>0</v>
          </cell>
          <cell r="R214">
            <v>0</v>
          </cell>
          <cell r="T214">
            <v>0</v>
          </cell>
          <cell r="V214">
            <v>0</v>
          </cell>
          <cell r="X214">
            <v>-7.39</v>
          </cell>
          <cell r="Z214">
            <v>0</v>
          </cell>
          <cell r="AB214">
            <v>-7.39</v>
          </cell>
          <cell r="AF214">
            <v>0</v>
          </cell>
          <cell r="AH214">
            <v>-7.39</v>
          </cell>
        </row>
        <row r="215">
          <cell r="A215">
            <v>817330007</v>
          </cell>
          <cell r="B215" t="str">
            <v xml:space="preserve">     Gratificações</v>
          </cell>
          <cell r="D215">
            <v>-20657.46</v>
          </cell>
          <cell r="F215">
            <v>-23267.02</v>
          </cell>
          <cell r="H215">
            <v>-23733.22</v>
          </cell>
          <cell r="J215">
            <v>-27079.85</v>
          </cell>
          <cell r="L215">
            <v>-26512.57</v>
          </cell>
          <cell r="N215">
            <v>-22474.48</v>
          </cell>
          <cell r="P215">
            <v>-19195.93</v>
          </cell>
          <cell r="R215">
            <v>-19765.900000000001</v>
          </cell>
          <cell r="T215">
            <v>-22047.5</v>
          </cell>
          <cell r="V215">
            <v>-5357.99</v>
          </cell>
          <cell r="X215">
            <v>-5317.1599999999889</v>
          </cell>
          <cell r="Z215">
            <v>-5566.8400000000111</v>
          </cell>
          <cell r="AB215">
            <v>-220975.91999999998</v>
          </cell>
          <cell r="AF215">
            <v>-143724.6</v>
          </cell>
          <cell r="AH215">
            <v>-77251.320000000007</v>
          </cell>
        </row>
        <row r="216">
          <cell r="A216">
            <v>817330008</v>
          </cell>
          <cell r="B216" t="str">
            <v xml:space="preserve">     Horas Extras</v>
          </cell>
          <cell r="D216">
            <v>-23293.89</v>
          </cell>
          <cell r="F216">
            <v>-17643.09</v>
          </cell>
          <cell r="H216">
            <v>-6665.4699999999939</v>
          </cell>
          <cell r="J216">
            <v>-15064.59</v>
          </cell>
          <cell r="L216">
            <v>-16074.93</v>
          </cell>
          <cell r="N216">
            <v>-12132.93</v>
          </cell>
          <cell r="P216">
            <v>-6124.29</v>
          </cell>
          <cell r="R216">
            <v>-13403.37</v>
          </cell>
          <cell r="T216">
            <v>-7110.04</v>
          </cell>
          <cell r="V216">
            <v>-5340.84</v>
          </cell>
          <cell r="X216">
            <v>-6316.69</v>
          </cell>
          <cell r="Z216">
            <v>-6162.85</v>
          </cell>
          <cell r="AB216">
            <v>-135332.97999999998</v>
          </cell>
          <cell r="AF216">
            <v>-90874.9</v>
          </cell>
          <cell r="AH216">
            <v>-44458.080000000002</v>
          </cell>
        </row>
        <row r="217">
          <cell r="A217">
            <v>817330009</v>
          </cell>
          <cell r="B217" t="str">
            <v xml:space="preserve">     Licença Prêmio Indenizada</v>
          </cell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L217">
            <v>0</v>
          </cell>
          <cell r="N217">
            <v>0</v>
          </cell>
          <cell r="P217">
            <v>0</v>
          </cell>
          <cell r="R217">
            <v>0</v>
          </cell>
          <cell r="T217">
            <v>0</v>
          </cell>
          <cell r="V217">
            <v>0</v>
          </cell>
          <cell r="X217">
            <v>0</v>
          </cell>
          <cell r="Z217">
            <v>0</v>
          </cell>
          <cell r="AB217">
            <v>0</v>
          </cell>
          <cell r="AF217">
            <v>0</v>
          </cell>
          <cell r="AH217">
            <v>0</v>
          </cell>
        </row>
        <row r="218">
          <cell r="A218">
            <v>817330010</v>
          </cell>
          <cell r="B218" t="str">
            <v xml:space="preserve">     Salarios </v>
          </cell>
          <cell r="D218">
            <v>-75730.559999999998</v>
          </cell>
          <cell r="F218">
            <v>-112384.53</v>
          </cell>
          <cell r="H218">
            <v>-85391.67</v>
          </cell>
          <cell r="J218">
            <v>-89378.35</v>
          </cell>
          <cell r="L218">
            <v>-86014.07</v>
          </cell>
          <cell r="N218">
            <v>-79326.750000000058</v>
          </cell>
          <cell r="P218">
            <v>-74037.820000000007</v>
          </cell>
          <cell r="R218">
            <v>-78428.08</v>
          </cell>
          <cell r="T218">
            <v>-79821.47</v>
          </cell>
          <cell r="V218">
            <v>-85875.73</v>
          </cell>
          <cell r="X218">
            <v>-85094.73</v>
          </cell>
          <cell r="Z218">
            <v>-85161.919999999998</v>
          </cell>
          <cell r="AB218">
            <v>-1016645.6799999999</v>
          </cell>
          <cell r="AF218">
            <v>-528225.93000000005</v>
          </cell>
          <cell r="AH218">
            <v>-488419.75</v>
          </cell>
        </row>
        <row r="219">
          <cell r="A219">
            <v>817330011</v>
          </cell>
          <cell r="B219" t="str">
            <v xml:space="preserve">     Decimo Terceiro Salário</v>
          </cell>
          <cell r="D219">
            <v>-15167.61</v>
          </cell>
          <cell r="F219">
            <v>-15197.73</v>
          </cell>
          <cell r="H219">
            <v>-14110.71</v>
          </cell>
          <cell r="J219">
            <v>-13359.52</v>
          </cell>
          <cell r="L219">
            <v>-10261.43</v>
          </cell>
          <cell r="N219">
            <v>-10745.3</v>
          </cell>
          <cell r="P219">
            <v>-13577.4</v>
          </cell>
          <cell r="R219">
            <v>-10369.27</v>
          </cell>
          <cell r="T219">
            <v>-13911.73</v>
          </cell>
          <cell r="V219">
            <v>-11657.88</v>
          </cell>
          <cell r="X219">
            <v>-8899.76</v>
          </cell>
          <cell r="Z219">
            <v>105135.19</v>
          </cell>
          <cell r="AB219">
            <v>-32123.149999999994</v>
          </cell>
          <cell r="AF219">
            <v>-78842.3</v>
          </cell>
          <cell r="AH219">
            <v>46719.150000000009</v>
          </cell>
        </row>
        <row r="220">
          <cell r="A220">
            <v>817330012</v>
          </cell>
          <cell r="B220" t="str">
            <v xml:space="preserve">     Temporários</v>
          </cell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L220">
            <v>0</v>
          </cell>
          <cell r="N220">
            <v>0</v>
          </cell>
          <cell r="P220">
            <v>0</v>
          </cell>
          <cell r="R220">
            <v>0</v>
          </cell>
          <cell r="T220">
            <v>0</v>
          </cell>
          <cell r="V220">
            <v>-3767.33</v>
          </cell>
          <cell r="X220">
            <v>-3821.05</v>
          </cell>
          <cell r="Z220">
            <v>-6419.39</v>
          </cell>
          <cell r="AB220">
            <v>-14007.77</v>
          </cell>
          <cell r="AF220">
            <v>0</v>
          </cell>
          <cell r="AH220">
            <v>-14007.77</v>
          </cell>
        </row>
        <row r="221">
          <cell r="A221">
            <v>817330013</v>
          </cell>
          <cell r="B221" t="str">
            <v xml:space="preserve">     Prêmios</v>
          </cell>
          <cell r="D221">
            <v>0</v>
          </cell>
          <cell r="F221">
            <v>0</v>
          </cell>
          <cell r="H221">
            <v>-80964.070000000007</v>
          </cell>
          <cell r="J221">
            <v>0</v>
          </cell>
          <cell r="L221">
            <v>0</v>
          </cell>
          <cell r="N221">
            <v>0</v>
          </cell>
          <cell r="P221">
            <v>0</v>
          </cell>
          <cell r="R221">
            <v>0</v>
          </cell>
          <cell r="T221">
            <v>0</v>
          </cell>
          <cell r="V221">
            <v>-1067.26</v>
          </cell>
          <cell r="X221">
            <v>0</v>
          </cell>
          <cell r="Z221">
            <v>0.56999999999993634</v>
          </cell>
          <cell r="AB221">
            <v>-82030.759999999995</v>
          </cell>
          <cell r="AF221">
            <v>-80964.070000000007</v>
          </cell>
          <cell r="AH221">
            <v>-1066.69</v>
          </cell>
        </row>
        <row r="222">
          <cell r="A222">
            <v>817330014</v>
          </cell>
          <cell r="B222" t="str">
            <v xml:space="preserve">     Férias</v>
          </cell>
          <cell r="D222">
            <v>27112.2</v>
          </cell>
          <cell r="F222">
            <v>1883.56</v>
          </cell>
          <cell r="H222">
            <v>-8271.11</v>
          </cell>
          <cell r="J222">
            <v>-21189.91</v>
          </cell>
          <cell r="L222">
            <v>-13415.21</v>
          </cell>
          <cell r="N222">
            <v>323.6299999999992</v>
          </cell>
          <cell r="P222">
            <v>34499.910000000003</v>
          </cell>
          <cell r="R222">
            <v>-3551.76</v>
          </cell>
          <cell r="T222">
            <v>1773.76</v>
          </cell>
          <cell r="V222">
            <v>-9119.2099999999991</v>
          </cell>
          <cell r="X222">
            <v>-5616.99</v>
          </cell>
          <cell r="Z222">
            <v>-9175.7900000000009</v>
          </cell>
          <cell r="AB222">
            <v>-4746.9199999999964</v>
          </cell>
          <cell r="AF222">
            <v>-13556.839999999998</v>
          </cell>
          <cell r="AH222">
            <v>8809.9199999999983</v>
          </cell>
        </row>
        <row r="223">
          <cell r="A223">
            <v>817330015</v>
          </cell>
          <cell r="B223" t="str">
            <v xml:space="preserve">     Adicional de Transferência</v>
          </cell>
          <cell r="D223">
            <v>-557.98</v>
          </cell>
          <cell r="F223">
            <v>-557.98</v>
          </cell>
          <cell r="H223">
            <v>-836.98</v>
          </cell>
          <cell r="J223">
            <v>-836.98</v>
          </cell>
          <cell r="L223">
            <v>-585.88</v>
          </cell>
          <cell r="N223">
            <v>0</v>
          </cell>
          <cell r="P223">
            <v>0</v>
          </cell>
          <cell r="R223">
            <v>0</v>
          </cell>
          <cell r="T223">
            <v>0</v>
          </cell>
          <cell r="V223">
            <v>-72.040000000000006</v>
          </cell>
          <cell r="X223">
            <v>-72.040000000000006</v>
          </cell>
          <cell r="Z223">
            <v>-72.040000000000006</v>
          </cell>
          <cell r="AB223">
            <v>-3591.92</v>
          </cell>
          <cell r="AF223">
            <v>-3375.8</v>
          </cell>
          <cell r="AH223">
            <v>-216.12</v>
          </cell>
        </row>
        <row r="224">
          <cell r="A224">
            <v>817330016</v>
          </cell>
          <cell r="B224" t="str">
            <v xml:space="preserve">     Indenizações Rescisórias</v>
          </cell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L224">
            <v>0</v>
          </cell>
          <cell r="N224">
            <v>0</v>
          </cell>
          <cell r="P224">
            <v>0</v>
          </cell>
          <cell r="R224">
            <v>0</v>
          </cell>
          <cell r="T224">
            <v>0</v>
          </cell>
          <cell r="V224">
            <v>-81.8</v>
          </cell>
          <cell r="X224">
            <v>-132.38</v>
          </cell>
          <cell r="Z224">
            <v>-1064.3</v>
          </cell>
          <cell r="AB224">
            <v>-1278.48</v>
          </cell>
          <cell r="AF224">
            <v>0</v>
          </cell>
          <cell r="AH224">
            <v>-1278.48</v>
          </cell>
        </row>
        <row r="225">
          <cell r="A225">
            <v>817330017</v>
          </cell>
          <cell r="B225" t="str">
            <v xml:space="preserve">     Multa Rescisória</v>
          </cell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L225">
            <v>0</v>
          </cell>
          <cell r="N225">
            <v>0</v>
          </cell>
          <cell r="P225">
            <v>0</v>
          </cell>
          <cell r="R225">
            <v>0</v>
          </cell>
          <cell r="T225">
            <v>0</v>
          </cell>
          <cell r="V225">
            <v>0</v>
          </cell>
          <cell r="X225">
            <v>0</v>
          </cell>
          <cell r="Z225">
            <v>0</v>
          </cell>
          <cell r="AB225">
            <v>0</v>
          </cell>
          <cell r="AF225">
            <v>0</v>
          </cell>
          <cell r="AH225">
            <v>0</v>
          </cell>
        </row>
        <row r="226">
          <cell r="A226">
            <v>817330018</v>
          </cell>
          <cell r="B226" t="str">
            <v xml:space="preserve">     Férias Pagas</v>
          </cell>
          <cell r="D226">
            <v>-27117.56</v>
          </cell>
          <cell r="F226">
            <v>-12800.33</v>
          </cell>
          <cell r="H226">
            <v>-5562.39</v>
          </cell>
          <cell r="J226">
            <v>0</v>
          </cell>
          <cell r="L226">
            <v>-6507.99</v>
          </cell>
          <cell r="N226">
            <v>-12854.47</v>
          </cell>
          <cell r="P226">
            <v>-34773.9</v>
          </cell>
          <cell r="R226">
            <v>-8312.36</v>
          </cell>
          <cell r="T226">
            <v>-12183.57</v>
          </cell>
          <cell r="V226">
            <v>-6381.88</v>
          </cell>
          <cell r="X226">
            <v>-7548.31</v>
          </cell>
          <cell r="Z226">
            <v>-4519.8999999999942</v>
          </cell>
          <cell r="AB226">
            <v>-138562.66</v>
          </cell>
          <cell r="AF226">
            <v>-64842.74</v>
          </cell>
          <cell r="AH226">
            <v>-73719.92</v>
          </cell>
        </row>
        <row r="227">
          <cell r="A227">
            <v>817330019</v>
          </cell>
          <cell r="B227" t="str">
            <v xml:space="preserve">     13º Salário Pago</v>
          </cell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L227">
            <v>-3288.37</v>
          </cell>
          <cell r="N227">
            <v>0</v>
          </cell>
          <cell r="P227">
            <v>0</v>
          </cell>
          <cell r="R227">
            <v>0</v>
          </cell>
          <cell r="T227">
            <v>0</v>
          </cell>
          <cell r="V227">
            <v>-1012.01</v>
          </cell>
          <cell r="X227">
            <v>-1367.34</v>
          </cell>
          <cell r="Z227">
            <v>-88604.64</v>
          </cell>
          <cell r="AB227">
            <v>-94272.36</v>
          </cell>
          <cell r="AF227">
            <v>-3288.37</v>
          </cell>
          <cell r="AH227">
            <v>-90983.99</v>
          </cell>
        </row>
        <row r="228">
          <cell r="A228">
            <v>817330050</v>
          </cell>
          <cell r="B228" t="str">
            <v xml:space="preserve">     Causas Trabalhistas</v>
          </cell>
          <cell r="D228">
            <v>0</v>
          </cell>
          <cell r="F228">
            <v>0</v>
          </cell>
          <cell r="H228">
            <v>-1868.91</v>
          </cell>
          <cell r="J228">
            <v>0</v>
          </cell>
          <cell r="L228">
            <v>0</v>
          </cell>
          <cell r="N228">
            <v>0</v>
          </cell>
          <cell r="P228">
            <v>-6543.68</v>
          </cell>
          <cell r="R228">
            <v>-72251.360000000001</v>
          </cell>
          <cell r="T228">
            <v>0</v>
          </cell>
          <cell r="V228">
            <v>-7316.2100000000064</v>
          </cell>
          <cell r="X228">
            <v>-2778.09</v>
          </cell>
          <cell r="Z228">
            <v>-658.99000000000524</v>
          </cell>
          <cell r="AB228">
            <v>-91417.24</v>
          </cell>
          <cell r="AF228">
            <v>-1868.91</v>
          </cell>
          <cell r="AH228">
            <v>-89548.330000000016</v>
          </cell>
        </row>
        <row r="229">
          <cell r="A229">
            <v>817330051</v>
          </cell>
          <cell r="B229" t="str">
            <v xml:space="preserve">     Provisão Indenização Trabalhista</v>
          </cell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L229">
            <v>0</v>
          </cell>
          <cell r="N229">
            <v>0</v>
          </cell>
          <cell r="P229">
            <v>0</v>
          </cell>
          <cell r="R229">
            <v>0</v>
          </cell>
          <cell r="T229">
            <v>0</v>
          </cell>
          <cell r="V229">
            <v>-21310.52</v>
          </cell>
          <cell r="X229">
            <v>-5653.88</v>
          </cell>
          <cell r="Z229">
            <v>-25977.759999999998</v>
          </cell>
          <cell r="AB229">
            <v>-52942.16</v>
          </cell>
          <cell r="AF229">
            <v>0</v>
          </cell>
          <cell r="AH229">
            <v>-52942.16</v>
          </cell>
        </row>
        <row r="230">
          <cell r="A230">
            <v>817330099</v>
          </cell>
          <cell r="B230" t="str">
            <v xml:space="preserve">     Outras Despesas de Pessoal </v>
          </cell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L230">
            <v>0</v>
          </cell>
          <cell r="N230">
            <v>0</v>
          </cell>
          <cell r="P230">
            <v>0</v>
          </cell>
          <cell r="R230">
            <v>0</v>
          </cell>
          <cell r="T230">
            <v>0</v>
          </cell>
          <cell r="V230">
            <v>-2081.7800000000002</v>
          </cell>
          <cell r="X230">
            <v>-2503.09</v>
          </cell>
          <cell r="Z230">
            <v>-2056.75</v>
          </cell>
          <cell r="AB230">
            <v>-6641.6200000000008</v>
          </cell>
          <cell r="AF230">
            <v>0</v>
          </cell>
          <cell r="AH230">
            <v>-6641.6200000000008</v>
          </cell>
        </row>
        <row r="232">
          <cell r="A232">
            <v>81736</v>
          </cell>
          <cell r="B232" t="str">
            <v xml:space="preserve">  -  Despesas de Pessoal - Treinamento</v>
          </cell>
          <cell r="D232">
            <v>-422</v>
          </cell>
          <cell r="F232">
            <v>0</v>
          </cell>
          <cell r="H232">
            <v>0</v>
          </cell>
          <cell r="J232">
            <v>-315</v>
          </cell>
          <cell r="L232">
            <v>0</v>
          </cell>
          <cell r="N232">
            <v>-630.29999999999995</v>
          </cell>
          <cell r="P232">
            <v>0</v>
          </cell>
          <cell r="R232">
            <v>0</v>
          </cell>
          <cell r="T232">
            <v>0</v>
          </cell>
          <cell r="V232">
            <v>-4766.1099999999997</v>
          </cell>
          <cell r="X232">
            <v>-2400.6799999999998</v>
          </cell>
          <cell r="Z232">
            <v>-2159.17</v>
          </cell>
          <cell r="AB232">
            <v>-10693.26</v>
          </cell>
          <cell r="AF232">
            <v>-1367.3</v>
          </cell>
          <cell r="AH232">
            <v>-9325.9599999999991</v>
          </cell>
        </row>
        <row r="233">
          <cell r="A233">
            <v>81737</v>
          </cell>
          <cell r="B233" t="str">
            <v xml:space="preserve">  -  Despesas de Remuneração de Estagiários</v>
          </cell>
          <cell r="D233">
            <v>-1699.13</v>
          </cell>
          <cell r="F233">
            <v>-603.33000000000004</v>
          </cell>
          <cell r="H233">
            <v>-1764.37</v>
          </cell>
          <cell r="J233">
            <v>-1602.38</v>
          </cell>
          <cell r="L233">
            <v>-1194.67</v>
          </cell>
          <cell r="N233">
            <v>-1084</v>
          </cell>
          <cell r="P233">
            <v>-2161</v>
          </cell>
          <cell r="R233">
            <v>-1619</v>
          </cell>
          <cell r="T233">
            <v>-1619</v>
          </cell>
          <cell r="V233">
            <v>-437.91</v>
          </cell>
          <cell r="X233">
            <v>-462.11000000000058</v>
          </cell>
          <cell r="Z233">
            <v>-752.37</v>
          </cell>
          <cell r="AB233">
            <v>-14999.270000000002</v>
          </cell>
          <cell r="AF233">
            <v>-7947.88</v>
          </cell>
          <cell r="AH233">
            <v>-7051.39</v>
          </cell>
        </row>
        <row r="234">
          <cell r="A234">
            <v>81739</v>
          </cell>
          <cell r="B234" t="str">
            <v xml:space="preserve">  -  Despesas de Processamentos de Dados</v>
          </cell>
          <cell r="D234">
            <v>-39562.04</v>
          </cell>
          <cell r="F234">
            <v>-20944.439999999999</v>
          </cell>
          <cell r="H234">
            <v>-62392.55</v>
          </cell>
          <cell r="J234">
            <v>-36091.379999999997</v>
          </cell>
          <cell r="L234">
            <v>-37646.04</v>
          </cell>
          <cell r="N234">
            <v>-49864.160000000003</v>
          </cell>
          <cell r="P234">
            <v>-35916.14</v>
          </cell>
          <cell r="R234">
            <v>-53519.99</v>
          </cell>
          <cell r="T234">
            <v>-42397.2</v>
          </cell>
          <cell r="V234">
            <v>-3058901.85</v>
          </cell>
          <cell r="X234">
            <v>-2944978.01</v>
          </cell>
          <cell r="Z234">
            <v>-3002279.16</v>
          </cell>
          <cell r="AB234">
            <v>-9384492.9600000009</v>
          </cell>
          <cell r="AF234">
            <v>-246500.61000000002</v>
          </cell>
          <cell r="AH234">
            <v>-9137992.3499999996</v>
          </cell>
        </row>
        <row r="235">
          <cell r="A235">
            <v>81742</v>
          </cell>
          <cell r="B235" t="str">
            <v xml:space="preserve">  -  Despesas de Promoções e Relações Publicas</v>
          </cell>
          <cell r="D235">
            <v>-1365.67</v>
          </cell>
          <cell r="F235">
            <v>-634.38</v>
          </cell>
          <cell r="H235">
            <v>-1116.4100000000001</v>
          </cell>
          <cell r="J235">
            <v>-912.41</v>
          </cell>
          <cell r="L235">
            <v>-1100.51</v>
          </cell>
          <cell r="N235">
            <v>-2622.28</v>
          </cell>
          <cell r="P235">
            <v>-1148.02</v>
          </cell>
          <cell r="R235">
            <v>-1377.24</v>
          </cell>
          <cell r="T235">
            <v>-1282.22</v>
          </cell>
          <cell r="V235">
            <v>-106067.59</v>
          </cell>
          <cell r="X235">
            <v>-126028.14</v>
          </cell>
          <cell r="Z235">
            <v>-421362.89</v>
          </cell>
          <cell r="AB235">
            <v>-665017.76</v>
          </cell>
          <cell r="AF235">
            <v>-7751.66</v>
          </cell>
          <cell r="AH235">
            <v>-657266.1</v>
          </cell>
        </row>
        <row r="236">
          <cell r="A236">
            <v>81745</v>
          </cell>
          <cell r="B236" t="str">
            <v xml:space="preserve">  -  Despesas de Propaganda e Publicidade</v>
          </cell>
          <cell r="D236">
            <v>-3631.59</v>
          </cell>
          <cell r="F236">
            <v>0</v>
          </cell>
          <cell r="H236">
            <v>0</v>
          </cell>
          <cell r="J236">
            <v>0</v>
          </cell>
          <cell r="L236">
            <v>0</v>
          </cell>
          <cell r="N236">
            <v>0</v>
          </cell>
          <cell r="P236">
            <v>0</v>
          </cell>
          <cell r="R236">
            <v>0</v>
          </cell>
          <cell r="T236">
            <v>0</v>
          </cell>
          <cell r="V236">
            <v>-1382729.21</v>
          </cell>
          <cell r="X236">
            <v>-1224279.02</v>
          </cell>
          <cell r="Z236">
            <v>-1572931.15</v>
          </cell>
          <cell r="AB236">
            <v>-4183570.97</v>
          </cell>
          <cell r="AF236">
            <v>-3631.59</v>
          </cell>
          <cell r="AH236">
            <v>-4179939.38</v>
          </cell>
        </row>
        <row r="237">
          <cell r="A237">
            <v>81748</v>
          </cell>
          <cell r="B237" t="str">
            <v xml:space="preserve">  -  Despesas de Publicações</v>
          </cell>
          <cell r="D237">
            <v>0</v>
          </cell>
          <cell r="F237">
            <v>-175</v>
          </cell>
          <cell r="H237">
            <v>0</v>
          </cell>
          <cell r="J237">
            <v>-66521.14</v>
          </cell>
          <cell r="L237">
            <v>-175</v>
          </cell>
          <cell r="N237">
            <v>-175</v>
          </cell>
          <cell r="P237">
            <v>0</v>
          </cell>
          <cell r="R237">
            <v>0</v>
          </cell>
          <cell r="T237">
            <v>-32912.879999999997</v>
          </cell>
          <cell r="V237">
            <v>-14801.85</v>
          </cell>
          <cell r="X237">
            <v>-8048.45</v>
          </cell>
          <cell r="Z237">
            <v>0</v>
          </cell>
          <cell r="AB237">
            <v>-122809.31999999999</v>
          </cell>
          <cell r="AF237">
            <v>-67046.14</v>
          </cell>
          <cell r="AH237">
            <v>-55763.179999999993</v>
          </cell>
        </row>
        <row r="238">
          <cell r="A238">
            <v>81751</v>
          </cell>
          <cell r="B238" t="str">
            <v xml:space="preserve">  -  Despesas de Seguros</v>
          </cell>
          <cell r="D238">
            <v>-1054.08</v>
          </cell>
          <cell r="F238">
            <v>-1054.25</v>
          </cell>
          <cell r="H238">
            <v>-1065.67</v>
          </cell>
          <cell r="J238">
            <v>-1065.67</v>
          </cell>
          <cell r="L238">
            <v>-1065.67</v>
          </cell>
          <cell r="N238">
            <v>-1010.04</v>
          </cell>
          <cell r="P238">
            <v>-1029.0999999999999</v>
          </cell>
          <cell r="R238">
            <v>-35893.199999999997</v>
          </cell>
          <cell r="T238">
            <v>33784.75</v>
          </cell>
          <cell r="V238">
            <v>-43244.18</v>
          </cell>
          <cell r="X238">
            <v>-44847.89</v>
          </cell>
          <cell r="Z238">
            <v>-1964.8500000000058</v>
          </cell>
          <cell r="AB238">
            <v>-99509.85</v>
          </cell>
          <cell r="AF238">
            <v>-6315.38</v>
          </cell>
          <cell r="AH238">
            <v>-93194.47</v>
          </cell>
        </row>
        <row r="239">
          <cell r="A239">
            <v>81754</v>
          </cell>
          <cell r="B239" t="str">
            <v xml:space="preserve">  -  Despesas de Serviços do Sistema Financeiro</v>
          </cell>
          <cell r="D239">
            <v>-1910486.12</v>
          </cell>
          <cell r="F239">
            <v>-1780735.71</v>
          </cell>
          <cell r="H239">
            <v>-1954020.32</v>
          </cell>
          <cell r="J239">
            <v>-1790166.49</v>
          </cell>
          <cell r="L239">
            <v>-1964354.64</v>
          </cell>
          <cell r="N239">
            <v>-1877419.21</v>
          </cell>
          <cell r="P239">
            <v>-1933578.11</v>
          </cell>
          <cell r="R239">
            <v>-1717213.3</v>
          </cell>
          <cell r="T239">
            <v>-1595965.58</v>
          </cell>
          <cell r="V239">
            <v>-3681465.1</v>
          </cell>
          <cell r="X239">
            <v>-3314840.92</v>
          </cell>
          <cell r="Z239">
            <v>-4588114.97</v>
          </cell>
          <cell r="AB239">
            <v>-28108360.469999999</v>
          </cell>
          <cell r="AF239">
            <v>-11277182.490000002</v>
          </cell>
          <cell r="AH239">
            <v>-16831177.98</v>
          </cell>
        </row>
        <row r="240">
          <cell r="A240">
            <v>81757</v>
          </cell>
          <cell r="B240" t="str">
            <v xml:space="preserve">  -  Despesas de Serviços de Terceiros</v>
          </cell>
          <cell r="D240">
            <v>-14062.11</v>
          </cell>
          <cell r="F240">
            <v>-11539.77</v>
          </cell>
          <cell r="H240">
            <v>-11978.43</v>
          </cell>
          <cell r="J240">
            <v>-13033.13</v>
          </cell>
          <cell r="L240">
            <v>-13985.23</v>
          </cell>
          <cell r="N240">
            <v>-13084.43</v>
          </cell>
          <cell r="P240">
            <v>-14695.35</v>
          </cell>
          <cell r="R240">
            <v>-14339.72</v>
          </cell>
          <cell r="T240">
            <v>-14942.64</v>
          </cell>
          <cell r="V240">
            <v>-1370029.01</v>
          </cell>
          <cell r="X240">
            <v>-1516483.67</v>
          </cell>
          <cell r="Z240">
            <v>-1754302.9</v>
          </cell>
          <cell r="AB240">
            <v>-4762476.3900000006</v>
          </cell>
          <cell r="AF240">
            <v>-77683.100000000006</v>
          </cell>
          <cell r="AH240">
            <v>-4684793.2899999991</v>
          </cell>
        </row>
        <row r="241">
          <cell r="A241">
            <v>81760</v>
          </cell>
          <cell r="B241" t="str">
            <v xml:space="preserve">  -  Despesas de Serviços de Vigilância e Segurança</v>
          </cell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L241">
            <v>0</v>
          </cell>
          <cell r="N241">
            <v>0</v>
          </cell>
          <cell r="P241">
            <v>0</v>
          </cell>
          <cell r="R241">
            <v>0</v>
          </cell>
          <cell r="T241">
            <v>0</v>
          </cell>
          <cell r="V241">
            <v>-174936.62</v>
          </cell>
          <cell r="X241">
            <v>-291910.43</v>
          </cell>
          <cell r="Z241">
            <v>-279970.86</v>
          </cell>
          <cell r="AB241">
            <v>-746817.90999999992</v>
          </cell>
          <cell r="AF241">
            <v>0</v>
          </cell>
          <cell r="AH241">
            <v>-746817.90999999992</v>
          </cell>
        </row>
        <row r="242">
          <cell r="A242">
            <v>81763</v>
          </cell>
          <cell r="B242" t="str">
            <v xml:space="preserve">  -  Despesas de Serviços Tecnicos Especializados</v>
          </cell>
          <cell r="D242">
            <v>-39116.28</v>
          </cell>
          <cell r="F242">
            <v>-21924.12</v>
          </cell>
          <cell r="H242">
            <v>-52129.3</v>
          </cell>
          <cell r="J242">
            <v>-32845.14</v>
          </cell>
          <cell r="L242">
            <v>-72055.63</v>
          </cell>
          <cell r="N242">
            <v>-83007.429999999993</v>
          </cell>
          <cell r="P242">
            <v>-55728.75</v>
          </cell>
          <cell r="R242">
            <v>-68414.990000000005</v>
          </cell>
          <cell r="T242">
            <v>-49584.52</v>
          </cell>
          <cell r="V242">
            <v>-2601582.2000000002</v>
          </cell>
          <cell r="X242">
            <v>-2756473.15</v>
          </cell>
          <cell r="Z242">
            <v>-2555905.33</v>
          </cell>
          <cell r="AB242">
            <v>-8388766.8399999999</v>
          </cell>
          <cell r="AF242">
            <v>-301077.90000000002</v>
          </cell>
          <cell r="AH242">
            <v>-8087688.9399999995</v>
          </cell>
        </row>
        <row r="243">
          <cell r="A243">
            <v>81766</v>
          </cell>
          <cell r="B243" t="str">
            <v xml:space="preserve">  -  Despesas de Transporte</v>
          </cell>
          <cell r="D243">
            <v>-1054.4000000000001</v>
          </cell>
          <cell r="F243">
            <v>-1035.4000000000001</v>
          </cell>
          <cell r="H243">
            <v>-1518.96</v>
          </cell>
          <cell r="J243">
            <v>-1426.62</v>
          </cell>
          <cell r="L243">
            <v>-1030.2</v>
          </cell>
          <cell r="N243">
            <v>-1194.49</v>
          </cell>
          <cell r="P243">
            <v>-863.18</v>
          </cell>
          <cell r="R243">
            <v>-598.67999999999995</v>
          </cell>
          <cell r="T243">
            <v>-736.36</v>
          </cell>
          <cell r="V243">
            <v>-530129.67000000004</v>
          </cell>
          <cell r="X243">
            <v>-352660.83</v>
          </cell>
          <cell r="Z243">
            <v>-389719.33</v>
          </cell>
          <cell r="AB243">
            <v>-1281968.1200000001</v>
          </cell>
          <cell r="AF243">
            <v>-7260.07</v>
          </cell>
          <cell r="AH243">
            <v>-1274708.05</v>
          </cell>
        </row>
        <row r="245">
          <cell r="A245">
            <v>81769</v>
          </cell>
          <cell r="B245" t="str">
            <v xml:space="preserve">  -  Despesas Tributárias</v>
          </cell>
          <cell r="D245">
            <v>-182538.88</v>
          </cell>
          <cell r="F245">
            <v>-78373.06</v>
          </cell>
          <cell r="H245">
            <v>-72548.13</v>
          </cell>
          <cell r="J245">
            <v>-77701.98</v>
          </cell>
          <cell r="L245">
            <v>-149805.66</v>
          </cell>
          <cell r="N245">
            <v>-80255.539999999921</v>
          </cell>
          <cell r="P245">
            <v>-89805.26</v>
          </cell>
          <cell r="R245">
            <v>-146953.79999999999</v>
          </cell>
          <cell r="T245">
            <v>-105901.94</v>
          </cell>
          <cell r="V245">
            <v>-1068294.56</v>
          </cell>
          <cell r="X245">
            <v>-778158.05</v>
          </cell>
          <cell r="Z245">
            <v>-711131.64999999991</v>
          </cell>
          <cell r="AB245">
            <v>-3541468.51</v>
          </cell>
          <cell r="AF245">
            <v>-641223.25</v>
          </cell>
          <cell r="AH245">
            <v>-2900245.2599999993</v>
          </cell>
        </row>
        <row r="246">
          <cell r="A246">
            <v>817690001</v>
          </cell>
          <cell r="B246" t="str">
            <v xml:space="preserve">     Tributos Federais</v>
          </cell>
          <cell r="D246">
            <v>-181721.33</v>
          </cell>
          <cell r="F246">
            <v>-78373.06</v>
          </cell>
          <cell r="H246">
            <v>-72489.13</v>
          </cell>
          <cell r="J246">
            <v>-77701.98</v>
          </cell>
          <cell r="L246">
            <v>-145887.78</v>
          </cell>
          <cell r="N246">
            <v>-80255.539999999921</v>
          </cell>
          <cell r="P246">
            <v>-85594.18</v>
          </cell>
          <cell r="R246">
            <v>-146816.10999999999</v>
          </cell>
          <cell r="T246">
            <v>-105871.94</v>
          </cell>
          <cell r="V246">
            <v>-1021303.98</v>
          </cell>
          <cell r="X246">
            <v>-729863.92</v>
          </cell>
          <cell r="Z246">
            <v>-680258.47</v>
          </cell>
          <cell r="AB246">
            <v>-3406137.42</v>
          </cell>
          <cell r="AF246">
            <v>-636428.81999999995</v>
          </cell>
          <cell r="AH246">
            <v>-2769708.5999999996</v>
          </cell>
        </row>
        <row r="247">
          <cell r="A247">
            <v>81769000198</v>
          </cell>
          <cell r="B247" t="str">
            <v xml:space="preserve">     Multas não Dedutíveis Federais</v>
          </cell>
          <cell r="D247">
            <v>0</v>
          </cell>
          <cell r="F247">
            <v>0</v>
          </cell>
          <cell r="H247">
            <v>0</v>
          </cell>
          <cell r="J247">
            <v>-1137.33</v>
          </cell>
          <cell r="L247">
            <v>0</v>
          </cell>
          <cell r="N247">
            <v>0</v>
          </cell>
          <cell r="P247">
            <v>0</v>
          </cell>
          <cell r="R247">
            <v>-13769.06</v>
          </cell>
          <cell r="T247">
            <v>0</v>
          </cell>
          <cell r="V247">
            <v>-283.28000000000065</v>
          </cell>
          <cell r="X247">
            <v>0</v>
          </cell>
          <cell r="Z247">
            <v>-3059.26</v>
          </cell>
          <cell r="AB247">
            <v>-18248.93</v>
          </cell>
          <cell r="AF247">
            <v>-1137.33</v>
          </cell>
          <cell r="AH247">
            <v>-17111.599999999999</v>
          </cell>
        </row>
        <row r="248">
          <cell r="A248">
            <v>817690002</v>
          </cell>
          <cell r="B248" t="str">
            <v xml:space="preserve">     Tributos Estaduais</v>
          </cell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L248">
            <v>0</v>
          </cell>
          <cell r="N248">
            <v>0</v>
          </cell>
          <cell r="P248">
            <v>0</v>
          </cell>
          <cell r="R248">
            <v>0</v>
          </cell>
          <cell r="T248">
            <v>0</v>
          </cell>
          <cell r="V248">
            <v>-265.47000000000003</v>
          </cell>
          <cell r="X248">
            <v>-310.88</v>
          </cell>
          <cell r="Z248">
            <v>-709.49</v>
          </cell>
          <cell r="AB248">
            <v>-1285.8400000000001</v>
          </cell>
          <cell r="AF248">
            <v>0</v>
          </cell>
          <cell r="AH248">
            <v>-1285.8400000000001</v>
          </cell>
        </row>
        <row r="249">
          <cell r="A249">
            <v>81769000298</v>
          </cell>
          <cell r="B249" t="str">
            <v xml:space="preserve">     Multas não Dedutíveis Estaduais</v>
          </cell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L249">
            <v>0</v>
          </cell>
          <cell r="N249">
            <v>0</v>
          </cell>
          <cell r="P249">
            <v>0</v>
          </cell>
          <cell r="R249">
            <v>0</v>
          </cell>
          <cell r="T249">
            <v>0</v>
          </cell>
          <cell r="V249">
            <v>0</v>
          </cell>
          <cell r="X249">
            <v>0</v>
          </cell>
          <cell r="Z249">
            <v>0</v>
          </cell>
          <cell r="AB249">
            <v>0</v>
          </cell>
          <cell r="AF249">
            <v>0</v>
          </cell>
          <cell r="AH249">
            <v>0</v>
          </cell>
        </row>
        <row r="250">
          <cell r="A250">
            <v>817690003</v>
          </cell>
          <cell r="B250" t="str">
            <v xml:space="preserve">     Tributos Municipais</v>
          </cell>
          <cell r="D250">
            <v>-817.55</v>
          </cell>
          <cell r="F250">
            <v>0</v>
          </cell>
          <cell r="H250">
            <v>-59</v>
          </cell>
          <cell r="J250">
            <v>0</v>
          </cell>
          <cell r="L250">
            <v>-3917.88</v>
          </cell>
          <cell r="N250">
            <v>0</v>
          </cell>
          <cell r="P250">
            <v>-4211.08</v>
          </cell>
          <cell r="R250">
            <v>-137.69000000000051</v>
          </cell>
          <cell r="T250">
            <v>-30</v>
          </cell>
          <cell r="V250">
            <v>-46725.11</v>
          </cell>
          <cell r="X250">
            <v>-47983.25</v>
          </cell>
          <cell r="Z250">
            <v>-30163.69</v>
          </cell>
          <cell r="AB250">
            <v>-134045.25</v>
          </cell>
          <cell r="AF250">
            <v>-4794.43</v>
          </cell>
          <cell r="AH250">
            <v>-129250.82</v>
          </cell>
        </row>
        <row r="251">
          <cell r="A251">
            <v>81769000398</v>
          </cell>
          <cell r="B251" t="str">
            <v xml:space="preserve">     Multas não Dedutíveis Municipais</v>
          </cell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L251">
            <v>-1247.98</v>
          </cell>
          <cell r="N251">
            <v>0</v>
          </cell>
          <cell r="P251">
            <v>0</v>
          </cell>
          <cell r="R251">
            <v>-14.54</v>
          </cell>
          <cell r="T251">
            <v>0</v>
          </cell>
          <cell r="V251">
            <v>-240.96</v>
          </cell>
          <cell r="X251">
            <v>0</v>
          </cell>
          <cell r="Z251">
            <v>0</v>
          </cell>
          <cell r="AB251">
            <v>-1503.48</v>
          </cell>
          <cell r="AF251">
            <v>-1247.98</v>
          </cell>
          <cell r="AH251">
            <v>-255.5</v>
          </cell>
        </row>
        <row r="253">
          <cell r="A253">
            <v>81772</v>
          </cell>
          <cell r="B253" t="str">
            <v xml:space="preserve">  -  Despesas de Viagem ao Exterior</v>
          </cell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L253">
            <v>0</v>
          </cell>
          <cell r="N253">
            <v>0</v>
          </cell>
          <cell r="P253">
            <v>0</v>
          </cell>
          <cell r="R253">
            <v>0</v>
          </cell>
          <cell r="T253">
            <v>0</v>
          </cell>
          <cell r="V253">
            <v>0</v>
          </cell>
          <cell r="X253">
            <v>0</v>
          </cell>
          <cell r="Z253">
            <v>0</v>
          </cell>
          <cell r="AB253">
            <v>0</v>
          </cell>
          <cell r="AF253">
            <v>0</v>
          </cell>
          <cell r="AH253">
            <v>0</v>
          </cell>
        </row>
        <row r="254">
          <cell r="A254">
            <v>81775</v>
          </cell>
          <cell r="B254" t="str">
            <v xml:space="preserve">  -  Despesas de Viagem no País</v>
          </cell>
          <cell r="D254">
            <v>-9085.4500000000007</v>
          </cell>
          <cell r="F254">
            <v>-4210.53</v>
          </cell>
          <cell r="H254">
            <v>-4001.36</v>
          </cell>
          <cell r="J254">
            <v>-3714.22</v>
          </cell>
          <cell r="L254">
            <v>-3499.77</v>
          </cell>
          <cell r="N254">
            <v>-4542.3599999999997</v>
          </cell>
          <cell r="P254">
            <v>-2966.04</v>
          </cell>
          <cell r="R254">
            <v>-3517.66</v>
          </cell>
          <cell r="T254">
            <v>-8704.06</v>
          </cell>
          <cell r="V254">
            <v>-273322.65999999997</v>
          </cell>
          <cell r="X254">
            <v>-241730.9</v>
          </cell>
          <cell r="Z254">
            <v>-329767.95</v>
          </cell>
          <cell r="AB254">
            <v>-889062.96</v>
          </cell>
          <cell r="AF254">
            <v>-29053.690000000002</v>
          </cell>
          <cell r="AH254">
            <v>-860009.27</v>
          </cell>
        </row>
        <row r="255">
          <cell r="A255">
            <v>81777</v>
          </cell>
          <cell r="B255" t="str">
            <v xml:space="preserve">  -  Despesas de Multas do BACEM</v>
          </cell>
          <cell r="D255">
            <v>-900</v>
          </cell>
          <cell r="F255">
            <v>-150</v>
          </cell>
          <cell r="H255">
            <v>-1050</v>
          </cell>
          <cell r="J255">
            <v>-2700</v>
          </cell>
          <cell r="L255">
            <v>-2850</v>
          </cell>
          <cell r="N255">
            <v>-2400</v>
          </cell>
          <cell r="P255">
            <v>-21780</v>
          </cell>
          <cell r="R255">
            <v>-9450</v>
          </cell>
          <cell r="T255">
            <v>-10350</v>
          </cell>
          <cell r="V255">
            <v>-236.98999999999796</v>
          </cell>
          <cell r="X255">
            <v>0</v>
          </cell>
          <cell r="Z255">
            <v>-1500</v>
          </cell>
          <cell r="AB255">
            <v>-53366.99</v>
          </cell>
          <cell r="AF255">
            <v>-10050</v>
          </cell>
          <cell r="AH255">
            <v>-43316.99</v>
          </cell>
        </row>
        <row r="256">
          <cell r="A256">
            <v>81799</v>
          </cell>
          <cell r="B256" t="str">
            <v xml:space="preserve">  -  Outras Despesas Administrativas</v>
          </cell>
          <cell r="D256">
            <v>-13431639.290000005</v>
          </cell>
          <cell r="F256">
            <v>-13331033.24</v>
          </cell>
          <cell r="H256">
            <v>-11187023.229999997</v>
          </cell>
          <cell r="J256">
            <v>-15712236.520000009</v>
          </cell>
          <cell r="L256">
            <v>-15394855.050000004</v>
          </cell>
          <cell r="N256">
            <v>-9068865.7300000079</v>
          </cell>
          <cell r="P256">
            <v>-16615973.439999994</v>
          </cell>
          <cell r="R256">
            <v>-9278477.9999999981</v>
          </cell>
          <cell r="T256">
            <v>-10708826.249999998</v>
          </cell>
          <cell r="V256">
            <v>-281554.03000000119</v>
          </cell>
          <cell r="X256">
            <v>-170942.87000000477</v>
          </cell>
          <cell r="Z256">
            <v>-274141.61999999732</v>
          </cell>
          <cell r="AB256">
            <v>-115455569.27000001</v>
          </cell>
          <cell r="AF256">
            <v>-78125653.060000017</v>
          </cell>
          <cell r="AH256">
            <v>-37329916.209999993</v>
          </cell>
        </row>
        <row r="258">
          <cell r="A258">
            <v>818</v>
          </cell>
          <cell r="B258" t="str">
            <v xml:space="preserve">  . Aprovisionamentos e Ajustes Patrimoniais</v>
          </cell>
          <cell r="D258">
            <v>-3466041.44</v>
          </cell>
          <cell r="F258">
            <v>-1728715.43</v>
          </cell>
          <cell r="H258">
            <v>-1004663.45</v>
          </cell>
          <cell r="J258">
            <v>-383817.5</v>
          </cell>
          <cell r="L258">
            <v>-282721.57000000082</v>
          </cell>
          <cell r="N258">
            <v>-4145648.98</v>
          </cell>
          <cell r="P258">
            <v>426910.48</v>
          </cell>
          <cell r="R258">
            <v>-3715545.77</v>
          </cell>
          <cell r="T258">
            <v>1563444.23</v>
          </cell>
          <cell r="V258">
            <v>-121082618.90000002</v>
          </cell>
          <cell r="X258">
            <v>-27157404.920000002</v>
          </cell>
          <cell r="Z258">
            <v>-81564564.409999996</v>
          </cell>
          <cell r="AB258">
            <v>-243737404.78999999</v>
          </cell>
          <cell r="AF258">
            <v>-11011608.369999999</v>
          </cell>
          <cell r="AH258">
            <v>-232725796.42000002</v>
          </cell>
        </row>
        <row r="259">
          <cell r="A259">
            <v>81810</v>
          </cell>
          <cell r="B259" t="str">
            <v xml:space="preserve">  -  Despesas de Amortizações </v>
          </cell>
          <cell r="D259">
            <v>-1841.07</v>
          </cell>
          <cell r="F259">
            <v>-1841.07</v>
          </cell>
          <cell r="H259">
            <v>-1843.63</v>
          </cell>
          <cell r="J259">
            <v>-1841.07</v>
          </cell>
          <cell r="L259">
            <v>-1841.07</v>
          </cell>
          <cell r="N259">
            <v>-1841.07</v>
          </cell>
          <cell r="P259">
            <v>-1841.07</v>
          </cell>
          <cell r="R259">
            <v>-1841.07</v>
          </cell>
          <cell r="T259">
            <v>-1841.07</v>
          </cell>
          <cell r="V259">
            <v>-920461.6</v>
          </cell>
          <cell r="X259">
            <v>-705295.62</v>
          </cell>
          <cell r="Z259">
            <v>-600286.18000000005</v>
          </cell>
          <cell r="AB259">
            <v>-2242615.59</v>
          </cell>
          <cell r="AF259">
            <v>-11048.98</v>
          </cell>
          <cell r="AH259">
            <v>-2231566.61</v>
          </cell>
        </row>
        <row r="260">
          <cell r="A260">
            <v>81820</v>
          </cell>
          <cell r="B260" t="str">
            <v xml:space="preserve">  -  Despesas de Depreciação </v>
          </cell>
          <cell r="D260">
            <v>-1045.8699999999999</v>
          </cell>
          <cell r="F260">
            <v>-1045.96</v>
          </cell>
          <cell r="H260">
            <v>-1059.25</v>
          </cell>
          <cell r="J260">
            <v>-1053.92</v>
          </cell>
          <cell r="L260">
            <v>-1049.97</v>
          </cell>
          <cell r="N260">
            <v>-1049.97</v>
          </cell>
          <cell r="P260">
            <v>-1053.8900000000001</v>
          </cell>
          <cell r="R260">
            <v>-1051.93</v>
          </cell>
          <cell r="T260">
            <v>-1051.93</v>
          </cell>
          <cell r="V260">
            <v>-590770.43999999994</v>
          </cell>
          <cell r="X260">
            <v>-624777.30000000005</v>
          </cell>
          <cell r="Z260">
            <v>-648724.54</v>
          </cell>
          <cell r="AB260">
            <v>-1873734.97</v>
          </cell>
          <cell r="AF260">
            <v>-6304.9400000000005</v>
          </cell>
          <cell r="AH260">
            <v>-1867430.03</v>
          </cell>
        </row>
        <row r="262">
          <cell r="A262">
            <v>81830</v>
          </cell>
          <cell r="B262" t="str">
            <v xml:space="preserve">  -  Despesas de Provisões Operacionais</v>
          </cell>
          <cell r="D262">
            <v>-3463154.5</v>
          </cell>
          <cell r="F262">
            <v>-1725828.4</v>
          </cell>
          <cell r="H262">
            <v>-1001760.57</v>
          </cell>
          <cell r="J262">
            <v>-380922.51</v>
          </cell>
          <cell r="L262">
            <v>-279830.53000000084</v>
          </cell>
          <cell r="N262">
            <v>-4142757.94</v>
          </cell>
          <cell r="P262">
            <v>429805.44</v>
          </cell>
          <cell r="R262">
            <v>-3712652.77</v>
          </cell>
          <cell r="T262">
            <v>1566337.23</v>
          </cell>
          <cell r="V262">
            <v>-119571386.86000001</v>
          </cell>
          <cell r="X262">
            <v>-25827332.000000004</v>
          </cell>
          <cell r="Z262">
            <v>-80315553.689999998</v>
          </cell>
          <cell r="AB262">
            <v>-239621054.22999999</v>
          </cell>
          <cell r="AF262">
            <v>-10994254.449999999</v>
          </cell>
          <cell r="AH262">
            <v>-228626799.78000003</v>
          </cell>
        </row>
        <row r="263">
          <cell r="A263">
            <v>8183005</v>
          </cell>
          <cell r="B263" t="str">
            <v xml:space="preserve">     Perdas em Aplicações em Depositos Interfinanceiros</v>
          </cell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L263">
            <v>0</v>
          </cell>
          <cell r="N263">
            <v>0</v>
          </cell>
          <cell r="P263">
            <v>0</v>
          </cell>
          <cell r="R263">
            <v>0</v>
          </cell>
          <cell r="T263">
            <v>0</v>
          </cell>
          <cell r="V263">
            <v>0</v>
          </cell>
          <cell r="X263">
            <v>0</v>
          </cell>
          <cell r="Z263">
            <v>0</v>
          </cell>
          <cell r="AB263">
            <v>0</v>
          </cell>
          <cell r="AF263">
            <v>0</v>
          </cell>
          <cell r="AH263">
            <v>0</v>
          </cell>
        </row>
        <row r="264">
          <cell r="A264">
            <v>8183010</v>
          </cell>
          <cell r="B264" t="str">
            <v xml:space="preserve">     Desvalorização de Titulos Livres</v>
          </cell>
          <cell r="D264">
            <v>-4430.91</v>
          </cell>
          <cell r="F264">
            <v>-269.16000000000003</v>
          </cell>
          <cell r="H264">
            <v>-170.35</v>
          </cell>
          <cell r="J264">
            <v>-31.21</v>
          </cell>
          <cell r="L264">
            <v>-547.41999999999996</v>
          </cell>
          <cell r="N264">
            <v>-5097</v>
          </cell>
          <cell r="P264">
            <v>-5498.88</v>
          </cell>
          <cell r="R264">
            <v>455.8</v>
          </cell>
          <cell r="T264">
            <v>-87225.46</v>
          </cell>
          <cell r="V264">
            <v>-119627.5</v>
          </cell>
          <cell r="X264">
            <v>209466.77</v>
          </cell>
          <cell r="Z264">
            <v>-11264.55</v>
          </cell>
          <cell r="AB264">
            <v>-24239.870000000035</v>
          </cell>
          <cell r="AF264">
            <v>-10546.05</v>
          </cell>
          <cell r="AH264">
            <v>-13693.820000000018</v>
          </cell>
        </row>
        <row r="265">
          <cell r="A265">
            <v>8183012</v>
          </cell>
          <cell r="B265" t="str">
            <v xml:space="preserve">     Desvalorização de Créditos Vinculados</v>
          </cell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L265">
            <v>0</v>
          </cell>
          <cell r="N265">
            <v>0</v>
          </cell>
          <cell r="P265">
            <v>0</v>
          </cell>
          <cell r="R265">
            <v>0</v>
          </cell>
          <cell r="T265">
            <v>0</v>
          </cell>
          <cell r="V265">
            <v>0</v>
          </cell>
          <cell r="X265">
            <v>0</v>
          </cell>
          <cell r="Z265">
            <v>0</v>
          </cell>
          <cell r="AB265">
            <v>0</v>
          </cell>
          <cell r="AF265">
            <v>0</v>
          </cell>
          <cell r="AH265">
            <v>0</v>
          </cell>
        </row>
        <row r="266">
          <cell r="A266">
            <v>8183015</v>
          </cell>
          <cell r="B266" t="str">
            <v xml:space="preserve">     Desvalorização de Titulos Vinculados a Operações Cambiais</v>
          </cell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L266">
            <v>0</v>
          </cell>
          <cell r="N266">
            <v>0</v>
          </cell>
          <cell r="P266">
            <v>0</v>
          </cell>
          <cell r="R266">
            <v>0</v>
          </cell>
          <cell r="T266">
            <v>0</v>
          </cell>
          <cell r="V266">
            <v>0</v>
          </cell>
          <cell r="X266">
            <v>0</v>
          </cell>
          <cell r="Z266">
            <v>0</v>
          </cell>
          <cell r="AB266">
            <v>0</v>
          </cell>
          <cell r="AF266">
            <v>0</v>
          </cell>
          <cell r="AH266">
            <v>0</v>
          </cell>
        </row>
        <row r="267">
          <cell r="A267">
            <v>8183020</v>
          </cell>
          <cell r="B267" t="str">
            <v xml:space="preserve">     Desvalorização de Titulos Vinculados a Negociação</v>
          </cell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L267">
            <v>0</v>
          </cell>
          <cell r="N267">
            <v>0</v>
          </cell>
          <cell r="P267">
            <v>0</v>
          </cell>
          <cell r="R267">
            <v>0</v>
          </cell>
          <cell r="T267">
            <v>0</v>
          </cell>
          <cell r="V267">
            <v>0</v>
          </cell>
          <cell r="X267">
            <v>0</v>
          </cell>
          <cell r="Z267">
            <v>0</v>
          </cell>
          <cell r="AB267">
            <v>0</v>
          </cell>
          <cell r="AF267">
            <v>0</v>
          </cell>
          <cell r="AH267">
            <v>0</v>
          </cell>
        </row>
        <row r="269">
          <cell r="A269">
            <v>8183030</v>
          </cell>
          <cell r="B269" t="str">
            <v xml:space="preserve">     Operações de Credito de Liquidação Duvidosa</v>
          </cell>
          <cell r="D269">
            <v>-3109640.65</v>
          </cell>
          <cell r="F269">
            <v>-1482951.7</v>
          </cell>
          <cell r="H269">
            <v>-586947.75</v>
          </cell>
          <cell r="J269">
            <v>-207004.12</v>
          </cell>
          <cell r="L269">
            <v>-215068.18000000063</v>
          </cell>
          <cell r="N269">
            <v>412229.24</v>
          </cell>
          <cell r="P269">
            <v>70100.240000000005</v>
          </cell>
          <cell r="R269">
            <v>-576927.88</v>
          </cell>
          <cell r="T269">
            <v>1337640.69</v>
          </cell>
          <cell r="V269">
            <v>-122184048.46000001</v>
          </cell>
          <cell r="X269">
            <v>-24762869.410000004</v>
          </cell>
          <cell r="Z269">
            <v>-58420815.540000007</v>
          </cell>
          <cell r="AB269">
            <v>-210557116.56999999</v>
          </cell>
          <cell r="AF269">
            <v>-5189383.16</v>
          </cell>
          <cell r="AH269">
            <v>-205367733.41000003</v>
          </cell>
        </row>
        <row r="270">
          <cell r="A270">
            <v>818303001</v>
          </cell>
          <cell r="B270" t="str">
            <v xml:space="preserve">     PDD</v>
          </cell>
          <cell r="D270">
            <v>-3109640.65</v>
          </cell>
          <cell r="F270">
            <v>-1482951.7</v>
          </cell>
          <cell r="H270">
            <v>-586947.75</v>
          </cell>
          <cell r="J270">
            <v>-207004.12</v>
          </cell>
          <cell r="L270">
            <v>-215068.18000000063</v>
          </cell>
          <cell r="N270">
            <v>412229.24</v>
          </cell>
          <cell r="P270">
            <v>70100.240000000005</v>
          </cell>
          <cell r="R270">
            <v>-576927.88</v>
          </cell>
          <cell r="T270">
            <v>506827.6399999999</v>
          </cell>
          <cell r="V270">
            <v>-66883060.590000004</v>
          </cell>
          <cell r="X270">
            <v>26542648.620000005</v>
          </cell>
          <cell r="Z270">
            <v>-3490165.1999999993</v>
          </cell>
          <cell r="AB270">
            <v>-49019960.329999998</v>
          </cell>
          <cell r="AF270">
            <v>-5189383.16</v>
          </cell>
          <cell r="AH270">
            <v>-43830577.170000002</v>
          </cell>
        </row>
        <row r="271">
          <cell r="A271">
            <v>818303002</v>
          </cell>
          <cell r="B271" t="str">
            <v xml:space="preserve">     ( - ) Reembolso da PDD</v>
          </cell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L271">
            <v>0</v>
          </cell>
          <cell r="N271">
            <v>0</v>
          </cell>
          <cell r="P271">
            <v>0</v>
          </cell>
          <cell r="R271">
            <v>0</v>
          </cell>
          <cell r="T271">
            <v>0</v>
          </cell>
          <cell r="V271">
            <v>0</v>
          </cell>
          <cell r="X271">
            <v>0</v>
          </cell>
          <cell r="Z271">
            <v>0</v>
          </cell>
          <cell r="AB271">
            <v>0</v>
          </cell>
          <cell r="AF271">
            <v>0</v>
          </cell>
          <cell r="AH271">
            <v>0</v>
          </cell>
        </row>
        <row r="272">
          <cell r="A272">
            <v>818303008</v>
          </cell>
          <cell r="B272" t="str">
            <v xml:space="preserve">     Perdas de operações de crédito</v>
          </cell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L272">
            <v>0</v>
          </cell>
          <cell r="N272">
            <v>0</v>
          </cell>
          <cell r="P272">
            <v>0</v>
          </cell>
          <cell r="R272">
            <v>0</v>
          </cell>
          <cell r="T272">
            <v>0</v>
          </cell>
          <cell r="V272">
            <v>-55300987.869999997</v>
          </cell>
          <cell r="X272">
            <v>-51305518.030000009</v>
          </cell>
          <cell r="Z272">
            <v>-54930650.340000004</v>
          </cell>
          <cell r="AB272">
            <v>-161537156.24000001</v>
          </cell>
          <cell r="AF272">
            <v>0</v>
          </cell>
          <cell r="AH272">
            <v>-161537156.24000001</v>
          </cell>
        </row>
        <row r="274">
          <cell r="A274">
            <v>8183035</v>
          </cell>
          <cell r="B274" t="str">
            <v xml:space="preserve">     Repasses Interfinanceiros</v>
          </cell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L274">
            <v>0</v>
          </cell>
          <cell r="N274">
            <v>0</v>
          </cell>
          <cell r="P274">
            <v>0</v>
          </cell>
          <cell r="R274">
            <v>0</v>
          </cell>
          <cell r="T274">
            <v>0</v>
          </cell>
          <cell r="V274">
            <v>0</v>
          </cell>
          <cell r="X274">
            <v>0</v>
          </cell>
          <cell r="Z274">
            <v>0</v>
          </cell>
          <cell r="AB274">
            <v>0</v>
          </cell>
          <cell r="AF274">
            <v>0</v>
          </cell>
          <cell r="AH274">
            <v>0</v>
          </cell>
        </row>
        <row r="275">
          <cell r="A275">
            <v>8183040</v>
          </cell>
          <cell r="B275" t="str">
            <v xml:space="preserve">     Creditos de Arrendamentos de Liquidação Duvidosa</v>
          </cell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L275">
            <v>0</v>
          </cell>
          <cell r="N275">
            <v>0</v>
          </cell>
          <cell r="P275">
            <v>0</v>
          </cell>
          <cell r="R275">
            <v>0</v>
          </cell>
          <cell r="T275">
            <v>0</v>
          </cell>
          <cell r="V275">
            <v>0</v>
          </cell>
          <cell r="X275">
            <v>0</v>
          </cell>
          <cell r="Z275">
            <v>0</v>
          </cell>
          <cell r="AB275">
            <v>0</v>
          </cell>
          <cell r="AF275">
            <v>0</v>
          </cell>
          <cell r="AH275">
            <v>0</v>
          </cell>
        </row>
        <row r="276">
          <cell r="A276">
            <v>8183050</v>
          </cell>
          <cell r="B276" t="str">
            <v xml:space="preserve">     Perda na Venda de Valor Residual</v>
          </cell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L276">
            <v>0</v>
          </cell>
          <cell r="N276">
            <v>0</v>
          </cell>
          <cell r="P276">
            <v>0</v>
          </cell>
          <cell r="R276">
            <v>0</v>
          </cell>
          <cell r="T276">
            <v>0</v>
          </cell>
          <cell r="V276">
            <v>0</v>
          </cell>
          <cell r="X276">
            <v>0</v>
          </cell>
          <cell r="Z276">
            <v>0</v>
          </cell>
          <cell r="AB276">
            <v>0</v>
          </cell>
          <cell r="AF276">
            <v>0</v>
          </cell>
          <cell r="AH276">
            <v>0</v>
          </cell>
        </row>
        <row r="277">
          <cell r="A277">
            <v>8183055</v>
          </cell>
          <cell r="B277" t="str">
            <v xml:space="preserve">     Perda de Bens de Arrendamento Operacional</v>
          </cell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L277">
            <v>0</v>
          </cell>
          <cell r="N277">
            <v>0</v>
          </cell>
          <cell r="P277">
            <v>0</v>
          </cell>
          <cell r="R277">
            <v>0</v>
          </cell>
          <cell r="T277">
            <v>0</v>
          </cell>
          <cell r="V277">
            <v>0</v>
          </cell>
          <cell r="X277">
            <v>0</v>
          </cell>
          <cell r="Z277">
            <v>0</v>
          </cell>
          <cell r="AB277">
            <v>0</v>
          </cell>
          <cell r="AF277">
            <v>0</v>
          </cell>
          <cell r="AH277">
            <v>0</v>
          </cell>
        </row>
        <row r="278">
          <cell r="A278">
            <v>8183060</v>
          </cell>
          <cell r="B278" t="str">
            <v xml:space="preserve">     Outros Creditos de Liquidação Duvidosa</v>
          </cell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L278">
            <v>0</v>
          </cell>
          <cell r="N278">
            <v>0</v>
          </cell>
          <cell r="P278">
            <v>0</v>
          </cell>
          <cell r="R278">
            <v>0</v>
          </cell>
          <cell r="T278">
            <v>0</v>
          </cell>
          <cell r="V278">
            <v>0</v>
          </cell>
          <cell r="X278">
            <v>0</v>
          </cell>
          <cell r="Z278">
            <v>0</v>
          </cell>
          <cell r="AB278">
            <v>0</v>
          </cell>
          <cell r="AF278">
            <v>0</v>
          </cell>
          <cell r="AH278">
            <v>0</v>
          </cell>
        </row>
        <row r="279">
          <cell r="A279">
            <v>8183070</v>
          </cell>
          <cell r="B279" t="str">
            <v xml:space="preserve">     Perdas em Participações Societarias</v>
          </cell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L279">
            <v>0</v>
          </cell>
          <cell r="N279">
            <v>0</v>
          </cell>
          <cell r="P279">
            <v>0</v>
          </cell>
          <cell r="R279">
            <v>0</v>
          </cell>
          <cell r="T279">
            <v>0</v>
          </cell>
          <cell r="V279">
            <v>0</v>
          </cell>
          <cell r="X279">
            <v>0</v>
          </cell>
          <cell r="Z279">
            <v>0</v>
          </cell>
          <cell r="AB279">
            <v>0</v>
          </cell>
          <cell r="AF279">
            <v>0</v>
          </cell>
          <cell r="AH279">
            <v>0</v>
          </cell>
        </row>
        <row r="280">
          <cell r="A280">
            <v>8183080</v>
          </cell>
          <cell r="B280" t="str">
            <v xml:space="preserve">     Perdas em Dependências no Exterior</v>
          </cell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L280">
            <v>0</v>
          </cell>
          <cell r="N280">
            <v>0</v>
          </cell>
          <cell r="P280">
            <v>0</v>
          </cell>
          <cell r="R280">
            <v>0</v>
          </cell>
          <cell r="T280">
            <v>0</v>
          </cell>
          <cell r="V280">
            <v>0</v>
          </cell>
          <cell r="X280">
            <v>0</v>
          </cell>
          <cell r="Z280">
            <v>0</v>
          </cell>
          <cell r="AB280">
            <v>0</v>
          </cell>
          <cell r="AF280">
            <v>0</v>
          </cell>
          <cell r="AH280">
            <v>0</v>
          </cell>
        </row>
        <row r="281">
          <cell r="A281">
            <v>8183090</v>
          </cell>
          <cell r="B281" t="str">
            <v xml:space="preserve">     Perdas em Sociedades Coligadas e Controladas</v>
          </cell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L281">
            <v>0</v>
          </cell>
          <cell r="N281">
            <v>0</v>
          </cell>
          <cell r="P281">
            <v>0</v>
          </cell>
          <cell r="R281">
            <v>0</v>
          </cell>
          <cell r="T281">
            <v>0</v>
          </cell>
          <cell r="V281">
            <v>0</v>
          </cell>
          <cell r="X281">
            <v>0</v>
          </cell>
          <cell r="Z281">
            <v>0</v>
          </cell>
          <cell r="AB281">
            <v>0</v>
          </cell>
          <cell r="AF281">
            <v>0</v>
          </cell>
          <cell r="AH281">
            <v>0</v>
          </cell>
        </row>
        <row r="283">
          <cell r="A283">
            <v>8183099</v>
          </cell>
          <cell r="B283" t="str">
            <v xml:space="preserve">     Outras</v>
          </cell>
          <cell r="D283">
            <v>-349082.94</v>
          </cell>
          <cell r="F283">
            <v>-242607.54</v>
          </cell>
          <cell r="H283">
            <v>-414642.47</v>
          </cell>
          <cell r="J283">
            <v>-173887.18</v>
          </cell>
          <cell r="L283">
            <v>-64214.930000000168</v>
          </cell>
          <cell r="N283">
            <v>-4549890.18</v>
          </cell>
          <cell r="P283">
            <v>365204.08</v>
          </cell>
          <cell r="R283">
            <v>-3136180.69</v>
          </cell>
          <cell r="T283">
            <v>315922</v>
          </cell>
          <cell r="V283">
            <v>2732289.1</v>
          </cell>
          <cell r="X283">
            <v>-1273929.3600000001</v>
          </cell>
          <cell r="Z283">
            <v>-21883473.600000001</v>
          </cell>
          <cell r="AB283">
            <v>-29039697.790000003</v>
          </cell>
          <cell r="AF283">
            <v>-5794325.2400000002</v>
          </cell>
          <cell r="AH283">
            <v>-23245372.550000001</v>
          </cell>
        </row>
        <row r="284">
          <cell r="A284">
            <v>818309901</v>
          </cell>
          <cell r="B284" t="str">
            <v xml:space="preserve">     Perda em Aplicações Temporárias em Ouro</v>
          </cell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L284">
            <v>0</v>
          </cell>
          <cell r="N284">
            <v>0</v>
          </cell>
          <cell r="P284">
            <v>0</v>
          </cell>
          <cell r="R284">
            <v>0</v>
          </cell>
          <cell r="T284">
            <v>0</v>
          </cell>
          <cell r="V284">
            <v>0</v>
          </cell>
          <cell r="X284">
            <v>0</v>
          </cell>
          <cell r="Z284">
            <v>0</v>
          </cell>
          <cell r="AB284">
            <v>0</v>
          </cell>
          <cell r="AF284">
            <v>0</v>
          </cell>
          <cell r="AH284">
            <v>0</v>
          </cell>
        </row>
        <row r="285">
          <cell r="A285">
            <v>818309902</v>
          </cell>
          <cell r="B285" t="str">
            <v xml:space="preserve">     Prov. de Cheques Devolvidos</v>
          </cell>
          <cell r="D285">
            <v>-349082.94</v>
          </cell>
          <cell r="F285">
            <v>-242607.54</v>
          </cell>
          <cell r="H285">
            <v>-414642.47</v>
          </cell>
          <cell r="J285">
            <v>-173887.18</v>
          </cell>
          <cell r="L285">
            <v>-64214.930000000168</v>
          </cell>
          <cell r="N285">
            <v>-334099.02</v>
          </cell>
          <cell r="P285">
            <v>365204.08</v>
          </cell>
          <cell r="R285">
            <v>-3136180.69</v>
          </cell>
          <cell r="T285">
            <v>-49282.080000000016</v>
          </cell>
          <cell r="V285">
            <v>2820258.69</v>
          </cell>
          <cell r="X285">
            <v>-219642.95</v>
          </cell>
          <cell r="Z285">
            <v>-17450253.010000002</v>
          </cell>
          <cell r="AB285">
            <v>-19248430.040000003</v>
          </cell>
          <cell r="AF285">
            <v>-1578534.08</v>
          </cell>
          <cell r="AH285">
            <v>-17669895.960000001</v>
          </cell>
        </row>
        <row r="286">
          <cell r="A286">
            <v>818309903</v>
          </cell>
          <cell r="B286" t="str">
            <v xml:space="preserve">     Prov. de Proc.de Causas Civeis e Juizado de Peq.Causas</v>
          </cell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L286">
            <v>0</v>
          </cell>
          <cell r="N286">
            <v>0</v>
          </cell>
          <cell r="P286">
            <v>0</v>
          </cell>
          <cell r="R286">
            <v>0</v>
          </cell>
          <cell r="T286">
            <v>0</v>
          </cell>
          <cell r="V286">
            <v>-87729</v>
          </cell>
          <cell r="X286">
            <v>-1050404</v>
          </cell>
          <cell r="Z286">
            <v>-1735523</v>
          </cell>
          <cell r="AB286">
            <v>-2873656</v>
          </cell>
          <cell r="AF286">
            <v>0</v>
          </cell>
          <cell r="AH286">
            <v>-2873656</v>
          </cell>
        </row>
        <row r="287">
          <cell r="A287">
            <v>818309904</v>
          </cell>
          <cell r="B287" t="str">
            <v xml:space="preserve">     Prov. de Estabelecimentos</v>
          </cell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L287">
            <v>0</v>
          </cell>
          <cell r="N287">
            <v>0</v>
          </cell>
          <cell r="P287">
            <v>0</v>
          </cell>
          <cell r="R287">
            <v>0</v>
          </cell>
          <cell r="T287">
            <v>0</v>
          </cell>
          <cell r="V287">
            <v>-240.59</v>
          </cell>
          <cell r="X287">
            <v>-3882.41</v>
          </cell>
          <cell r="Z287">
            <v>3226.37</v>
          </cell>
          <cell r="AB287">
            <v>-896.63000000000011</v>
          </cell>
          <cell r="AF287">
            <v>0</v>
          </cell>
          <cell r="AH287">
            <v>-896.63000000000011</v>
          </cell>
        </row>
        <row r="288">
          <cell r="A288">
            <v>818309905</v>
          </cell>
          <cell r="B288" t="str">
            <v xml:space="preserve">     Prov. de Acerto de Clientes</v>
          </cell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L288">
            <v>0</v>
          </cell>
          <cell r="N288">
            <v>0</v>
          </cell>
          <cell r="P288">
            <v>0</v>
          </cell>
          <cell r="R288">
            <v>0</v>
          </cell>
          <cell r="T288">
            <v>0</v>
          </cell>
          <cell r="V288">
            <v>0</v>
          </cell>
          <cell r="X288">
            <v>0</v>
          </cell>
          <cell r="Z288">
            <v>-1465495.39</v>
          </cell>
          <cell r="AB288">
            <v>-1465495.39</v>
          </cell>
          <cell r="AF288">
            <v>0</v>
          </cell>
          <cell r="AH288">
            <v>-1465495.39</v>
          </cell>
        </row>
        <row r="289">
          <cell r="A289">
            <v>818309906</v>
          </cell>
          <cell r="B289" t="str">
            <v xml:space="preserve">     Prov. de Perda Grupo Executivo</v>
          </cell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L289">
            <v>0</v>
          </cell>
          <cell r="N289">
            <v>0</v>
          </cell>
          <cell r="P289">
            <v>0</v>
          </cell>
          <cell r="R289">
            <v>0</v>
          </cell>
          <cell r="T289">
            <v>0</v>
          </cell>
          <cell r="V289">
            <v>0</v>
          </cell>
          <cell r="X289">
            <v>0</v>
          </cell>
          <cell r="Z289">
            <v>0</v>
          </cell>
          <cell r="AB289">
            <v>0</v>
          </cell>
          <cell r="AF289">
            <v>0</v>
          </cell>
          <cell r="AH289">
            <v>0</v>
          </cell>
        </row>
        <row r="290">
          <cell r="A290">
            <v>818309907</v>
          </cell>
          <cell r="B290" t="str">
            <v xml:space="preserve">     Prov. para Perda em Outros Lojistas</v>
          </cell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L290">
            <v>0</v>
          </cell>
          <cell r="N290">
            <v>0</v>
          </cell>
          <cell r="P290">
            <v>0</v>
          </cell>
          <cell r="R290">
            <v>0</v>
          </cell>
          <cell r="T290">
            <v>0</v>
          </cell>
          <cell r="V290">
            <v>0</v>
          </cell>
          <cell r="X290">
            <v>0</v>
          </cell>
          <cell r="Z290">
            <v>0</v>
          </cell>
          <cell r="AB290">
            <v>0</v>
          </cell>
          <cell r="AF290">
            <v>0</v>
          </cell>
          <cell r="AH290">
            <v>0</v>
          </cell>
        </row>
        <row r="291">
          <cell r="A291">
            <v>818309909</v>
          </cell>
          <cell r="B291" t="str">
            <v xml:space="preserve">     Prov. Fiscais</v>
          </cell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L291">
            <v>0</v>
          </cell>
          <cell r="N291">
            <v>-4215791.16</v>
          </cell>
          <cell r="P291">
            <v>0</v>
          </cell>
          <cell r="R291">
            <v>0</v>
          </cell>
          <cell r="T291">
            <v>0</v>
          </cell>
          <cell r="V291">
            <v>0</v>
          </cell>
          <cell r="X291">
            <v>0</v>
          </cell>
          <cell r="Z291">
            <v>-1235428.57</v>
          </cell>
          <cell r="AB291">
            <v>-5451219.7300000004</v>
          </cell>
          <cell r="AF291">
            <v>-4215791.16</v>
          </cell>
          <cell r="AH291">
            <v>-1235428.57</v>
          </cell>
        </row>
        <row r="292">
          <cell r="A292">
            <v>818309998</v>
          </cell>
          <cell r="B292" t="str">
            <v xml:space="preserve">     Outras Provisões</v>
          </cell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L292">
            <v>0</v>
          </cell>
          <cell r="N292">
            <v>0</v>
          </cell>
          <cell r="P292">
            <v>0</v>
          </cell>
          <cell r="R292">
            <v>0</v>
          </cell>
          <cell r="T292">
            <v>0</v>
          </cell>
          <cell r="V292">
            <v>0</v>
          </cell>
          <cell r="X292">
            <v>0</v>
          </cell>
          <cell r="Z292">
            <v>0</v>
          </cell>
          <cell r="AB292">
            <v>0</v>
          </cell>
          <cell r="AF292">
            <v>0</v>
          </cell>
          <cell r="AH292">
            <v>0</v>
          </cell>
        </row>
        <row r="293">
          <cell r="A293">
            <v>818309999</v>
          </cell>
          <cell r="B293" t="str">
            <v xml:space="preserve">     ( - ) Reembolso de Outras</v>
          </cell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L293">
            <v>0</v>
          </cell>
          <cell r="N293">
            <v>0</v>
          </cell>
          <cell r="P293">
            <v>0</v>
          </cell>
          <cell r="R293">
            <v>0</v>
          </cell>
          <cell r="T293">
            <v>0</v>
          </cell>
          <cell r="V293">
            <v>0</v>
          </cell>
          <cell r="X293">
            <v>0</v>
          </cell>
          <cell r="Z293">
            <v>0</v>
          </cell>
          <cell r="AB293">
            <v>0</v>
          </cell>
          <cell r="AF293">
            <v>0</v>
          </cell>
          <cell r="AH293">
            <v>0</v>
          </cell>
        </row>
        <row r="296">
          <cell r="A296">
            <v>819</v>
          </cell>
          <cell r="B296" t="str">
            <v xml:space="preserve">  . Outras Despesas Operacionais</v>
          </cell>
          <cell r="D296">
            <v>-4987432.17</v>
          </cell>
          <cell r="F296">
            <v>-4741363.25</v>
          </cell>
          <cell r="H296">
            <v>-5842381.8600000003</v>
          </cell>
          <cell r="J296">
            <v>-5384841.0099999998</v>
          </cell>
          <cell r="L296">
            <v>-5348730.95</v>
          </cell>
          <cell r="N296">
            <v>-5869440.8600000003</v>
          </cell>
          <cell r="P296">
            <v>-5798249.54</v>
          </cell>
          <cell r="R296">
            <v>-6116570.3300000001</v>
          </cell>
          <cell r="T296">
            <v>-6079980.8700000001</v>
          </cell>
          <cell r="V296">
            <v>-24171033.399999999</v>
          </cell>
          <cell r="X296">
            <v>-19036919.73</v>
          </cell>
          <cell r="Z296">
            <v>-43410296.710000001</v>
          </cell>
          <cell r="AB296">
            <v>-136787240.67999998</v>
          </cell>
          <cell r="AF296">
            <v>-32174190.099999998</v>
          </cell>
          <cell r="AH296">
            <v>-104613050.58</v>
          </cell>
        </row>
        <row r="297">
          <cell r="A297">
            <v>81910</v>
          </cell>
          <cell r="B297" t="str">
            <v xml:space="preserve">  -  Despesas de Administração de Fundos e Programas Sociais</v>
          </cell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L297">
            <v>0</v>
          </cell>
          <cell r="N297">
            <v>0</v>
          </cell>
          <cell r="P297">
            <v>0</v>
          </cell>
          <cell r="R297">
            <v>0</v>
          </cell>
          <cell r="T297">
            <v>0</v>
          </cell>
          <cell r="V297">
            <v>0</v>
          </cell>
          <cell r="X297">
            <v>0</v>
          </cell>
          <cell r="Z297">
            <v>0</v>
          </cell>
          <cell r="AB297">
            <v>0</v>
          </cell>
          <cell r="AF297">
            <v>0</v>
          </cell>
          <cell r="AH297">
            <v>0</v>
          </cell>
        </row>
        <row r="298">
          <cell r="A298">
            <v>81915</v>
          </cell>
          <cell r="B298" t="str">
            <v xml:space="preserve">  -  Despesas de Obrigações por Programas Especiais</v>
          </cell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L298">
            <v>0</v>
          </cell>
          <cell r="N298">
            <v>0</v>
          </cell>
          <cell r="P298">
            <v>0</v>
          </cell>
          <cell r="R298">
            <v>0</v>
          </cell>
          <cell r="T298">
            <v>0</v>
          </cell>
          <cell r="V298">
            <v>0</v>
          </cell>
          <cell r="X298">
            <v>0</v>
          </cell>
          <cell r="Z298">
            <v>0</v>
          </cell>
          <cell r="AB298">
            <v>0</v>
          </cell>
          <cell r="AF298">
            <v>0</v>
          </cell>
          <cell r="AH298">
            <v>0</v>
          </cell>
        </row>
        <row r="299">
          <cell r="A299">
            <v>81920</v>
          </cell>
          <cell r="B299" t="str">
            <v xml:space="preserve">  -  Despesas de Administração de Loterias</v>
          </cell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L299">
            <v>0</v>
          </cell>
          <cell r="N299">
            <v>0</v>
          </cell>
          <cell r="P299">
            <v>0</v>
          </cell>
          <cell r="R299">
            <v>0</v>
          </cell>
          <cell r="T299">
            <v>0</v>
          </cell>
          <cell r="V299">
            <v>0</v>
          </cell>
          <cell r="X299">
            <v>0</v>
          </cell>
          <cell r="Z299">
            <v>0</v>
          </cell>
          <cell r="AB299">
            <v>0</v>
          </cell>
          <cell r="AF299">
            <v>0</v>
          </cell>
          <cell r="AH299">
            <v>0</v>
          </cell>
        </row>
        <row r="301">
          <cell r="A301">
            <v>81922</v>
          </cell>
          <cell r="B301" t="str">
            <v xml:space="preserve">  -  Perdas e Utilizações Indevidas</v>
          </cell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L301">
            <v>0</v>
          </cell>
          <cell r="N301">
            <v>0</v>
          </cell>
          <cell r="P301">
            <v>0</v>
          </cell>
          <cell r="R301">
            <v>0</v>
          </cell>
          <cell r="T301">
            <v>0</v>
          </cell>
          <cell r="V301">
            <v>0</v>
          </cell>
          <cell r="X301">
            <v>0</v>
          </cell>
          <cell r="Z301">
            <v>4458.54</v>
          </cell>
          <cell r="AB301">
            <v>4458.54</v>
          </cell>
          <cell r="AF301">
            <v>0</v>
          </cell>
          <cell r="AH301">
            <v>4458.54</v>
          </cell>
        </row>
        <row r="303">
          <cell r="A303">
            <v>8192210</v>
          </cell>
          <cell r="B303" t="str">
            <v xml:space="preserve">     Perdas de Direitos de Créditos Adquiridos</v>
          </cell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L303">
            <v>0</v>
          </cell>
          <cell r="N303">
            <v>0</v>
          </cell>
          <cell r="P303">
            <v>0</v>
          </cell>
          <cell r="R303">
            <v>0</v>
          </cell>
          <cell r="T303">
            <v>0</v>
          </cell>
          <cell r="V303">
            <v>0</v>
          </cell>
          <cell r="X303">
            <v>0</v>
          </cell>
          <cell r="Z303">
            <v>4458.54</v>
          </cell>
          <cell r="AB303">
            <v>4458.54</v>
          </cell>
          <cell r="AF303">
            <v>0</v>
          </cell>
          <cell r="AH303">
            <v>4458.54</v>
          </cell>
        </row>
        <row r="305">
          <cell r="A305">
            <v>819221010</v>
          </cell>
          <cell r="B305" t="str">
            <v xml:space="preserve">     Carteira Honrada</v>
          </cell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L305">
            <v>0</v>
          </cell>
          <cell r="N305">
            <v>0</v>
          </cell>
          <cell r="P305">
            <v>0</v>
          </cell>
          <cell r="R305">
            <v>0</v>
          </cell>
          <cell r="T305">
            <v>0</v>
          </cell>
          <cell r="V305">
            <v>0</v>
          </cell>
          <cell r="X305">
            <v>0</v>
          </cell>
          <cell r="Z305">
            <v>0</v>
          </cell>
          <cell r="AB305">
            <v>0</v>
          </cell>
          <cell r="AF305">
            <v>0</v>
          </cell>
          <cell r="AH305">
            <v>0</v>
          </cell>
        </row>
        <row r="306">
          <cell r="A306">
            <v>81922101010</v>
          </cell>
          <cell r="B306" t="str">
            <v xml:space="preserve">     Finincred</v>
          </cell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L306">
            <v>0</v>
          </cell>
          <cell r="N306">
            <v>0</v>
          </cell>
          <cell r="P306">
            <v>0</v>
          </cell>
          <cell r="R306">
            <v>0</v>
          </cell>
          <cell r="T306">
            <v>0</v>
          </cell>
          <cell r="V306">
            <v>0</v>
          </cell>
          <cell r="X306">
            <v>0</v>
          </cell>
          <cell r="Z306">
            <v>0</v>
          </cell>
          <cell r="AB306">
            <v>0</v>
          </cell>
          <cell r="AF306">
            <v>0</v>
          </cell>
          <cell r="AH306">
            <v>0</v>
          </cell>
        </row>
        <row r="307">
          <cell r="A307">
            <v>81922101020</v>
          </cell>
          <cell r="B307" t="str">
            <v xml:space="preserve">     Cartão Loja</v>
          </cell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L307">
            <v>0</v>
          </cell>
          <cell r="N307">
            <v>0</v>
          </cell>
          <cell r="P307">
            <v>0</v>
          </cell>
          <cell r="R307">
            <v>0</v>
          </cell>
          <cell r="T307">
            <v>0</v>
          </cell>
          <cell r="V307">
            <v>0</v>
          </cell>
          <cell r="X307">
            <v>0</v>
          </cell>
          <cell r="Z307">
            <v>0</v>
          </cell>
          <cell r="AB307">
            <v>0</v>
          </cell>
          <cell r="AF307">
            <v>0</v>
          </cell>
          <cell r="AH307">
            <v>0</v>
          </cell>
        </row>
        <row r="308">
          <cell r="A308">
            <v>81922101030</v>
          </cell>
          <cell r="B308" t="str">
            <v xml:space="preserve">     Cartão</v>
          </cell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L308">
            <v>0</v>
          </cell>
          <cell r="N308">
            <v>0</v>
          </cell>
          <cell r="P308">
            <v>0</v>
          </cell>
          <cell r="R308">
            <v>0</v>
          </cell>
          <cell r="T308">
            <v>0</v>
          </cell>
          <cell r="V308">
            <v>0</v>
          </cell>
          <cell r="X308">
            <v>0</v>
          </cell>
          <cell r="Z308">
            <v>0</v>
          </cell>
          <cell r="AB308">
            <v>0</v>
          </cell>
          <cell r="AF308">
            <v>0</v>
          </cell>
          <cell r="AH308">
            <v>0</v>
          </cell>
        </row>
        <row r="310">
          <cell r="A310">
            <v>819221020</v>
          </cell>
          <cell r="B310" t="str">
            <v xml:space="preserve">     Baixas a Perda Carteira Adquirida</v>
          </cell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L310">
            <v>0</v>
          </cell>
          <cell r="N310">
            <v>0</v>
          </cell>
          <cell r="P310">
            <v>0</v>
          </cell>
          <cell r="R310">
            <v>0</v>
          </cell>
          <cell r="T310">
            <v>0</v>
          </cell>
          <cell r="V310">
            <v>0</v>
          </cell>
          <cell r="X310">
            <v>0</v>
          </cell>
          <cell r="Z310">
            <v>0</v>
          </cell>
          <cell r="AB310">
            <v>0</v>
          </cell>
          <cell r="AF310">
            <v>0</v>
          </cell>
          <cell r="AH310">
            <v>0</v>
          </cell>
        </row>
        <row r="311">
          <cell r="A311">
            <v>819221099</v>
          </cell>
          <cell r="B311" t="str">
            <v xml:space="preserve">     ( - ) Reembolso Perdas de Direitos de Creditos Adiquiridos</v>
          </cell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L311">
            <v>0</v>
          </cell>
          <cell r="N311">
            <v>0</v>
          </cell>
          <cell r="P311">
            <v>0</v>
          </cell>
          <cell r="R311">
            <v>0</v>
          </cell>
          <cell r="T311">
            <v>0</v>
          </cell>
          <cell r="V311">
            <v>0</v>
          </cell>
          <cell r="X311">
            <v>0</v>
          </cell>
          <cell r="Z311">
            <v>0</v>
          </cell>
          <cell r="AB311">
            <v>0</v>
          </cell>
          <cell r="AF311">
            <v>0</v>
          </cell>
          <cell r="AH311">
            <v>0</v>
          </cell>
        </row>
        <row r="312">
          <cell r="A312">
            <v>819223010</v>
          </cell>
          <cell r="B312" t="str">
            <v xml:space="preserve">     Roubo</v>
          </cell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L312">
            <v>0</v>
          </cell>
          <cell r="N312">
            <v>0</v>
          </cell>
          <cell r="P312">
            <v>0</v>
          </cell>
          <cell r="R312">
            <v>0</v>
          </cell>
          <cell r="T312">
            <v>0</v>
          </cell>
          <cell r="V312">
            <v>0</v>
          </cell>
          <cell r="X312">
            <v>0</v>
          </cell>
          <cell r="Z312">
            <v>0</v>
          </cell>
          <cell r="AB312">
            <v>0</v>
          </cell>
          <cell r="AF312">
            <v>0</v>
          </cell>
          <cell r="AH312">
            <v>0</v>
          </cell>
        </row>
        <row r="313">
          <cell r="A313">
            <v>819224010</v>
          </cell>
          <cell r="B313" t="str">
            <v xml:space="preserve">     Extravio</v>
          </cell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L313">
            <v>0</v>
          </cell>
          <cell r="N313">
            <v>0</v>
          </cell>
          <cell r="P313">
            <v>0</v>
          </cell>
          <cell r="R313">
            <v>0</v>
          </cell>
          <cell r="T313">
            <v>0</v>
          </cell>
          <cell r="V313">
            <v>0</v>
          </cell>
          <cell r="X313">
            <v>0</v>
          </cell>
          <cell r="Z313">
            <v>0</v>
          </cell>
          <cell r="AB313">
            <v>0</v>
          </cell>
          <cell r="AF313">
            <v>0</v>
          </cell>
          <cell r="AH313">
            <v>0</v>
          </cell>
        </row>
        <row r="314">
          <cell r="A314">
            <v>819225010</v>
          </cell>
          <cell r="B314" t="str">
            <v xml:space="preserve">     False</v>
          </cell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L314">
            <v>0</v>
          </cell>
          <cell r="N314">
            <v>0</v>
          </cell>
          <cell r="P314">
            <v>0</v>
          </cell>
          <cell r="R314">
            <v>0</v>
          </cell>
          <cell r="T314">
            <v>0</v>
          </cell>
          <cell r="V314">
            <v>0</v>
          </cell>
          <cell r="X314">
            <v>0</v>
          </cell>
          <cell r="Z314">
            <v>4458.54</v>
          </cell>
          <cell r="AB314">
            <v>4458.54</v>
          </cell>
          <cell r="AF314">
            <v>0</v>
          </cell>
          <cell r="AH314">
            <v>4458.54</v>
          </cell>
        </row>
        <row r="315">
          <cell r="A315">
            <v>819226010</v>
          </cell>
          <cell r="B315" t="str">
            <v xml:space="preserve">     Obitos</v>
          </cell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L315">
            <v>0</v>
          </cell>
          <cell r="N315">
            <v>0</v>
          </cell>
          <cell r="P315">
            <v>0</v>
          </cell>
          <cell r="R315">
            <v>0</v>
          </cell>
          <cell r="T315">
            <v>0</v>
          </cell>
          <cell r="V315">
            <v>0</v>
          </cell>
          <cell r="X315">
            <v>0</v>
          </cell>
          <cell r="Z315">
            <v>0</v>
          </cell>
          <cell r="AB315">
            <v>0</v>
          </cell>
          <cell r="AF315">
            <v>0</v>
          </cell>
          <cell r="AH315">
            <v>0</v>
          </cell>
        </row>
        <row r="316">
          <cell r="A316">
            <v>819229010</v>
          </cell>
          <cell r="B316" t="str">
            <v xml:space="preserve">     Utilizações Rejeitadas, Baixa e Perda</v>
          </cell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L316">
            <v>0</v>
          </cell>
          <cell r="N316">
            <v>0</v>
          </cell>
          <cell r="P316">
            <v>0</v>
          </cell>
          <cell r="R316">
            <v>0</v>
          </cell>
          <cell r="T316">
            <v>0</v>
          </cell>
          <cell r="V316">
            <v>0</v>
          </cell>
          <cell r="X316">
            <v>0</v>
          </cell>
          <cell r="Z316">
            <v>0</v>
          </cell>
          <cell r="AB316">
            <v>0</v>
          </cell>
          <cell r="AF316">
            <v>0</v>
          </cell>
          <cell r="AH316">
            <v>0</v>
          </cell>
        </row>
        <row r="317">
          <cell r="A317">
            <v>819229110</v>
          </cell>
          <cell r="B317" t="str">
            <v xml:space="preserve">     Cheques Devolvidos</v>
          </cell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L317">
            <v>0</v>
          </cell>
          <cell r="N317">
            <v>0</v>
          </cell>
          <cell r="P317">
            <v>0</v>
          </cell>
          <cell r="R317">
            <v>0</v>
          </cell>
          <cell r="T317">
            <v>0</v>
          </cell>
          <cell r="V317">
            <v>0</v>
          </cell>
          <cell r="X317">
            <v>0</v>
          </cell>
          <cell r="Z317">
            <v>0</v>
          </cell>
          <cell r="AB317">
            <v>0</v>
          </cell>
          <cell r="AF317">
            <v>0</v>
          </cell>
          <cell r="AH317">
            <v>0</v>
          </cell>
        </row>
        <row r="318">
          <cell r="A318">
            <v>819229210</v>
          </cell>
          <cell r="B318" t="str">
            <v xml:space="preserve">     Outras Perdas</v>
          </cell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L318">
            <v>0</v>
          </cell>
          <cell r="N318">
            <v>0</v>
          </cell>
          <cell r="P318">
            <v>0</v>
          </cell>
          <cell r="R318">
            <v>0</v>
          </cell>
          <cell r="T318">
            <v>0</v>
          </cell>
          <cell r="V318">
            <v>0</v>
          </cell>
          <cell r="X318">
            <v>0</v>
          </cell>
          <cell r="Z318">
            <v>0</v>
          </cell>
          <cell r="AB318">
            <v>0</v>
          </cell>
          <cell r="AF318">
            <v>0</v>
          </cell>
          <cell r="AH318">
            <v>0</v>
          </cell>
        </row>
        <row r="320">
          <cell r="A320">
            <v>8192220</v>
          </cell>
          <cell r="B320" t="str">
            <v xml:space="preserve">     Perdas Sobre Operação</v>
          </cell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L320">
            <v>0</v>
          </cell>
          <cell r="N320">
            <v>0</v>
          </cell>
          <cell r="P320">
            <v>0</v>
          </cell>
          <cell r="R320">
            <v>0</v>
          </cell>
          <cell r="T320">
            <v>0</v>
          </cell>
          <cell r="V320">
            <v>0</v>
          </cell>
          <cell r="X320">
            <v>0</v>
          </cell>
          <cell r="Z320">
            <v>0</v>
          </cell>
          <cell r="AB320">
            <v>0</v>
          </cell>
          <cell r="AF320">
            <v>0</v>
          </cell>
          <cell r="AH320">
            <v>0</v>
          </cell>
        </row>
        <row r="321">
          <cell r="A321">
            <v>8192299</v>
          </cell>
          <cell r="B321" t="str">
            <v xml:space="preserve">     ( - ) Reembolso Com Perdas e Ultilizações Indevidas</v>
          </cell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L321">
            <v>0</v>
          </cell>
          <cell r="N321">
            <v>0</v>
          </cell>
          <cell r="P321">
            <v>0</v>
          </cell>
          <cell r="R321">
            <v>0</v>
          </cell>
          <cell r="T321">
            <v>0</v>
          </cell>
          <cell r="V321">
            <v>0</v>
          </cell>
          <cell r="X321">
            <v>0</v>
          </cell>
          <cell r="Z321">
            <v>0</v>
          </cell>
          <cell r="AB321">
            <v>0</v>
          </cell>
          <cell r="AF321">
            <v>0</v>
          </cell>
          <cell r="AH321">
            <v>0</v>
          </cell>
        </row>
        <row r="323">
          <cell r="A323">
            <v>81923</v>
          </cell>
          <cell r="B323" t="str">
            <v xml:space="preserve">  -  Descontos e Taxas</v>
          </cell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L323">
            <v>0</v>
          </cell>
          <cell r="N323">
            <v>0</v>
          </cell>
          <cell r="P323">
            <v>0</v>
          </cell>
          <cell r="R323">
            <v>0</v>
          </cell>
          <cell r="T323">
            <v>0</v>
          </cell>
          <cell r="V323">
            <v>0</v>
          </cell>
          <cell r="X323">
            <v>0</v>
          </cell>
          <cell r="Z323">
            <v>249094.33</v>
          </cell>
          <cell r="AB323">
            <v>249094.33</v>
          </cell>
          <cell r="AF323">
            <v>0</v>
          </cell>
          <cell r="AH323">
            <v>249094.33</v>
          </cell>
        </row>
        <row r="324">
          <cell r="A324">
            <v>8192310</v>
          </cell>
          <cell r="B324" t="str">
            <v xml:space="preserve">     Descontos Concedidos</v>
          </cell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L324">
            <v>0</v>
          </cell>
          <cell r="N324">
            <v>0</v>
          </cell>
          <cell r="P324">
            <v>0</v>
          </cell>
          <cell r="R324">
            <v>0</v>
          </cell>
          <cell r="T324">
            <v>0</v>
          </cell>
          <cell r="V324">
            <v>0</v>
          </cell>
          <cell r="X324">
            <v>0</v>
          </cell>
          <cell r="Z324">
            <v>0</v>
          </cell>
          <cell r="AB324">
            <v>0</v>
          </cell>
          <cell r="AF324">
            <v>0</v>
          </cell>
          <cell r="AH324">
            <v>0</v>
          </cell>
        </row>
        <row r="325">
          <cell r="A325">
            <v>8192320</v>
          </cell>
          <cell r="B325" t="str">
            <v xml:space="preserve">     Despesas com Participação em Resultados de Operação</v>
          </cell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L325">
            <v>0</v>
          </cell>
          <cell r="N325">
            <v>0</v>
          </cell>
          <cell r="P325">
            <v>0</v>
          </cell>
          <cell r="R325">
            <v>0</v>
          </cell>
          <cell r="T325">
            <v>0</v>
          </cell>
          <cell r="V325">
            <v>0</v>
          </cell>
          <cell r="X325">
            <v>0</v>
          </cell>
          <cell r="Z325">
            <v>249094.33</v>
          </cell>
          <cell r="AB325">
            <v>249094.33</v>
          </cell>
          <cell r="AF325">
            <v>0</v>
          </cell>
          <cell r="AH325">
            <v>249094.33</v>
          </cell>
        </row>
        <row r="326">
          <cell r="A326">
            <v>8192330</v>
          </cell>
          <cell r="B326" t="str">
            <v xml:space="preserve">     Taxa de Operação Visa</v>
          </cell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L326">
            <v>0</v>
          </cell>
          <cell r="N326">
            <v>0</v>
          </cell>
          <cell r="P326">
            <v>0</v>
          </cell>
          <cell r="R326">
            <v>0</v>
          </cell>
          <cell r="T326">
            <v>0</v>
          </cell>
          <cell r="V326">
            <v>0</v>
          </cell>
          <cell r="X326">
            <v>0</v>
          </cell>
          <cell r="Z326">
            <v>0</v>
          </cell>
          <cell r="AB326">
            <v>0</v>
          </cell>
          <cell r="AF326">
            <v>0</v>
          </cell>
          <cell r="AH326">
            <v>0</v>
          </cell>
        </row>
        <row r="327">
          <cell r="A327">
            <v>8192340</v>
          </cell>
          <cell r="B327" t="str">
            <v xml:space="preserve">     Taxa de Operação Mastercard</v>
          </cell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L327">
            <v>0</v>
          </cell>
          <cell r="N327">
            <v>0</v>
          </cell>
          <cell r="P327">
            <v>0</v>
          </cell>
          <cell r="R327">
            <v>0</v>
          </cell>
          <cell r="T327">
            <v>0</v>
          </cell>
          <cell r="V327">
            <v>0</v>
          </cell>
          <cell r="X327">
            <v>0</v>
          </cell>
          <cell r="Z327">
            <v>0</v>
          </cell>
          <cell r="AB327">
            <v>0</v>
          </cell>
          <cell r="AF327">
            <v>0</v>
          </cell>
          <cell r="AH327">
            <v>0</v>
          </cell>
        </row>
        <row r="329">
          <cell r="A329">
            <v>81925</v>
          </cell>
          <cell r="B329" t="str">
            <v xml:space="preserve">  -  Impostos sobre Serviços de Qualquer Natureza</v>
          </cell>
          <cell r="D329">
            <v>-16652.169999999998</v>
          </cell>
          <cell r="F329">
            <v>-13331.1</v>
          </cell>
          <cell r="H329">
            <v>-19315.060000000001</v>
          </cell>
          <cell r="J329">
            <v>-20331.93</v>
          </cell>
          <cell r="L329">
            <v>-24972.48</v>
          </cell>
          <cell r="N329">
            <v>-24250.94</v>
          </cell>
          <cell r="P329">
            <v>0</v>
          </cell>
          <cell r="R329">
            <v>-25571.06</v>
          </cell>
          <cell r="T329">
            <v>-26885.45</v>
          </cell>
          <cell r="V329">
            <v>0</v>
          </cell>
          <cell r="X329">
            <v>-126342.39</v>
          </cell>
          <cell r="Z329">
            <v>-87445.28</v>
          </cell>
          <cell r="AB329">
            <v>-385097.86</v>
          </cell>
          <cell r="AF329">
            <v>-118853.68000000001</v>
          </cell>
          <cell r="AH329">
            <v>-266244.18</v>
          </cell>
        </row>
        <row r="330">
          <cell r="A330">
            <v>819250001</v>
          </cell>
          <cell r="B330" t="str">
            <v xml:space="preserve">  -  Impostos sobre Serviços </v>
          </cell>
          <cell r="D330">
            <v>0</v>
          </cell>
          <cell r="E330">
            <v>0</v>
          </cell>
          <cell r="F330">
            <v>-13331.1</v>
          </cell>
          <cell r="G330">
            <v>0</v>
          </cell>
          <cell r="H330">
            <v>-19315.060000000001</v>
          </cell>
          <cell r="J330">
            <v>-20331.93</v>
          </cell>
          <cell r="L330">
            <v>-24972.48</v>
          </cell>
          <cell r="N330">
            <v>-24250.94</v>
          </cell>
          <cell r="P330">
            <v>0</v>
          </cell>
          <cell r="R330">
            <v>-42223.23</v>
          </cell>
          <cell r="T330">
            <v>-26885.45</v>
          </cell>
          <cell r="V330">
            <v>0</v>
          </cell>
          <cell r="X330">
            <v>-126342.39</v>
          </cell>
          <cell r="Z330">
            <v>-87445.28</v>
          </cell>
          <cell r="AA330">
            <v>0</v>
          </cell>
          <cell r="AB330">
            <v>-385097.86</v>
          </cell>
          <cell r="AF330">
            <v>-102201.51000000001</v>
          </cell>
          <cell r="AH330">
            <v>-282896.34999999998</v>
          </cell>
        </row>
        <row r="331">
          <cell r="A331">
            <v>819250002</v>
          </cell>
          <cell r="B331" t="str">
            <v xml:space="preserve">  -  ISS s/processos judiciais</v>
          </cell>
          <cell r="D331">
            <v>-16652.169999999998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J331">
            <v>0</v>
          </cell>
          <cell r="L331">
            <v>0</v>
          </cell>
          <cell r="N331">
            <v>0</v>
          </cell>
          <cell r="P331">
            <v>0</v>
          </cell>
          <cell r="R331">
            <v>16652.169999999998</v>
          </cell>
          <cell r="T331">
            <v>0</v>
          </cell>
          <cell r="V331">
            <v>0</v>
          </cell>
          <cell r="X331">
            <v>0</v>
          </cell>
          <cell r="Z331">
            <v>0</v>
          </cell>
          <cell r="AA331">
            <v>0</v>
          </cell>
          <cell r="AB331">
            <v>0</v>
          </cell>
          <cell r="AF331">
            <v>-16652.169999999998</v>
          </cell>
          <cell r="AH331">
            <v>16652.169999999998</v>
          </cell>
        </row>
        <row r="332">
          <cell r="A332">
            <v>819250099</v>
          </cell>
          <cell r="B332" t="str">
            <v xml:space="preserve">  -  Reembolso do ISS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J332">
            <v>0</v>
          </cell>
          <cell r="L332">
            <v>0</v>
          </cell>
          <cell r="N332">
            <v>0</v>
          </cell>
          <cell r="P332">
            <v>0</v>
          </cell>
          <cell r="R332">
            <v>0</v>
          </cell>
          <cell r="T332">
            <v>0</v>
          </cell>
          <cell r="V332">
            <v>0</v>
          </cell>
          <cell r="X332">
            <v>0</v>
          </cell>
          <cell r="Z332">
            <v>0</v>
          </cell>
          <cell r="AA332">
            <v>0</v>
          </cell>
          <cell r="AB332">
            <v>0</v>
          </cell>
          <cell r="AF332">
            <v>0</v>
          </cell>
          <cell r="AH332">
            <v>0</v>
          </cell>
        </row>
        <row r="334">
          <cell r="A334">
            <v>81930</v>
          </cell>
          <cell r="B334" t="str">
            <v xml:space="preserve">  -  Despesa de Contribuição ao Cofins</v>
          </cell>
          <cell r="D334">
            <v>-604092.32999999996</v>
          </cell>
          <cell r="F334">
            <v>-527708.84</v>
          </cell>
          <cell r="H334">
            <v>-594506.26</v>
          </cell>
          <cell r="J334">
            <v>-577878.24</v>
          </cell>
          <cell r="L334">
            <v>-655929.76</v>
          </cell>
          <cell r="N334">
            <v>-533039.51</v>
          </cell>
          <cell r="P334">
            <v>-564905.28</v>
          </cell>
          <cell r="R334">
            <v>-577871.94999999995</v>
          </cell>
          <cell r="T334">
            <v>-552819.92000000004</v>
          </cell>
          <cell r="V334">
            <v>-5089997.01</v>
          </cell>
          <cell r="X334">
            <v>-1658035.18</v>
          </cell>
          <cell r="Z334">
            <v>-1675550.42</v>
          </cell>
          <cell r="AB334">
            <v>-13612334.699999999</v>
          </cell>
          <cell r="AF334">
            <v>-3493154.9399999995</v>
          </cell>
          <cell r="AH334">
            <v>-10119179.76</v>
          </cell>
        </row>
        <row r="335">
          <cell r="A335">
            <v>819300001</v>
          </cell>
          <cell r="B335" t="str">
            <v xml:space="preserve">     Cofins</v>
          </cell>
          <cell r="D335">
            <v>-604092.32999999996</v>
          </cell>
          <cell r="F335">
            <v>-527708.84</v>
          </cell>
          <cell r="H335">
            <v>-594506.26</v>
          </cell>
          <cell r="J335">
            <v>-577878.24</v>
          </cell>
          <cell r="L335">
            <v>-655929.76</v>
          </cell>
          <cell r="N335">
            <v>-533039.51</v>
          </cell>
          <cell r="P335">
            <v>-564905.28</v>
          </cell>
          <cell r="R335">
            <v>-577871.94999999995</v>
          </cell>
          <cell r="T335">
            <v>-552819.92000000004</v>
          </cell>
          <cell r="V335">
            <v>-5089997.01</v>
          </cell>
          <cell r="X335">
            <v>-1658035.18</v>
          </cell>
          <cell r="Z335">
            <v>-1675550.42</v>
          </cell>
          <cell r="AB335">
            <v>-13612334.699999999</v>
          </cell>
          <cell r="AF335">
            <v>-3493154.9399999995</v>
          </cell>
          <cell r="AH335">
            <v>-10119179.76</v>
          </cell>
        </row>
        <row r="336">
          <cell r="A336">
            <v>819300099</v>
          </cell>
          <cell r="B336" t="str">
            <v xml:space="preserve">     ( - ) Reembolso de Cofins</v>
          </cell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L336">
            <v>0</v>
          </cell>
          <cell r="N336">
            <v>0</v>
          </cell>
          <cell r="P336">
            <v>0</v>
          </cell>
          <cell r="R336">
            <v>0</v>
          </cell>
          <cell r="T336">
            <v>0</v>
          </cell>
          <cell r="V336">
            <v>0</v>
          </cell>
          <cell r="X336">
            <v>0</v>
          </cell>
          <cell r="Z336">
            <v>0</v>
          </cell>
          <cell r="AB336">
            <v>0</v>
          </cell>
          <cell r="AF336">
            <v>0</v>
          </cell>
          <cell r="AH336">
            <v>0</v>
          </cell>
        </row>
        <row r="338">
          <cell r="A338">
            <v>81933</v>
          </cell>
          <cell r="B338" t="str">
            <v xml:space="preserve">  -  Despesa de Contribuição do Pis/Pasep</v>
          </cell>
          <cell r="D338">
            <v>-130886.67</v>
          </cell>
          <cell r="F338">
            <v>-114336.91</v>
          </cell>
          <cell r="H338">
            <v>-128809.69</v>
          </cell>
          <cell r="J338">
            <v>-125206.95</v>
          </cell>
          <cell r="L338">
            <v>-147356.10999999999</v>
          </cell>
          <cell r="N338">
            <v>-115491.89</v>
          </cell>
          <cell r="P338">
            <v>-122396.15</v>
          </cell>
          <cell r="R338">
            <v>-125205.59</v>
          </cell>
          <cell r="T338">
            <v>-119777.65</v>
          </cell>
          <cell r="V338">
            <v>-1102832.68</v>
          </cell>
          <cell r="X338">
            <v>-359240.96000000002</v>
          </cell>
          <cell r="Z338">
            <v>-363035.92000000004</v>
          </cell>
          <cell r="AB338">
            <v>-2954577.17</v>
          </cell>
          <cell r="AF338">
            <v>-762088.22000000009</v>
          </cell>
          <cell r="AH338">
            <v>-2192488.9499999997</v>
          </cell>
        </row>
        <row r="339">
          <cell r="A339">
            <v>819330001</v>
          </cell>
          <cell r="B339" t="str">
            <v xml:space="preserve">  -  Despesa de Contribuição do Pis/Pasep - Processo Judicial</v>
          </cell>
          <cell r="D339">
            <v>-130886.67</v>
          </cell>
          <cell r="F339">
            <v>-114336.91</v>
          </cell>
          <cell r="H339">
            <v>-128809.69</v>
          </cell>
          <cell r="J339">
            <v>-125206.95</v>
          </cell>
          <cell r="L339">
            <v>-147356.10999999999</v>
          </cell>
          <cell r="N339">
            <v>-115491.89</v>
          </cell>
          <cell r="P339">
            <v>-122396.15</v>
          </cell>
          <cell r="R339">
            <v>-125205.59</v>
          </cell>
          <cell r="T339">
            <v>-119777.65</v>
          </cell>
          <cell r="V339">
            <v>-1102832.68</v>
          </cell>
          <cell r="X339">
            <v>-359240.96000000002</v>
          </cell>
          <cell r="Z339">
            <v>-363035.92000000004</v>
          </cell>
        </row>
        <row r="340">
          <cell r="A340">
            <v>819330002</v>
          </cell>
          <cell r="B340" t="str">
            <v xml:space="preserve">  -  Despesa de Contribuição do Pis/Pasep - Processo Judicial</v>
          </cell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L340">
            <v>0</v>
          </cell>
          <cell r="N340">
            <v>0</v>
          </cell>
          <cell r="P340">
            <v>0</v>
          </cell>
          <cell r="R340">
            <v>0</v>
          </cell>
          <cell r="T340">
            <v>0</v>
          </cell>
          <cell r="V340">
            <v>0</v>
          </cell>
          <cell r="X340">
            <v>0</v>
          </cell>
          <cell r="Z340">
            <v>0</v>
          </cell>
          <cell r="AB340">
            <v>0</v>
          </cell>
          <cell r="AF340">
            <v>0</v>
          </cell>
          <cell r="AH340">
            <v>0</v>
          </cell>
        </row>
        <row r="341">
          <cell r="A341">
            <v>81936</v>
          </cell>
          <cell r="B341" t="str">
            <v xml:space="preserve">  -  Despesa de Contribuição ao SFH</v>
          </cell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L341">
            <v>0</v>
          </cell>
          <cell r="N341">
            <v>0</v>
          </cell>
          <cell r="P341">
            <v>0</v>
          </cell>
          <cell r="R341">
            <v>0</v>
          </cell>
          <cell r="T341">
            <v>0</v>
          </cell>
          <cell r="V341">
            <v>0</v>
          </cell>
          <cell r="X341">
            <v>0</v>
          </cell>
          <cell r="Z341">
            <v>0</v>
          </cell>
          <cell r="AB341">
            <v>0</v>
          </cell>
          <cell r="AF341">
            <v>0</v>
          </cell>
          <cell r="AH341">
            <v>0</v>
          </cell>
        </row>
        <row r="342">
          <cell r="A342">
            <v>81940</v>
          </cell>
          <cell r="B342" t="str">
            <v xml:space="preserve">  -  Despesa de Cessao de Creditos de Arrendamento</v>
          </cell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L342">
            <v>0</v>
          </cell>
          <cell r="N342">
            <v>0</v>
          </cell>
          <cell r="P342">
            <v>0</v>
          </cell>
          <cell r="R342">
            <v>0</v>
          </cell>
          <cell r="T342">
            <v>0</v>
          </cell>
          <cell r="V342">
            <v>0</v>
          </cell>
          <cell r="X342">
            <v>0</v>
          </cell>
          <cell r="Z342">
            <v>0</v>
          </cell>
          <cell r="AB342">
            <v>0</v>
          </cell>
          <cell r="AF342">
            <v>0</v>
          </cell>
          <cell r="AH342">
            <v>0</v>
          </cell>
        </row>
        <row r="343">
          <cell r="A343">
            <v>81945</v>
          </cell>
          <cell r="B343" t="str">
            <v xml:space="preserve">  -  Despesa de Cessao de Creditos Decorrentes de Contratos</v>
          </cell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L343">
            <v>0</v>
          </cell>
          <cell r="N343">
            <v>0</v>
          </cell>
          <cell r="P343">
            <v>0</v>
          </cell>
          <cell r="R343">
            <v>0</v>
          </cell>
          <cell r="T343">
            <v>0</v>
          </cell>
          <cell r="V343">
            <v>0</v>
          </cell>
          <cell r="X343">
            <v>0</v>
          </cell>
          <cell r="Z343">
            <v>0</v>
          </cell>
          <cell r="AB343">
            <v>0</v>
          </cell>
          <cell r="AF343">
            <v>0</v>
          </cell>
          <cell r="AH343">
            <v>0</v>
          </cell>
        </row>
        <row r="345">
          <cell r="A345">
            <v>81950</v>
          </cell>
          <cell r="B345" t="str">
            <v xml:space="preserve">  -  Despesa de Cessao de Operações de Créditos</v>
          </cell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L345">
            <v>0</v>
          </cell>
          <cell r="N345">
            <v>0</v>
          </cell>
          <cell r="P345">
            <v>0</v>
          </cell>
          <cell r="R345">
            <v>0</v>
          </cell>
          <cell r="T345">
            <v>0</v>
          </cell>
          <cell r="V345">
            <v>-4174103.73</v>
          </cell>
          <cell r="X345">
            <v>-3648896.96</v>
          </cell>
          <cell r="Z345">
            <v>-2834967.96</v>
          </cell>
          <cell r="AB345">
            <v>-10657968.649999999</v>
          </cell>
          <cell r="AF345">
            <v>0</v>
          </cell>
          <cell r="AH345">
            <v>-10657968.649999999</v>
          </cell>
        </row>
        <row r="347">
          <cell r="A347">
            <v>819500001</v>
          </cell>
          <cell r="B347" t="str">
            <v xml:space="preserve">     Com Coobrigação</v>
          </cell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L347">
            <v>0</v>
          </cell>
          <cell r="N347">
            <v>0</v>
          </cell>
          <cell r="P347">
            <v>0</v>
          </cell>
          <cell r="R347">
            <v>0</v>
          </cell>
          <cell r="T347">
            <v>0</v>
          </cell>
          <cell r="V347">
            <v>-4174103.73</v>
          </cell>
          <cell r="X347">
            <v>-3648152.37</v>
          </cell>
          <cell r="Z347">
            <v>-2834967.96</v>
          </cell>
          <cell r="AB347">
            <v>-10657224.059999999</v>
          </cell>
          <cell r="AF347">
            <v>0</v>
          </cell>
          <cell r="AH347">
            <v>-10657224.059999999</v>
          </cell>
        </row>
        <row r="348">
          <cell r="A348">
            <v>81950000110</v>
          </cell>
          <cell r="B348" t="str">
            <v xml:space="preserve">     Finincred</v>
          </cell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L348">
            <v>0</v>
          </cell>
          <cell r="N348">
            <v>0</v>
          </cell>
          <cell r="P348">
            <v>0</v>
          </cell>
          <cell r="R348">
            <v>0</v>
          </cell>
          <cell r="T348">
            <v>0</v>
          </cell>
          <cell r="V348">
            <v>-4174103.73</v>
          </cell>
          <cell r="X348">
            <v>-3648152.37</v>
          </cell>
          <cell r="Z348">
            <v>-2834967.96</v>
          </cell>
          <cell r="AB348">
            <v>-10657224.059999999</v>
          </cell>
          <cell r="AF348">
            <v>0</v>
          </cell>
          <cell r="AH348">
            <v>-10657224.059999999</v>
          </cell>
        </row>
        <row r="349">
          <cell r="A349">
            <v>81950000120</v>
          </cell>
          <cell r="B349" t="str">
            <v xml:space="preserve">     Cartão Loja</v>
          </cell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L349">
            <v>0</v>
          </cell>
          <cell r="N349">
            <v>0</v>
          </cell>
          <cell r="P349">
            <v>0</v>
          </cell>
          <cell r="R349">
            <v>0</v>
          </cell>
          <cell r="T349">
            <v>0</v>
          </cell>
          <cell r="V349">
            <v>0</v>
          </cell>
          <cell r="X349">
            <v>0</v>
          </cell>
          <cell r="Z349">
            <v>0</v>
          </cell>
          <cell r="AB349">
            <v>0</v>
          </cell>
          <cell r="AF349">
            <v>0</v>
          </cell>
          <cell r="AH349">
            <v>0</v>
          </cell>
        </row>
        <row r="350">
          <cell r="A350">
            <v>81950000130</v>
          </cell>
          <cell r="B350" t="str">
            <v xml:space="preserve">     Cartão</v>
          </cell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L350">
            <v>0</v>
          </cell>
          <cell r="N350">
            <v>0</v>
          </cell>
          <cell r="P350">
            <v>0</v>
          </cell>
          <cell r="R350">
            <v>0</v>
          </cell>
          <cell r="T350">
            <v>0</v>
          </cell>
          <cell r="V350">
            <v>0</v>
          </cell>
          <cell r="X350">
            <v>0</v>
          </cell>
          <cell r="Z350">
            <v>0</v>
          </cell>
          <cell r="AB350">
            <v>0</v>
          </cell>
          <cell r="AF350">
            <v>0</v>
          </cell>
          <cell r="AH350">
            <v>0</v>
          </cell>
        </row>
        <row r="352">
          <cell r="A352">
            <v>819500002</v>
          </cell>
          <cell r="B352" t="str">
            <v xml:space="preserve">     Sem Coobrigação</v>
          </cell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L352">
            <v>0</v>
          </cell>
          <cell r="N352">
            <v>0</v>
          </cell>
          <cell r="P352">
            <v>0</v>
          </cell>
          <cell r="R352">
            <v>0</v>
          </cell>
          <cell r="T352">
            <v>0</v>
          </cell>
          <cell r="V352">
            <v>0</v>
          </cell>
          <cell r="X352">
            <v>-744.59</v>
          </cell>
          <cell r="Z352">
            <v>0</v>
          </cell>
          <cell r="AB352">
            <v>-744.59</v>
          </cell>
          <cell r="AF352">
            <v>0</v>
          </cell>
          <cell r="AH352">
            <v>-744.59</v>
          </cell>
        </row>
        <row r="353">
          <cell r="A353">
            <v>81950000210</v>
          </cell>
          <cell r="B353" t="str">
            <v xml:space="preserve">     Finincred</v>
          </cell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L353">
            <v>0</v>
          </cell>
          <cell r="N353">
            <v>0</v>
          </cell>
          <cell r="P353">
            <v>0</v>
          </cell>
          <cell r="R353">
            <v>0</v>
          </cell>
          <cell r="T353">
            <v>0</v>
          </cell>
          <cell r="V353">
            <v>0</v>
          </cell>
          <cell r="X353">
            <v>0</v>
          </cell>
          <cell r="Z353">
            <v>0</v>
          </cell>
          <cell r="AB353">
            <v>0</v>
          </cell>
          <cell r="AF353">
            <v>0</v>
          </cell>
          <cell r="AH353">
            <v>0</v>
          </cell>
        </row>
        <row r="354">
          <cell r="A354">
            <v>81950000220</v>
          </cell>
          <cell r="B354" t="str">
            <v xml:space="preserve">     Cartão Loja</v>
          </cell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L354">
            <v>0</v>
          </cell>
          <cell r="N354">
            <v>0</v>
          </cell>
          <cell r="P354">
            <v>0</v>
          </cell>
          <cell r="R354">
            <v>0</v>
          </cell>
          <cell r="T354">
            <v>0</v>
          </cell>
          <cell r="V354">
            <v>0</v>
          </cell>
          <cell r="X354">
            <v>0</v>
          </cell>
          <cell r="Z354">
            <v>0</v>
          </cell>
          <cell r="AB354">
            <v>0</v>
          </cell>
          <cell r="AF354">
            <v>0</v>
          </cell>
          <cell r="AH354">
            <v>0</v>
          </cell>
        </row>
        <row r="355">
          <cell r="A355">
            <v>81950000230</v>
          </cell>
          <cell r="B355" t="str">
            <v xml:space="preserve">     Cartão</v>
          </cell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L355">
            <v>0</v>
          </cell>
          <cell r="N355">
            <v>0</v>
          </cell>
          <cell r="P355">
            <v>0</v>
          </cell>
          <cell r="R355">
            <v>0</v>
          </cell>
          <cell r="T355">
            <v>0</v>
          </cell>
          <cell r="V355">
            <v>0</v>
          </cell>
          <cell r="X355">
            <v>-744.59</v>
          </cell>
          <cell r="Z355">
            <v>0</v>
          </cell>
          <cell r="AB355">
            <v>-744.59</v>
          </cell>
          <cell r="AF355">
            <v>0</v>
          </cell>
          <cell r="AH355">
            <v>-744.59</v>
          </cell>
        </row>
        <row r="357">
          <cell r="A357">
            <v>81955</v>
          </cell>
          <cell r="B357" t="str">
            <v xml:space="preserve">  -  Despesa de Juros ao Capital</v>
          </cell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L357">
            <v>0</v>
          </cell>
          <cell r="N357">
            <v>0</v>
          </cell>
          <cell r="P357">
            <v>0</v>
          </cell>
          <cell r="R357">
            <v>0</v>
          </cell>
          <cell r="T357">
            <v>0</v>
          </cell>
          <cell r="V357">
            <v>0</v>
          </cell>
          <cell r="X357">
            <v>0</v>
          </cell>
          <cell r="Z357">
            <v>-15573496</v>
          </cell>
          <cell r="AB357">
            <v>-15573496</v>
          </cell>
          <cell r="AF357">
            <v>0</v>
          </cell>
          <cell r="AH357">
            <v>-15573496</v>
          </cell>
        </row>
        <row r="358">
          <cell r="A358">
            <v>81960</v>
          </cell>
          <cell r="B358" t="str">
            <v xml:space="preserve">  -  Despesa de Obrigações por Fundos Financeiros</v>
          </cell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L358">
            <v>0</v>
          </cell>
          <cell r="N358">
            <v>0</v>
          </cell>
          <cell r="P358">
            <v>0</v>
          </cell>
          <cell r="R358">
            <v>0</v>
          </cell>
          <cell r="T358">
            <v>0</v>
          </cell>
          <cell r="V358">
            <v>0</v>
          </cell>
          <cell r="X358">
            <v>0</v>
          </cell>
          <cell r="Z358">
            <v>0</v>
          </cell>
          <cell r="AB358">
            <v>0</v>
          </cell>
          <cell r="AF358">
            <v>0</v>
          </cell>
          <cell r="AH358">
            <v>0</v>
          </cell>
        </row>
        <row r="359">
          <cell r="A359">
            <v>81965</v>
          </cell>
          <cell r="B359" t="str">
            <v xml:space="preserve">  -  Despesa de Recursos do Proagro</v>
          </cell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L359">
            <v>0</v>
          </cell>
          <cell r="N359">
            <v>0</v>
          </cell>
          <cell r="P359">
            <v>0</v>
          </cell>
          <cell r="R359">
            <v>0</v>
          </cell>
          <cell r="T359">
            <v>0</v>
          </cell>
          <cell r="V359">
            <v>0</v>
          </cell>
          <cell r="X359">
            <v>0</v>
          </cell>
          <cell r="Z359">
            <v>0</v>
          </cell>
          <cell r="AB359">
            <v>0</v>
          </cell>
          <cell r="AF359">
            <v>0</v>
          </cell>
          <cell r="AH359">
            <v>0</v>
          </cell>
        </row>
        <row r="360">
          <cell r="A360">
            <v>81980</v>
          </cell>
          <cell r="B360" t="str">
            <v xml:space="preserve">  -  Despesa com Captação em Titulos de Desenvolvimento</v>
          </cell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L360">
            <v>0</v>
          </cell>
          <cell r="N360">
            <v>0</v>
          </cell>
          <cell r="P360">
            <v>0</v>
          </cell>
          <cell r="R360">
            <v>0</v>
          </cell>
          <cell r="T360">
            <v>0</v>
          </cell>
          <cell r="V360">
            <v>0</v>
          </cell>
          <cell r="X360">
            <v>0</v>
          </cell>
          <cell r="Z360">
            <v>0</v>
          </cell>
          <cell r="AB360">
            <v>0</v>
          </cell>
          <cell r="AF360">
            <v>0</v>
          </cell>
          <cell r="AH360">
            <v>0</v>
          </cell>
        </row>
        <row r="361">
          <cell r="A361">
            <v>81990</v>
          </cell>
          <cell r="B361" t="str">
            <v xml:space="preserve">  -  Despesa de Atualização de Impostos e Contribuições</v>
          </cell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L361">
            <v>0</v>
          </cell>
          <cell r="N361">
            <v>0</v>
          </cell>
          <cell r="P361">
            <v>0</v>
          </cell>
          <cell r="R361">
            <v>0</v>
          </cell>
          <cell r="T361">
            <v>0</v>
          </cell>
          <cell r="V361">
            <v>0</v>
          </cell>
          <cell r="X361">
            <v>0</v>
          </cell>
          <cell r="Z361">
            <v>0</v>
          </cell>
          <cell r="AB361">
            <v>0</v>
          </cell>
          <cell r="AF361">
            <v>0</v>
          </cell>
          <cell r="AH361">
            <v>0</v>
          </cell>
        </row>
        <row r="363">
          <cell r="A363">
            <v>81999</v>
          </cell>
          <cell r="B363" t="str">
            <v xml:space="preserve">  -  Outras Despesas Operacionais</v>
          </cell>
          <cell r="D363">
            <v>-4235801</v>
          </cell>
          <cell r="F363">
            <v>-4085986.4</v>
          </cell>
          <cell r="H363">
            <v>-5099750.8499999996</v>
          </cell>
          <cell r="J363">
            <v>-4661423.8899999997</v>
          </cell>
          <cell r="L363">
            <v>-4520472.5999999996</v>
          </cell>
          <cell r="N363">
            <v>-5196658.5199999996</v>
          </cell>
          <cell r="P363">
            <v>-5110948.1100000003</v>
          </cell>
          <cell r="R363">
            <v>-5387921.7299999995</v>
          </cell>
          <cell r="T363">
            <v>-5380497.8500000006</v>
          </cell>
          <cell r="V363">
            <v>-13804099.979999999</v>
          </cell>
          <cell r="X363">
            <v>-13244404.24</v>
          </cell>
          <cell r="Z363">
            <v>-23129354</v>
          </cell>
          <cell r="AB363">
            <v>-93857319.169999987</v>
          </cell>
          <cell r="AF363">
            <v>-27800093.259999998</v>
          </cell>
          <cell r="AH363">
            <v>-66057225.909999996</v>
          </cell>
        </row>
        <row r="364">
          <cell r="A364">
            <v>819990001</v>
          </cell>
          <cell r="B364" t="str">
            <v xml:space="preserve">     Variações Monetárias Passivas</v>
          </cell>
          <cell r="D364">
            <v>-137867.44</v>
          </cell>
          <cell r="F364">
            <v>-111980.48</v>
          </cell>
          <cell r="H364">
            <v>0</v>
          </cell>
          <cell r="J364">
            <v>-273945.19</v>
          </cell>
          <cell r="L364">
            <v>0</v>
          </cell>
          <cell r="N364">
            <v>-301230.40999999997</v>
          </cell>
          <cell r="P364">
            <v>-176860.68</v>
          </cell>
          <cell r="R364">
            <v>0</v>
          </cell>
          <cell r="T364">
            <v>-234723.84</v>
          </cell>
          <cell r="V364">
            <v>-3737647.84</v>
          </cell>
          <cell r="X364">
            <v>-82051.100000000093</v>
          </cell>
          <cell r="Z364">
            <v>-607.74000000022352</v>
          </cell>
          <cell r="AB364">
            <v>-5056914.7200000007</v>
          </cell>
          <cell r="AF364">
            <v>-825023.52</v>
          </cell>
          <cell r="AH364">
            <v>-4231891.2</v>
          </cell>
        </row>
        <row r="365">
          <cell r="A365">
            <v>819990002</v>
          </cell>
          <cell r="B365" t="str">
            <v xml:space="preserve">     Despesas Não Dedutiveis</v>
          </cell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L365">
            <v>0</v>
          </cell>
          <cell r="N365">
            <v>0</v>
          </cell>
          <cell r="P365">
            <v>0</v>
          </cell>
          <cell r="R365">
            <v>0</v>
          </cell>
          <cell r="T365">
            <v>0</v>
          </cell>
          <cell r="V365">
            <v>0</v>
          </cell>
          <cell r="X365">
            <v>0</v>
          </cell>
          <cell r="Z365">
            <v>0</v>
          </cell>
          <cell r="AB365">
            <v>0</v>
          </cell>
          <cell r="AF365">
            <v>0</v>
          </cell>
          <cell r="AH365">
            <v>0</v>
          </cell>
        </row>
        <row r="366">
          <cell r="A366">
            <v>819990003</v>
          </cell>
          <cell r="B366" t="str">
            <v xml:space="preserve">     Descontos Concedidos</v>
          </cell>
          <cell r="D366">
            <v>-398866</v>
          </cell>
          <cell r="F366">
            <v>-377692.76</v>
          </cell>
          <cell r="H366">
            <v>-536080.54</v>
          </cell>
          <cell r="J366">
            <v>-439823.38</v>
          </cell>
          <cell r="L366">
            <v>-491050.89</v>
          </cell>
          <cell r="N366">
            <v>-812134.43</v>
          </cell>
          <cell r="P366">
            <v>-692201.4</v>
          </cell>
          <cell r="R366">
            <v>-607198.63</v>
          </cell>
          <cell r="T366">
            <v>-629203.57999999996</v>
          </cell>
          <cell r="V366">
            <v>-1956639.92</v>
          </cell>
          <cell r="X366">
            <v>-2019704.61</v>
          </cell>
          <cell r="Z366">
            <v>-1885538.84</v>
          </cell>
          <cell r="AB366">
            <v>-10846134.98</v>
          </cell>
          <cell r="AF366">
            <v>-3055648.0000000005</v>
          </cell>
          <cell r="AH366">
            <v>-7790486.9799999995</v>
          </cell>
        </row>
        <row r="367">
          <cell r="A367">
            <v>819990004</v>
          </cell>
          <cell r="B367" t="str">
            <v xml:space="preserve">     Variações Monetárias Passivas Não Dedutíveis</v>
          </cell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L367">
            <v>0</v>
          </cell>
          <cell r="N367">
            <v>0</v>
          </cell>
          <cell r="P367">
            <v>0</v>
          </cell>
          <cell r="R367">
            <v>0</v>
          </cell>
          <cell r="T367">
            <v>0</v>
          </cell>
          <cell r="V367">
            <v>0</v>
          </cell>
          <cell r="X367">
            <v>0</v>
          </cell>
          <cell r="Z367">
            <v>0</v>
          </cell>
          <cell r="AB367">
            <v>0</v>
          </cell>
          <cell r="AF367">
            <v>0</v>
          </cell>
          <cell r="AH367">
            <v>0</v>
          </cell>
        </row>
        <row r="368">
          <cell r="A368">
            <v>819990005</v>
          </cell>
          <cell r="B368" t="str">
            <v xml:space="preserve">     Encargos Financeiros - IOF</v>
          </cell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L368">
            <v>0</v>
          </cell>
          <cell r="N368">
            <v>0</v>
          </cell>
          <cell r="P368">
            <v>0</v>
          </cell>
          <cell r="R368">
            <v>0</v>
          </cell>
          <cell r="T368">
            <v>0</v>
          </cell>
          <cell r="V368">
            <v>0</v>
          </cell>
          <cell r="X368">
            <v>0</v>
          </cell>
          <cell r="Z368">
            <v>0</v>
          </cell>
          <cell r="AB368">
            <v>0</v>
          </cell>
          <cell r="AF368">
            <v>0</v>
          </cell>
          <cell r="AH368">
            <v>0</v>
          </cell>
        </row>
        <row r="369">
          <cell r="A369">
            <v>819990006</v>
          </cell>
          <cell r="B369" t="str">
            <v xml:space="preserve">     Amortização de Agio</v>
          </cell>
          <cell r="D369">
            <v>-3085808.61</v>
          </cell>
          <cell r="F369">
            <v>-3085808.61</v>
          </cell>
          <cell r="H369">
            <v>-3085808.61</v>
          </cell>
          <cell r="J369">
            <v>-3085808.61</v>
          </cell>
          <cell r="L369">
            <v>-3085808.61</v>
          </cell>
          <cell r="N369">
            <v>-3085808.61</v>
          </cell>
          <cell r="P369">
            <v>-3085808.61</v>
          </cell>
          <cell r="R369">
            <v>-3085808.61</v>
          </cell>
          <cell r="T369">
            <v>-3085808.61</v>
          </cell>
          <cell r="V369">
            <v>-3085808.61</v>
          </cell>
          <cell r="X369">
            <v>-3085808.61</v>
          </cell>
          <cell r="Z369">
            <v>-16402926.100000001</v>
          </cell>
          <cell r="AB369">
            <v>-50346820.810000002</v>
          </cell>
          <cell r="AF369">
            <v>-18514851.66</v>
          </cell>
          <cell r="AH369">
            <v>-31831969.149999999</v>
          </cell>
        </row>
        <row r="370">
          <cell r="A370">
            <v>819990007</v>
          </cell>
          <cell r="B370" t="str">
            <v xml:space="preserve">     Procon Juizado de Pequenas Causas</v>
          </cell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L370">
            <v>0</v>
          </cell>
          <cell r="N370">
            <v>0</v>
          </cell>
          <cell r="P370">
            <v>0</v>
          </cell>
          <cell r="R370">
            <v>0</v>
          </cell>
          <cell r="T370">
            <v>0</v>
          </cell>
          <cell r="V370">
            <v>0</v>
          </cell>
          <cell r="X370">
            <v>0</v>
          </cell>
          <cell r="Z370">
            <v>0</v>
          </cell>
          <cell r="AB370">
            <v>0</v>
          </cell>
          <cell r="AF370">
            <v>0</v>
          </cell>
          <cell r="AH370">
            <v>0</v>
          </cell>
        </row>
        <row r="371">
          <cell r="A371">
            <v>819990008</v>
          </cell>
          <cell r="B371" t="str">
            <v xml:space="preserve">     Perda em Operações de Credito</v>
          </cell>
          <cell r="D371">
            <v>-608110.97</v>
          </cell>
          <cell r="F371">
            <v>-508973.72</v>
          </cell>
          <cell r="H371">
            <v>-1477816.67</v>
          </cell>
          <cell r="J371">
            <v>-856400.39</v>
          </cell>
          <cell r="L371">
            <v>-936863.09</v>
          </cell>
          <cell r="N371">
            <v>-988100.87</v>
          </cell>
          <cell r="P371">
            <v>-1152431.1299999999</v>
          </cell>
          <cell r="R371">
            <v>-1694745.45</v>
          </cell>
          <cell r="T371">
            <v>-1423887.71</v>
          </cell>
          <cell r="V371">
            <v>-1576759.8</v>
          </cell>
          <cell r="X371">
            <v>-4549749.95</v>
          </cell>
          <cell r="Z371">
            <v>-1219556.18</v>
          </cell>
          <cell r="AB371">
            <v>-16993395.93</v>
          </cell>
          <cell r="AF371">
            <v>-5376265.71</v>
          </cell>
          <cell r="AH371">
            <v>-11617130.219999999</v>
          </cell>
        </row>
        <row r="372">
          <cell r="A372">
            <v>819990009</v>
          </cell>
          <cell r="B372" t="str">
            <v xml:space="preserve">     Lei Rouanet</v>
          </cell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L372">
            <v>0</v>
          </cell>
          <cell r="N372">
            <v>0</v>
          </cell>
          <cell r="P372">
            <v>0</v>
          </cell>
          <cell r="R372">
            <v>0</v>
          </cell>
          <cell r="T372">
            <v>0</v>
          </cell>
          <cell r="V372">
            <v>0</v>
          </cell>
          <cell r="X372">
            <v>0</v>
          </cell>
          <cell r="Z372">
            <v>99951.15</v>
          </cell>
          <cell r="AB372">
            <v>99951.15</v>
          </cell>
          <cell r="AF372">
            <v>0</v>
          </cell>
          <cell r="AH372">
            <v>99951.15</v>
          </cell>
        </row>
        <row r="373">
          <cell r="A373">
            <v>819990010</v>
          </cell>
          <cell r="B373" t="str">
            <v xml:space="preserve">     Taxas por Usos de Bandeiras</v>
          </cell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L373">
            <v>0</v>
          </cell>
          <cell r="N373">
            <v>0</v>
          </cell>
          <cell r="P373">
            <v>0</v>
          </cell>
          <cell r="R373">
            <v>0</v>
          </cell>
          <cell r="T373">
            <v>0</v>
          </cell>
          <cell r="V373">
            <v>-394893.44</v>
          </cell>
          <cell r="X373">
            <v>-202934.64</v>
          </cell>
          <cell r="Z373">
            <v>-149445.4</v>
          </cell>
          <cell r="AB373">
            <v>-747273.4800000001</v>
          </cell>
          <cell r="AF373">
            <v>0</v>
          </cell>
          <cell r="AH373">
            <v>-747273.4800000001</v>
          </cell>
        </row>
        <row r="374">
          <cell r="A374">
            <v>819990011</v>
          </cell>
          <cell r="B374" t="str">
            <v xml:space="preserve">     Participações em Operações com Estabelecimentos</v>
          </cell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L374">
            <v>0</v>
          </cell>
          <cell r="N374">
            <v>0</v>
          </cell>
          <cell r="P374">
            <v>0</v>
          </cell>
          <cell r="R374">
            <v>0</v>
          </cell>
          <cell r="T374">
            <v>0</v>
          </cell>
          <cell r="V374">
            <v>-358848.27</v>
          </cell>
          <cell r="X374">
            <v>-380895.98</v>
          </cell>
          <cell r="Z374">
            <v>-698478.79</v>
          </cell>
          <cell r="AB374">
            <v>-1438223.04</v>
          </cell>
          <cell r="AF374">
            <v>0</v>
          </cell>
          <cell r="AH374">
            <v>-1438223.04</v>
          </cell>
        </row>
        <row r="375">
          <cell r="A375">
            <v>819990012</v>
          </cell>
          <cell r="B375" t="str">
            <v xml:space="preserve">     Perdas sobre Operações</v>
          </cell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L375">
            <v>0</v>
          </cell>
          <cell r="N375">
            <v>0</v>
          </cell>
          <cell r="P375">
            <v>0</v>
          </cell>
          <cell r="R375">
            <v>0</v>
          </cell>
          <cell r="T375">
            <v>0</v>
          </cell>
          <cell r="V375">
            <v>-1140329.98</v>
          </cell>
          <cell r="X375">
            <v>-1064209.49</v>
          </cell>
          <cell r="Z375">
            <v>-1511460.52</v>
          </cell>
          <cell r="AB375">
            <v>-3715999.9899999998</v>
          </cell>
          <cell r="AF375">
            <v>0</v>
          </cell>
          <cell r="AH375">
            <v>-3715999.9899999998</v>
          </cell>
        </row>
        <row r="376">
          <cell r="A376">
            <v>819990070</v>
          </cell>
          <cell r="B376" t="str">
            <v xml:space="preserve">     Taxa de Fiscalização - CVM</v>
          </cell>
          <cell r="D376">
            <v>-3646.28</v>
          </cell>
          <cell r="F376">
            <v>0</v>
          </cell>
          <cell r="H376">
            <v>0</v>
          </cell>
          <cell r="J376">
            <v>-3646.28</v>
          </cell>
          <cell r="L376">
            <v>0</v>
          </cell>
          <cell r="N376">
            <v>0</v>
          </cell>
          <cell r="P376">
            <v>-3646.28</v>
          </cell>
          <cell r="R376">
            <v>0</v>
          </cell>
          <cell r="T376">
            <v>0</v>
          </cell>
          <cell r="V376">
            <v>0</v>
          </cell>
          <cell r="X376">
            <v>0</v>
          </cell>
          <cell r="Z376">
            <v>0</v>
          </cell>
          <cell r="AB376">
            <v>-10938.84</v>
          </cell>
          <cell r="AF376">
            <v>-7292.56</v>
          </cell>
          <cell r="AH376">
            <v>-3646.28</v>
          </cell>
        </row>
        <row r="377">
          <cell r="A377">
            <v>819990080</v>
          </cell>
          <cell r="B377" t="str">
            <v xml:space="preserve">     Cessão de Direito de Uso</v>
          </cell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L377">
            <v>0</v>
          </cell>
          <cell r="N377">
            <v>0</v>
          </cell>
          <cell r="P377">
            <v>0</v>
          </cell>
          <cell r="R377">
            <v>0</v>
          </cell>
          <cell r="T377">
            <v>0</v>
          </cell>
          <cell r="V377">
            <v>0</v>
          </cell>
          <cell r="X377">
            <v>0</v>
          </cell>
          <cell r="Z377">
            <v>0</v>
          </cell>
          <cell r="AB377">
            <v>0</v>
          </cell>
          <cell r="AF377">
            <v>0</v>
          </cell>
          <cell r="AH377">
            <v>0</v>
          </cell>
        </row>
        <row r="378">
          <cell r="A378">
            <v>819990090</v>
          </cell>
          <cell r="B378" t="str">
            <v xml:space="preserve">     Despesa com Assunção de Obrigação</v>
          </cell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L378">
            <v>0</v>
          </cell>
          <cell r="N378">
            <v>0</v>
          </cell>
          <cell r="P378">
            <v>0</v>
          </cell>
          <cell r="R378">
            <v>0</v>
          </cell>
          <cell r="T378">
            <v>0</v>
          </cell>
          <cell r="V378">
            <v>0</v>
          </cell>
          <cell r="X378">
            <v>0</v>
          </cell>
          <cell r="Z378">
            <v>0</v>
          </cell>
          <cell r="AB378">
            <v>0</v>
          </cell>
          <cell r="AF378">
            <v>0</v>
          </cell>
          <cell r="AH378">
            <v>0</v>
          </cell>
        </row>
        <row r="379">
          <cell r="A379">
            <v>819990099</v>
          </cell>
          <cell r="B379" t="str">
            <v xml:space="preserve">     Diversas</v>
          </cell>
          <cell r="D379">
            <v>-1.7</v>
          </cell>
          <cell r="F379">
            <v>-20.83</v>
          </cell>
          <cell r="H379">
            <v>-45.03</v>
          </cell>
          <cell r="J379">
            <v>-3.9999999999992042E-2</v>
          </cell>
          <cell r="L379">
            <v>-1.0000000000005116E-2</v>
          </cell>
          <cell r="N379">
            <v>-1.9999999999996021E-2</v>
          </cell>
          <cell r="P379">
            <v>-0.01</v>
          </cell>
          <cell r="R379">
            <v>-169.04</v>
          </cell>
          <cell r="T379">
            <v>-64.11</v>
          </cell>
          <cell r="V379">
            <v>-89183.62</v>
          </cell>
          <cell r="X379">
            <v>-26110.22</v>
          </cell>
          <cell r="Z379">
            <v>-48224.47</v>
          </cell>
          <cell r="AB379">
            <v>-163819.09999999998</v>
          </cell>
          <cell r="AF379">
            <v>-67.63</v>
          </cell>
          <cell r="AH379">
            <v>-163751.47</v>
          </cell>
        </row>
        <row r="380">
          <cell r="A380">
            <v>819999001</v>
          </cell>
          <cell r="B380" t="str">
            <v xml:space="preserve">     Despesas Processos Procon</v>
          </cell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L380">
            <v>0</v>
          </cell>
          <cell r="N380">
            <v>0</v>
          </cell>
          <cell r="P380">
            <v>0</v>
          </cell>
          <cell r="R380">
            <v>0</v>
          </cell>
          <cell r="T380">
            <v>0</v>
          </cell>
          <cell r="V380">
            <v>-3104.16</v>
          </cell>
          <cell r="X380">
            <v>0</v>
          </cell>
          <cell r="Z380">
            <v>0</v>
          </cell>
          <cell r="AB380">
            <v>-3104.16</v>
          </cell>
          <cell r="AF380">
            <v>0</v>
          </cell>
          <cell r="AH380">
            <v>-3104.16</v>
          </cell>
        </row>
        <row r="381">
          <cell r="A381">
            <v>819999002</v>
          </cell>
          <cell r="B381" t="str">
            <v xml:space="preserve">     Despesas Processos Civeis</v>
          </cell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L381">
            <v>0</v>
          </cell>
          <cell r="N381">
            <v>-3444.18</v>
          </cell>
          <cell r="P381">
            <v>444.18</v>
          </cell>
          <cell r="R381">
            <v>0</v>
          </cell>
          <cell r="T381">
            <v>0</v>
          </cell>
          <cell r="V381">
            <v>-185888.74</v>
          </cell>
          <cell r="X381">
            <v>-297187.18</v>
          </cell>
          <cell r="Z381">
            <v>-142275.54</v>
          </cell>
          <cell r="AB381">
            <v>-628351.46</v>
          </cell>
          <cell r="AF381">
            <v>-3444.18</v>
          </cell>
          <cell r="AH381">
            <v>-624907.28</v>
          </cell>
        </row>
        <row r="382">
          <cell r="A382">
            <v>819999003</v>
          </cell>
          <cell r="B382" t="str">
            <v xml:space="preserve">     Despesas Processos Especiais Civeis</v>
          </cell>
          <cell r="D382">
            <v>-1500</v>
          </cell>
          <cell r="F382">
            <v>-1510</v>
          </cell>
          <cell r="H382">
            <v>0</v>
          </cell>
          <cell r="J382">
            <v>-1800</v>
          </cell>
          <cell r="L382">
            <v>-6750</v>
          </cell>
          <cell r="N382">
            <v>-5940</v>
          </cell>
          <cell r="P382">
            <v>-444.18</v>
          </cell>
          <cell r="R382">
            <v>0</v>
          </cell>
          <cell r="T382">
            <v>-6810</v>
          </cell>
          <cell r="V382">
            <v>-391173.68</v>
          </cell>
          <cell r="X382">
            <v>-381586.43</v>
          </cell>
          <cell r="Z382">
            <v>-220937.38</v>
          </cell>
          <cell r="AB382">
            <v>-1018451.67</v>
          </cell>
          <cell r="AF382">
            <v>-17500</v>
          </cell>
          <cell r="AH382">
            <v>-1000951.67</v>
          </cell>
        </row>
        <row r="383">
          <cell r="A383">
            <v>819999004</v>
          </cell>
          <cell r="B383" t="str">
            <v xml:space="preserve">     Despesas Processos Causas Fiscais</v>
          </cell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L383">
            <v>0</v>
          </cell>
          <cell r="N383">
            <v>0</v>
          </cell>
          <cell r="P383">
            <v>0</v>
          </cell>
          <cell r="R383">
            <v>0</v>
          </cell>
          <cell r="T383">
            <v>0</v>
          </cell>
          <cell r="V383">
            <v>0</v>
          </cell>
          <cell r="X383">
            <v>0</v>
          </cell>
          <cell r="Z383">
            <v>0</v>
          </cell>
          <cell r="AB383">
            <v>0</v>
          </cell>
          <cell r="AF383">
            <v>0</v>
          </cell>
          <cell r="AH383">
            <v>0</v>
          </cell>
        </row>
        <row r="384">
          <cell r="A384">
            <v>819999099</v>
          </cell>
          <cell r="B384" t="str">
            <v xml:space="preserve">     Outras</v>
          </cell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L384">
            <v>0</v>
          </cell>
          <cell r="N384">
            <v>0</v>
          </cell>
          <cell r="P384">
            <v>0</v>
          </cell>
          <cell r="R384">
            <v>0</v>
          </cell>
          <cell r="T384">
            <v>0</v>
          </cell>
          <cell r="V384">
            <v>-883821.92</v>
          </cell>
          <cell r="X384">
            <v>-1154166.03</v>
          </cell>
          <cell r="Z384">
            <v>-949854.19</v>
          </cell>
          <cell r="AB384">
            <v>-2987842.14</v>
          </cell>
          <cell r="AF384">
            <v>0</v>
          </cell>
          <cell r="AH384">
            <v>-2987842.14</v>
          </cell>
        </row>
        <row r="386">
          <cell r="B386">
            <v>0</v>
          </cell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L386">
            <v>0</v>
          </cell>
          <cell r="N386">
            <v>0</v>
          </cell>
          <cell r="P386">
            <v>0</v>
          </cell>
          <cell r="R386">
            <v>0</v>
          </cell>
          <cell r="T386">
            <v>0</v>
          </cell>
          <cell r="V386">
            <v>0</v>
          </cell>
          <cell r="X386">
            <v>0</v>
          </cell>
          <cell r="Z386">
            <v>0</v>
          </cell>
          <cell r="AB386">
            <v>0</v>
          </cell>
          <cell r="AF386">
            <v>0</v>
          </cell>
          <cell r="AH386">
            <v>0</v>
          </cell>
        </row>
        <row r="387">
          <cell r="B387" t="str">
            <v xml:space="preserve">RESULTADO OPERACIONAL </v>
          </cell>
          <cell r="D387">
            <v>-2990105.43</v>
          </cell>
          <cell r="F387">
            <v>-3621010.35</v>
          </cell>
          <cell r="H387">
            <v>7931245.7100000046</v>
          </cell>
          <cell r="J387">
            <v>-3190142.45</v>
          </cell>
          <cell r="L387">
            <v>107026.31000000238</v>
          </cell>
          <cell r="N387">
            <v>9806640.8799999878</v>
          </cell>
          <cell r="P387">
            <v>-5136190.0299999937</v>
          </cell>
          <cell r="R387">
            <v>645487.56000000238</v>
          </cell>
          <cell r="T387">
            <v>11383543.110000007</v>
          </cell>
          <cell r="V387">
            <v>10054302.340000004</v>
          </cell>
          <cell r="X387">
            <v>-7584836.7300000042</v>
          </cell>
          <cell r="Z387">
            <v>-62708891.959999979</v>
          </cell>
          <cell r="AB387">
            <v>-45105445.219999909</v>
          </cell>
          <cell r="AF387">
            <v>8241140.4899999499</v>
          </cell>
          <cell r="AH387">
            <v>-53346585.709999919</v>
          </cell>
        </row>
        <row r="388">
          <cell r="B388">
            <v>0</v>
          </cell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L388">
            <v>0</v>
          </cell>
          <cell r="N388">
            <v>0</v>
          </cell>
          <cell r="P388">
            <v>0</v>
          </cell>
          <cell r="R388">
            <v>0</v>
          </cell>
          <cell r="T388">
            <v>0</v>
          </cell>
          <cell r="V388">
            <v>0</v>
          </cell>
          <cell r="X388">
            <v>0</v>
          </cell>
          <cell r="Z388">
            <v>0</v>
          </cell>
          <cell r="AB388">
            <v>0</v>
          </cell>
          <cell r="AF388">
            <v>0</v>
          </cell>
          <cell r="AH388">
            <v>0</v>
          </cell>
        </row>
        <row r="389">
          <cell r="A389">
            <v>0</v>
          </cell>
          <cell r="B389" t="str">
            <v>RESULTADO NÃO OPERACIONAL</v>
          </cell>
          <cell r="D389">
            <v>0</v>
          </cell>
          <cell r="F389">
            <v>0</v>
          </cell>
          <cell r="H389">
            <v>197485.82</v>
          </cell>
          <cell r="J389">
            <v>0</v>
          </cell>
          <cell r="L389">
            <v>2100</v>
          </cell>
          <cell r="N389">
            <v>0</v>
          </cell>
          <cell r="P389">
            <v>0</v>
          </cell>
          <cell r="R389">
            <v>0</v>
          </cell>
          <cell r="T389">
            <v>0</v>
          </cell>
          <cell r="V389">
            <v>-97044.51</v>
          </cell>
          <cell r="X389">
            <v>0</v>
          </cell>
          <cell r="Z389">
            <v>83352.240000000005</v>
          </cell>
          <cell r="AB389">
            <v>-11592.26999999999</v>
          </cell>
          <cell r="AF389">
            <v>2100</v>
          </cell>
          <cell r="AH389">
            <v>-13692.26999999999</v>
          </cell>
        </row>
        <row r="390">
          <cell r="A390">
            <v>73</v>
          </cell>
          <cell r="B390" t="str">
            <v xml:space="preserve">     Receitas não operacionais</v>
          </cell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L390">
            <v>2100</v>
          </cell>
          <cell r="N390">
            <v>0</v>
          </cell>
          <cell r="P390">
            <v>0</v>
          </cell>
          <cell r="R390">
            <v>0</v>
          </cell>
          <cell r="T390">
            <v>0</v>
          </cell>
          <cell r="V390">
            <v>0</v>
          </cell>
          <cell r="X390">
            <v>0</v>
          </cell>
          <cell r="Z390">
            <v>83352.240000000005</v>
          </cell>
          <cell r="AB390">
            <v>85452.24</v>
          </cell>
          <cell r="AF390">
            <v>2100</v>
          </cell>
          <cell r="AH390">
            <v>83352.240000000005</v>
          </cell>
        </row>
        <row r="391">
          <cell r="A391">
            <v>83</v>
          </cell>
          <cell r="B391" t="str">
            <v xml:space="preserve">     Despesas não operacionais</v>
          </cell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L391">
            <v>0</v>
          </cell>
          <cell r="N391">
            <v>0</v>
          </cell>
          <cell r="P391">
            <v>0</v>
          </cell>
          <cell r="R391">
            <v>0</v>
          </cell>
          <cell r="T391">
            <v>0</v>
          </cell>
          <cell r="V391">
            <v>-97044.51</v>
          </cell>
          <cell r="X391">
            <v>0</v>
          </cell>
          <cell r="Z391">
            <v>0</v>
          </cell>
          <cell r="AB391">
            <v>-97044.51</v>
          </cell>
          <cell r="AF391">
            <v>0</v>
          </cell>
          <cell r="AH391">
            <v>-97044.51</v>
          </cell>
        </row>
        <row r="392">
          <cell r="A392">
            <v>0</v>
          </cell>
          <cell r="B392">
            <v>0</v>
          </cell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L392">
            <v>0</v>
          </cell>
          <cell r="N392">
            <v>0</v>
          </cell>
          <cell r="P392">
            <v>0</v>
          </cell>
          <cell r="R392">
            <v>0</v>
          </cell>
          <cell r="T392">
            <v>0</v>
          </cell>
          <cell r="V392">
            <v>0</v>
          </cell>
          <cell r="X392">
            <v>0</v>
          </cell>
          <cell r="Z392">
            <v>0</v>
          </cell>
          <cell r="AB392">
            <v>0</v>
          </cell>
          <cell r="AF392">
            <v>0</v>
          </cell>
          <cell r="AH392">
            <v>0</v>
          </cell>
        </row>
        <row r="393">
          <cell r="A393">
            <v>897</v>
          </cell>
          <cell r="B393" t="str">
            <v>PARTICIPAÇÃO DE ADMINISTRADORES E FUNCIONÁRIOS</v>
          </cell>
          <cell r="D393">
            <v>0</v>
          </cell>
          <cell r="F393">
            <v>0</v>
          </cell>
          <cell r="H393">
            <v>-178932.72</v>
          </cell>
          <cell r="J393">
            <v>0</v>
          </cell>
          <cell r="L393">
            <v>0</v>
          </cell>
          <cell r="N393">
            <v>0</v>
          </cell>
          <cell r="P393">
            <v>-1350</v>
          </cell>
          <cell r="R393">
            <v>-1350</v>
          </cell>
          <cell r="T393">
            <v>2700</v>
          </cell>
          <cell r="V393">
            <v>-62987.53</v>
          </cell>
          <cell r="X393">
            <v>-2665.1000000000058</v>
          </cell>
          <cell r="Z393">
            <v>0</v>
          </cell>
          <cell r="AB393">
            <v>-244585.35</v>
          </cell>
          <cell r="AF393">
            <v>-178932.72</v>
          </cell>
          <cell r="AH393">
            <v>-65652.63</v>
          </cell>
        </row>
        <row r="394">
          <cell r="A394">
            <v>0</v>
          </cell>
          <cell r="B394">
            <v>0</v>
          </cell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L394">
            <v>0</v>
          </cell>
          <cell r="N394">
            <v>0</v>
          </cell>
          <cell r="P394">
            <v>0</v>
          </cell>
          <cell r="R394">
            <v>0</v>
          </cell>
          <cell r="T394">
            <v>0</v>
          </cell>
          <cell r="V394">
            <v>0</v>
          </cell>
          <cell r="X394">
            <v>0</v>
          </cell>
          <cell r="Z394">
            <v>0</v>
          </cell>
          <cell r="AB394">
            <v>0</v>
          </cell>
          <cell r="AF394">
            <v>0</v>
          </cell>
          <cell r="AH394">
            <v>0</v>
          </cell>
        </row>
        <row r="395">
          <cell r="A395">
            <v>8971020</v>
          </cell>
          <cell r="B395" t="str">
            <v xml:space="preserve">  PARTICIPAÇÕES EMPREGADOS</v>
          </cell>
          <cell r="D395">
            <v>0</v>
          </cell>
          <cell r="F395">
            <v>0</v>
          </cell>
          <cell r="H395">
            <v>-178932.72</v>
          </cell>
          <cell r="J395">
            <v>0</v>
          </cell>
          <cell r="L395">
            <v>0</v>
          </cell>
          <cell r="N395">
            <v>0</v>
          </cell>
          <cell r="P395">
            <v>-1350</v>
          </cell>
          <cell r="R395">
            <v>-1350</v>
          </cell>
          <cell r="T395">
            <v>2700</v>
          </cell>
          <cell r="V395">
            <v>-62987.53</v>
          </cell>
          <cell r="X395">
            <v>-2665.1000000000058</v>
          </cell>
          <cell r="Z395">
            <v>0</v>
          </cell>
          <cell r="AB395">
            <v>-244585.35</v>
          </cell>
          <cell r="AF395">
            <v>-178932.72</v>
          </cell>
          <cell r="AH395">
            <v>-65652.63</v>
          </cell>
        </row>
        <row r="396">
          <cell r="A396">
            <v>8971010</v>
          </cell>
          <cell r="B396" t="str">
            <v xml:space="preserve">  PARTICIPAÇÕES DIRETORIA</v>
          </cell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L396">
            <v>0</v>
          </cell>
          <cell r="N396">
            <v>0</v>
          </cell>
          <cell r="P396">
            <v>0</v>
          </cell>
          <cell r="R396">
            <v>0</v>
          </cell>
          <cell r="T396">
            <v>0</v>
          </cell>
          <cell r="V396">
            <v>0</v>
          </cell>
          <cell r="X396">
            <v>0</v>
          </cell>
          <cell r="Z396">
            <v>0</v>
          </cell>
          <cell r="AB396">
            <v>0</v>
          </cell>
          <cell r="AF396">
            <v>0</v>
          </cell>
          <cell r="AH396">
            <v>0</v>
          </cell>
        </row>
        <row r="397">
          <cell r="A397">
            <v>0</v>
          </cell>
          <cell r="B397">
            <v>0</v>
          </cell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L397">
            <v>0</v>
          </cell>
          <cell r="N397">
            <v>0</v>
          </cell>
          <cell r="P397">
            <v>0</v>
          </cell>
          <cell r="R397">
            <v>0</v>
          </cell>
          <cell r="T397">
            <v>0</v>
          </cell>
          <cell r="V397">
            <v>0</v>
          </cell>
          <cell r="X397">
            <v>0</v>
          </cell>
          <cell r="Z397">
            <v>0</v>
          </cell>
          <cell r="AB397">
            <v>0</v>
          </cell>
          <cell r="AF397">
            <v>0</v>
          </cell>
          <cell r="AH397">
            <v>0</v>
          </cell>
        </row>
        <row r="398">
          <cell r="A398">
            <v>9999</v>
          </cell>
          <cell r="B398" t="str">
            <v>RESULTADO ANTES DA CONTR.SOCIAL E IMP.DE RENDA</v>
          </cell>
          <cell r="D398">
            <v>-2990105.43</v>
          </cell>
          <cell r="F398">
            <v>-3621010.35</v>
          </cell>
          <cell r="H398">
            <v>7949798.8100000052</v>
          </cell>
          <cell r="J398">
            <v>-3190142.45</v>
          </cell>
          <cell r="L398">
            <v>109126.31000000238</v>
          </cell>
          <cell r="N398">
            <v>9806640.8799999878</v>
          </cell>
          <cell r="P398">
            <v>-5137540.0299999937</v>
          </cell>
          <cell r="R398">
            <v>644137.56000000238</v>
          </cell>
          <cell r="T398">
            <v>11386243.110000007</v>
          </cell>
          <cell r="V398">
            <v>9894270.3000000045</v>
          </cell>
          <cell r="X398">
            <v>-7587501.8300000038</v>
          </cell>
          <cell r="Z398">
            <v>-62625539.719999976</v>
          </cell>
          <cell r="AB398">
            <v>-45361622.839999914</v>
          </cell>
          <cell r="AF398">
            <v>8064307.7699999502</v>
          </cell>
          <cell r="AH398">
            <v>-53425930.609999925</v>
          </cell>
        </row>
        <row r="399">
          <cell r="A399">
            <v>0</v>
          </cell>
          <cell r="B399">
            <v>0</v>
          </cell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L399">
            <v>0</v>
          </cell>
          <cell r="N399">
            <v>0</v>
          </cell>
          <cell r="P399">
            <v>0</v>
          </cell>
          <cell r="R399">
            <v>0</v>
          </cell>
          <cell r="T399">
            <v>0</v>
          </cell>
          <cell r="V399">
            <v>0</v>
          </cell>
          <cell r="X399">
            <v>0</v>
          </cell>
          <cell r="Z399">
            <v>0</v>
          </cell>
          <cell r="AB399">
            <v>0</v>
          </cell>
          <cell r="AF399">
            <v>0</v>
          </cell>
          <cell r="AH399">
            <v>0</v>
          </cell>
        </row>
        <row r="400">
          <cell r="A400">
            <v>89420</v>
          </cell>
          <cell r="B400" t="str">
            <v xml:space="preserve">  CONTRIBUIÇÃO SOCIAL</v>
          </cell>
          <cell r="D400">
            <v>-26724.14</v>
          </cell>
          <cell r="F400">
            <v>26724.14</v>
          </cell>
          <cell r="H400">
            <v>0</v>
          </cell>
          <cell r="J400">
            <v>0</v>
          </cell>
          <cell r="L400">
            <v>0</v>
          </cell>
          <cell r="N400">
            <v>0</v>
          </cell>
          <cell r="P400">
            <v>0</v>
          </cell>
          <cell r="R400">
            <v>0</v>
          </cell>
          <cell r="T400">
            <v>0</v>
          </cell>
          <cell r="V400">
            <v>-5577074.4000000004</v>
          </cell>
          <cell r="X400">
            <v>3552027.34</v>
          </cell>
          <cell r="Z400">
            <v>2025047.06</v>
          </cell>
          <cell r="AB400">
            <v>0</v>
          </cell>
          <cell r="AF400">
            <v>0</v>
          </cell>
          <cell r="AH400">
            <v>0</v>
          </cell>
        </row>
        <row r="401">
          <cell r="A401" t="str">
            <v>%</v>
          </cell>
          <cell r="B401" t="str">
            <v xml:space="preserve">  CREDITO TRIBUTÁRIO DE CS - BASE NEGATIVA</v>
          </cell>
          <cell r="D401">
            <v>0</v>
          </cell>
          <cell r="F401">
            <v>162504.13</v>
          </cell>
          <cell r="H401">
            <v>-67380.95</v>
          </cell>
          <cell r="J401">
            <v>335358.38430000027</v>
          </cell>
          <cell r="L401">
            <v>122801.88689999942</v>
          </cell>
          <cell r="N401">
            <v>386942.61780000117</v>
          </cell>
          <cell r="P401">
            <v>734704.72</v>
          </cell>
          <cell r="R401">
            <v>-179260.16</v>
          </cell>
          <cell r="T401">
            <v>17478.29</v>
          </cell>
          <cell r="V401">
            <v>-1513148.92</v>
          </cell>
          <cell r="X401">
            <v>0</v>
          </cell>
          <cell r="Z401">
            <v>2610200.7200000002</v>
          </cell>
          <cell r="AB401">
            <v>2610200.7190000014</v>
          </cell>
          <cell r="AF401">
            <v>940226.06900000083</v>
          </cell>
          <cell r="AH401">
            <v>1669974.6500000004</v>
          </cell>
        </row>
        <row r="402">
          <cell r="A402" t="str">
            <v>xx</v>
          </cell>
          <cell r="B402" t="str">
            <v xml:space="preserve">  CONTRIBUIÇÃO SOCIAL TRIBUTADOS ANTECIPADAMENTE</v>
          </cell>
          <cell r="D402">
            <v>408613.42</v>
          </cell>
          <cell r="F402">
            <v>213488.54</v>
          </cell>
          <cell r="H402">
            <v>132912.31</v>
          </cell>
          <cell r="J402">
            <v>74956.890000000596</v>
          </cell>
          <cell r="L402">
            <v>35747.54</v>
          </cell>
          <cell r="N402">
            <v>-53068.939999999478</v>
          </cell>
          <cell r="P402">
            <v>-215898.97</v>
          </cell>
          <cell r="R402">
            <v>291176.21000000002</v>
          </cell>
          <cell r="T402">
            <v>-63557.179999999702</v>
          </cell>
          <cell r="V402">
            <v>5981415.7299999995</v>
          </cell>
          <cell r="X402">
            <v>-2387413.67</v>
          </cell>
          <cell r="Z402">
            <v>1449577.6400000001</v>
          </cell>
          <cell r="AB402">
            <v>5867949.5200000014</v>
          </cell>
          <cell r="AF402">
            <v>812649.76000000117</v>
          </cell>
          <cell r="AH402">
            <v>5055299.76</v>
          </cell>
        </row>
        <row r="403">
          <cell r="B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 t="str">
            <v>RESULTADO ANTES DO IMPOSTO DE RENDA</v>
          </cell>
          <cell r="D404">
            <v>-2608216.1500000004</v>
          </cell>
          <cell r="E404">
            <v>0</v>
          </cell>
          <cell r="F404">
            <v>-3218293.54</v>
          </cell>
          <cell r="G404">
            <v>0</v>
          </cell>
          <cell r="H404">
            <v>8015330.1700000046</v>
          </cell>
          <cell r="I404">
            <v>0</v>
          </cell>
          <cell r="J404">
            <v>-2779827.1757000023</v>
          </cell>
          <cell r="K404">
            <v>0</v>
          </cell>
          <cell r="L404">
            <v>267675.73690000182</v>
          </cell>
          <cell r="M404">
            <v>0</v>
          </cell>
          <cell r="N404">
            <v>10140514.557799989</v>
          </cell>
          <cell r="O404">
            <v>0</v>
          </cell>
          <cell r="P404">
            <v>-4618734.2788999937</v>
          </cell>
          <cell r="Q404">
            <v>0</v>
          </cell>
          <cell r="R404">
            <v>756053.60870000196</v>
          </cell>
          <cell r="S404">
            <v>0</v>
          </cell>
          <cell r="T404">
            <v>11340164.220000006</v>
          </cell>
          <cell r="U404">
            <v>0</v>
          </cell>
          <cell r="V404">
            <v>8785462.7100000028</v>
          </cell>
          <cell r="W404">
            <v>0</v>
          </cell>
          <cell r="X404">
            <v>-6422888.1600000039</v>
          </cell>
          <cell r="Y404">
            <v>0</v>
          </cell>
          <cell r="Z404">
            <v>-56540714.299999975</v>
          </cell>
          <cell r="AA404">
            <v>0</v>
          </cell>
          <cell r="AB404">
            <v>-36883472.600999907</v>
          </cell>
          <cell r="AC404">
            <v>0</v>
          </cell>
          <cell r="AD404">
            <v>0</v>
          </cell>
          <cell r="AE404">
            <v>0</v>
          </cell>
          <cell r="AF404">
            <v>9817183.598999951</v>
          </cell>
          <cell r="AG404">
            <v>0</v>
          </cell>
          <cell r="AH404">
            <v>-46700656.199999928</v>
          </cell>
        </row>
        <row r="405">
          <cell r="A405">
            <v>0</v>
          </cell>
          <cell r="B405">
            <v>0</v>
          </cell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L405">
            <v>0</v>
          </cell>
          <cell r="N405">
            <v>0</v>
          </cell>
          <cell r="P405">
            <v>0</v>
          </cell>
          <cell r="R405">
            <v>0</v>
          </cell>
          <cell r="T405">
            <v>0</v>
          </cell>
          <cell r="V405">
            <v>0</v>
          </cell>
          <cell r="X405">
            <v>0</v>
          </cell>
          <cell r="Z405">
            <v>0</v>
          </cell>
          <cell r="AB405">
            <v>0</v>
          </cell>
          <cell r="AF405">
            <v>0</v>
          </cell>
          <cell r="AH405">
            <v>0</v>
          </cell>
        </row>
        <row r="406">
          <cell r="A406">
            <v>89410</v>
          </cell>
          <cell r="B406" t="str">
            <v xml:space="preserve">  IMPOSTO DE RENDA</v>
          </cell>
          <cell r="D406">
            <v>-72235.44</v>
          </cell>
          <cell r="F406">
            <v>72235.44</v>
          </cell>
          <cell r="H406">
            <v>0</v>
          </cell>
          <cell r="J406">
            <v>0</v>
          </cell>
          <cell r="L406">
            <v>0</v>
          </cell>
          <cell r="N406">
            <v>0</v>
          </cell>
          <cell r="P406">
            <v>0</v>
          </cell>
          <cell r="R406">
            <v>0</v>
          </cell>
          <cell r="T406">
            <v>0</v>
          </cell>
          <cell r="V406">
            <v>-13571357.469999999</v>
          </cell>
          <cell r="X406">
            <v>9868742.5999999978</v>
          </cell>
          <cell r="Z406">
            <v>3702614.87</v>
          </cell>
          <cell r="AB406">
            <v>0</v>
          </cell>
          <cell r="AF406">
            <v>0</v>
          </cell>
          <cell r="AH406">
            <v>0</v>
          </cell>
        </row>
        <row r="407">
          <cell r="A407" t="str">
            <v>%%</v>
          </cell>
          <cell r="B407" t="str">
            <v xml:space="preserve">  CREDITO TRIBUTÁRIO DE IR - BASE NEGATIVA</v>
          </cell>
          <cell r="D407">
            <v>0</v>
          </cell>
          <cell r="F407">
            <v>451137.85</v>
          </cell>
          <cell r="H407">
            <v>-187431.8</v>
          </cell>
          <cell r="J407">
            <v>930591.73500000127</v>
          </cell>
          <cell r="L407">
            <v>367509.9199999983</v>
          </cell>
          <cell r="N407">
            <v>-147775.3574999962</v>
          </cell>
          <cell r="P407">
            <v>2035401.45</v>
          </cell>
          <cell r="R407">
            <v>531861.26</v>
          </cell>
          <cell r="T407">
            <v>-37014.020000002347</v>
          </cell>
          <cell r="V407">
            <v>-3944281.03</v>
          </cell>
          <cell r="X407">
            <v>0</v>
          </cell>
          <cell r="Z407">
            <v>7232277.7299999995</v>
          </cell>
          <cell r="AB407">
            <v>7232277.7375000007</v>
          </cell>
          <cell r="AF407">
            <v>1414032.3475000034</v>
          </cell>
          <cell r="AH407">
            <v>5818245.3899999969</v>
          </cell>
        </row>
        <row r="408">
          <cell r="A408" t="str">
            <v>x</v>
          </cell>
          <cell r="B408" t="str">
            <v xml:space="preserve">  IMPOSTO DE RENDA TRIBUTADOS ANTECIPADAMENTE</v>
          </cell>
          <cell r="D408">
            <v>1135037.27</v>
          </cell>
          <cell r="F408">
            <v>593023.73</v>
          </cell>
          <cell r="H408">
            <v>369200.86</v>
          </cell>
          <cell r="J408">
            <v>208213.57</v>
          </cell>
          <cell r="L408">
            <v>71880.66</v>
          </cell>
          <cell r="N408">
            <v>1074602.25</v>
          </cell>
          <cell r="P408">
            <v>-599719.36</v>
          </cell>
          <cell r="R408">
            <v>-226791.78</v>
          </cell>
          <cell r="T408">
            <v>-93570.39</v>
          </cell>
          <cell r="V408">
            <v>14457344.66</v>
          </cell>
          <cell r="X408">
            <v>-6631704.6399999997</v>
          </cell>
          <cell r="Z408">
            <v>5942342.9299999997</v>
          </cell>
          <cell r="AB408">
            <v>16299859.759999998</v>
          </cell>
          <cell r="AF408">
            <v>3451958.34</v>
          </cell>
          <cell r="AH408">
            <v>12847901.420000002</v>
          </cell>
        </row>
        <row r="409">
          <cell r="A409">
            <v>0</v>
          </cell>
          <cell r="B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9</v>
          </cell>
          <cell r="B410" t="str">
            <v>RESULTADO DO PERÍODO</v>
          </cell>
          <cell r="D410">
            <v>-1545414.3200000003</v>
          </cell>
          <cell r="E410">
            <v>0</v>
          </cell>
          <cell r="F410">
            <v>-2101896.52</v>
          </cell>
          <cell r="G410">
            <v>0</v>
          </cell>
          <cell r="H410">
            <v>8197099.2300000051</v>
          </cell>
          <cell r="I410">
            <v>0</v>
          </cell>
          <cell r="J410">
            <v>-1641021.870700001</v>
          </cell>
          <cell r="K410">
            <v>0</v>
          </cell>
          <cell r="L410">
            <v>707066.31690000009</v>
          </cell>
          <cell r="M410">
            <v>0</v>
          </cell>
          <cell r="N410">
            <v>11067341.450299993</v>
          </cell>
          <cell r="O410">
            <v>0</v>
          </cell>
          <cell r="P410">
            <v>-3183052.1913999957</v>
          </cell>
          <cell r="Q410">
            <v>0</v>
          </cell>
          <cell r="R410">
            <v>1061123.0887000018</v>
          </cell>
          <cell r="S410">
            <v>0</v>
          </cell>
          <cell r="T410">
            <v>11209579.810000002</v>
          </cell>
          <cell r="U410">
            <v>0</v>
          </cell>
          <cell r="V410">
            <v>5727168.8700000048</v>
          </cell>
          <cell r="W410">
            <v>0</v>
          </cell>
          <cell r="X410">
            <v>-3185850.2000000058</v>
          </cell>
          <cell r="Y410">
            <v>0</v>
          </cell>
          <cell r="Z410">
            <v>-39663478.769999981</v>
          </cell>
          <cell r="AA410">
            <v>0</v>
          </cell>
          <cell r="AB410">
            <v>-13351335.103499908</v>
          </cell>
          <cell r="AC410">
            <v>0</v>
          </cell>
          <cell r="AD410">
            <v>0</v>
          </cell>
          <cell r="AE410">
            <v>0</v>
          </cell>
          <cell r="AF410">
            <v>14683174.286499955</v>
          </cell>
          <cell r="AG410">
            <v>0</v>
          </cell>
          <cell r="AH410">
            <v>-28034509.389999926</v>
          </cell>
          <cell r="AI410">
            <v>0</v>
          </cell>
        </row>
        <row r="411">
          <cell r="A411">
            <v>99</v>
          </cell>
          <cell r="D411">
            <v>0</v>
          </cell>
          <cell r="F411">
            <v>-2101896.5240000007</v>
          </cell>
          <cell r="H411">
            <v>8197099.225200003</v>
          </cell>
          <cell r="J411">
            <v>-1641021.870700001</v>
          </cell>
          <cell r="AB411">
            <v>2222160.896500092</v>
          </cell>
          <cell r="AH411">
            <v>-12461013.389999926</v>
          </cell>
        </row>
      </sheetData>
      <sheetData sheetId="4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_Fornecedor"/>
      <sheetName val="Estoq_ Fio_Prop"/>
      <sheetName val="PRODUTO ACAB.CONSOLIDADO"/>
      <sheetName val="VALORIZAÇÃO"/>
      <sheetName val="ESTOQUE ALG.1"/>
      <sheetName val="RESUMO VEND.PROPRIA"/>
      <sheetName val="Indust_TEC"/>
      <sheetName val="PROD.PROC. SERV. TECELAG."/>
      <sheetName val="ESTOQ. SERV. EM PROC. FIA"/>
      <sheetName val="Prod_Tec_Serv_Res"/>
      <sheetName val="Serviço_TECEL"/>
      <sheetName val="GGF_Tec_Sint"/>
      <sheetName val="GGF_Tec_Rateio"/>
      <sheetName val="GGF_Tec_Ana"/>
      <sheetName val="MOD_Tec_Sint"/>
      <sheetName val="RAT. EQU. DE APOIO ADM MOD TEC"/>
      <sheetName val="Prod_Tecido_Res"/>
      <sheetName val="Rateio_Tecelagem"/>
      <sheetName val="Mat_Dir_Tec_BZ"/>
      <sheetName val="Mat_Dir_Tec_Cal_Conver"/>
      <sheetName val="VENDA DE ALGODÃO"/>
      <sheetName val="INVENT. FIO"/>
      <sheetName val="Industrialização"/>
      <sheetName val="Serviço_FIA"/>
      <sheetName val="Custo_Fiação"/>
      <sheetName val="Produção_Fio"/>
      <sheetName val="Rateio_Contábil_OE"/>
      <sheetName val="RATEIO OE"/>
      <sheetName val="MOI_Fiação_Sint"/>
      <sheetName val="RAT. EQU. DE APOIO ADM MOI "/>
      <sheetName val="GGF_Fiação_Sint"/>
      <sheetName val="RATEIO GGF FIAÇÃO"/>
      <sheetName val="RAT. EQU. DE APOIO ADM MOD"/>
      <sheetName val="MOI_Fiação_Ana"/>
      <sheetName val="GGF_Fiação_Ana"/>
      <sheetName val="MOD_Fiação_Sint"/>
      <sheetName val="MOD_Fiação_Ana"/>
      <sheetName val="Ficha Tecido"/>
      <sheetName val="MODOLO GERENCIAL"/>
      <sheetName val="MOD_Tec_Ana"/>
      <sheetName val="Estoq_Fio_Serv"/>
      <sheetName val="Batida"/>
      <sheetName val="Mat_Dir_Tec_Class"/>
      <sheetName val="Prod_Acab_Analit"/>
      <sheetName val="MOI_Tec_Sint"/>
      <sheetName val="EQU. DE APOIO ADM MOI TEC"/>
      <sheetName val="DADOS PROD.OE"/>
      <sheetName val="RESUMO CUSTOS CONT. FIAÇÃO"/>
      <sheetName val="ESTOQUE POL"/>
      <sheetName val="Estoq_Fio_Consol"/>
      <sheetName val="Prod_Tecido_BZ"/>
      <sheetName val="Mat_Diretos_Res"/>
      <sheetName val="Estoq_Mat_Prim_Sint"/>
      <sheetName val="MOI_Tec_Ana"/>
      <sheetName val="RESUMO CUSTOS CONT. TECELAGEM"/>
      <sheetName val="RESUMO ESTOQUE E DADOS CONTAB."/>
      <sheetName val="ESTOQUE SMT ALG"/>
      <sheetName val="ESTOQUE SMT TEC"/>
      <sheetName val="ESTOQUE NTX ALG"/>
      <sheetName val="ANALISE DE ESTOQUE"/>
      <sheetName val="FILAMENTO"/>
      <sheetName val="Ficha_Fio"/>
      <sheetName val="RESUMO DA VEND.SERV."/>
      <sheetName val="VEND.PORD.PROPRIA"/>
      <sheetName val="DADOS PROD TEC."/>
      <sheetName val="VENDAS DE SERVIÇO"/>
      <sheetName val="DADOS PROD."/>
      <sheetName val="CONSUMO URDUME"/>
      <sheetName val="HORAS PARADAS ABERTURA"/>
      <sheetName val="HORAS PARADAS CARDA"/>
      <sheetName val="HORAS PARADAS PASSADOR"/>
      <sheetName val="HORAS PARADAS AUTOCORO"/>
      <sheetName val="Fluxo_Produção"/>
      <sheetName val="RATEIO ENERGIA"/>
    </sheetNames>
    <sheetDataSet>
      <sheetData sheetId="0" refreshError="1">
        <row r="11">
          <cell r="C11" t="str">
            <v>ADEMAR DANIEL DE ALMEIDA</v>
          </cell>
        </row>
        <row r="12">
          <cell r="C12" t="str">
            <v>CARGIL AGRICOLA S/A</v>
          </cell>
        </row>
        <row r="13">
          <cell r="C13" t="str">
            <v>CCOP NOVOS PROD PARCEIROS INTEGRADO CONPPAI</v>
          </cell>
        </row>
        <row r="14">
          <cell r="C14" t="str">
            <v>COABRA- COOP.AGRO IND.DO CENTRO OESTE</v>
          </cell>
        </row>
        <row r="15">
          <cell r="C15" t="str">
            <v>COOALESTE COOP. AGRICOLA DOS PROD.RURAIS</v>
          </cell>
        </row>
        <row r="16">
          <cell r="C16" t="str">
            <v>COOP.NOVOS PROD. PARCEIROS</v>
          </cell>
        </row>
        <row r="17">
          <cell r="C17" t="str">
            <v>COOPERAGRO - COOPERATIVA AGR</v>
          </cell>
        </row>
        <row r="18">
          <cell r="C18" t="str">
            <v>COOPERCOTTON COOP.COTONICUTO</v>
          </cell>
        </row>
        <row r="19">
          <cell r="C19" t="str">
            <v>COOPERSERRA-COOPERATIVA PROD. RURAIS D S</v>
          </cell>
        </row>
        <row r="20">
          <cell r="C20" t="str">
            <v>COTTON MARIN LTDA</v>
          </cell>
        </row>
        <row r="21">
          <cell r="C21" t="str">
            <v>DONA EMA AGROPECUARIA E INDUSTRIAL LTDA</v>
          </cell>
        </row>
        <row r="22">
          <cell r="C22" t="str">
            <v>FAZENDA PAIAGUAS S/A</v>
          </cell>
        </row>
        <row r="23">
          <cell r="C23" t="str">
            <v>FAZENDA PLANORTE S/A</v>
          </cell>
        </row>
        <row r="24">
          <cell r="C24" t="str">
            <v>LOUIS DREYFUS COMMODLTLES BRASIL S.A.</v>
          </cell>
        </row>
        <row r="25">
          <cell r="C25" t="str">
            <v>MAEDA S/A AGROINDUSTRIAL</v>
          </cell>
        </row>
        <row r="26">
          <cell r="C26" t="str">
            <v>NORTEX INDUSTRIA E COMERCIAL S.A</v>
          </cell>
        </row>
        <row r="27">
          <cell r="C27" t="str">
            <v>SANTANA TEXTIL S/A - HORIZONTE</v>
          </cell>
        </row>
        <row r="28">
          <cell r="C28" t="str">
            <v>TEXTILE INDUSTRIAL S/A.</v>
          </cell>
        </row>
        <row r="29">
          <cell r="C29" t="str">
            <v>TRANSCONCEICAO LTDA.</v>
          </cell>
        </row>
        <row r="30">
          <cell r="C30" t="str">
            <v>VALORIZAÇÃO DE ESTOQUE</v>
          </cell>
        </row>
        <row r="31">
          <cell r="C31" t="str">
            <v>VANGUARDA DO BRASIL LTDA</v>
          </cell>
        </row>
        <row r="32">
          <cell r="C32" t="str">
            <v>WEISUL AGRICOLA LTDA.</v>
          </cell>
        </row>
        <row r="33">
          <cell r="C33" t="str">
            <v>CONSUMO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I"/>
      <sheetName val="RA "/>
      <sheetName val="IRT "/>
      <sheetName val="PARTICIP  IRT"/>
      <sheetName val="quadro"/>
      <sheetName val="Encargos"/>
      <sheetName val="En.Comp-ANEEL "/>
      <sheetName val="CUST"/>
      <sheetName val="VN_Lajeado"/>
      <sheetName val="Compensação Financeira"/>
      <sheetName val="CÁLCULO GRÁFICO"/>
      <sheetName val=" Anexo I"/>
      <sheetName val=" Anexo I 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B8" t="str">
            <v>ENERGIA COMPRADA</v>
          </cell>
          <cell r="C8">
            <v>0.12540000000000001</v>
          </cell>
        </row>
        <row r="9">
          <cell r="B9" t="str">
            <v>TOTAL PARCELA  A</v>
          </cell>
          <cell r="C9">
            <v>0.13790000000000002</v>
          </cell>
        </row>
        <row r="10">
          <cell r="B10" t="str">
            <v>TOTAL PARCELA  B</v>
          </cell>
          <cell r="C10">
            <v>0.11365578890406226</v>
          </cell>
        </row>
        <row r="11">
          <cell r="B11" t="str">
            <v>IRT TOTAL</v>
          </cell>
          <cell r="C11">
            <v>0.25155578890406227</v>
          </cell>
        </row>
        <row r="19">
          <cell r="B19" t="str">
            <v>RGR</v>
          </cell>
          <cell r="C19">
            <v>6.1009076503414144E-3</v>
          </cell>
        </row>
        <row r="20">
          <cell r="B20" t="str">
            <v>CCC</v>
          </cell>
          <cell r="C20">
            <v>3.9351814388906711E-2</v>
          </cell>
        </row>
        <row r="21">
          <cell r="B21" t="str">
            <v>CDE</v>
          </cell>
          <cell r="C21">
            <v>2.8183553481268619E-2</v>
          </cell>
        </row>
        <row r="22">
          <cell r="B22" t="str">
            <v>CFURH</v>
          </cell>
          <cell r="C22">
            <v>0</v>
          </cell>
        </row>
        <row r="23">
          <cell r="B23" t="str">
            <v>TFSEE</v>
          </cell>
          <cell r="C23">
            <v>1.960076788064426E-3</v>
          </cell>
        </row>
        <row r="24">
          <cell r="B24" t="str">
            <v xml:space="preserve">ENERGIA COMPRADA  </v>
          </cell>
          <cell r="C24">
            <v>0.5037989698382872</v>
          </cell>
        </row>
        <row r="25">
          <cell r="B25" t="str">
            <v>ENCARGOS DE TRANSMISSÃO</v>
          </cell>
          <cell r="C25">
            <v>2.1288983176628966E-3</v>
          </cell>
        </row>
        <row r="26">
          <cell r="B26" t="str">
            <v xml:space="preserve">PARCELA " B " </v>
          </cell>
          <cell r="C26">
            <v>0.41847577953546883</v>
          </cell>
        </row>
        <row r="27">
          <cell r="C27">
            <v>1.0000000000000002</v>
          </cell>
        </row>
        <row r="35">
          <cell r="B35" t="str">
            <v>ENCARGOS</v>
          </cell>
          <cell r="C35">
            <v>7.7725250626244066E-2</v>
          </cell>
        </row>
        <row r="36">
          <cell r="B36" t="str">
            <v xml:space="preserve">ENERGIA COMPRADA </v>
          </cell>
          <cell r="C36">
            <v>0.5037989698382872</v>
          </cell>
        </row>
        <row r="37">
          <cell r="B37" t="str">
            <v xml:space="preserve">PARCELA " B " </v>
          </cell>
          <cell r="C37">
            <v>0.41847577953546883</v>
          </cell>
        </row>
        <row r="38">
          <cell r="C38">
            <v>1</v>
          </cell>
        </row>
      </sheetData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 TESTE"/>
      <sheetName val="TR 30"/>
      <sheetName val="PTAX dia ant."/>
      <sheetName val="CDI"/>
      <sheetName val="SSD"/>
      <sheetName val="EURO"/>
      <sheetName val="IENE"/>
      <sheetName val="IGP-M"/>
      <sheetName val="FERIADOS"/>
      <sheetName val="DI over desde 86"/>
    </sheetNames>
    <sheetDataSet>
      <sheetData sheetId="0"/>
      <sheetData sheetId="1"/>
      <sheetData sheetId="2"/>
      <sheetData sheetId="3">
        <row r="2226">
          <cell r="A2226">
            <v>39302</v>
          </cell>
          <cell r="B2226">
            <v>20.65</v>
          </cell>
          <cell r="E2226">
            <v>1.0007452124777199</v>
          </cell>
        </row>
        <row r="2227">
          <cell r="A2227">
            <v>39303</v>
          </cell>
          <cell r="B2227">
            <v>20.65</v>
          </cell>
          <cell r="E2227">
            <v>1.0007452124777199</v>
          </cell>
        </row>
        <row r="2228">
          <cell r="A2228">
            <v>39304</v>
          </cell>
          <cell r="B2228">
            <v>20.65</v>
          </cell>
          <cell r="E2228">
            <v>1.0007452124777199</v>
          </cell>
        </row>
        <row r="2229">
          <cell r="A2229">
            <v>39305</v>
          </cell>
          <cell r="B2229">
            <v>0</v>
          </cell>
          <cell r="E2229">
            <v>0</v>
          </cell>
        </row>
        <row r="2230">
          <cell r="A2230">
            <v>39306</v>
          </cell>
          <cell r="B2230">
            <v>0</v>
          </cell>
          <cell r="E2230">
            <v>0</v>
          </cell>
        </row>
        <row r="2231">
          <cell r="A2231">
            <v>39307</v>
          </cell>
          <cell r="B2231">
            <v>20.65</v>
          </cell>
          <cell r="E2231">
            <v>1.0007452124777199</v>
          </cell>
        </row>
        <row r="2232">
          <cell r="A2232">
            <v>39308</v>
          </cell>
          <cell r="B2232">
            <v>20.65</v>
          </cell>
          <cell r="E2232">
            <v>1.0007452124777199</v>
          </cell>
        </row>
        <row r="2233">
          <cell r="A2233">
            <v>39309</v>
          </cell>
          <cell r="B2233">
            <v>20.65</v>
          </cell>
          <cell r="E2233">
            <v>1.0007452124777199</v>
          </cell>
        </row>
        <row r="2234">
          <cell r="A2234">
            <v>39310</v>
          </cell>
          <cell r="B2234">
            <v>20.65</v>
          </cell>
          <cell r="E2234">
            <v>1.0007452124777199</v>
          </cell>
        </row>
        <row r="2235">
          <cell r="A2235">
            <v>39311</v>
          </cell>
          <cell r="B2235">
            <v>20.65</v>
          </cell>
          <cell r="E2235">
            <v>1.0007452124777199</v>
          </cell>
        </row>
        <row r="2236">
          <cell r="A2236">
            <v>39312</v>
          </cell>
          <cell r="B2236">
            <v>0</v>
          </cell>
          <cell r="E2236">
            <v>0</v>
          </cell>
        </row>
        <row r="2237">
          <cell r="A2237">
            <v>39313</v>
          </cell>
          <cell r="B2237">
            <v>0</v>
          </cell>
          <cell r="E2237">
            <v>0</v>
          </cell>
        </row>
        <row r="2238">
          <cell r="A2238">
            <v>39314</v>
          </cell>
          <cell r="B2238">
            <v>20.65</v>
          </cell>
          <cell r="E2238">
            <v>1.0007452124777199</v>
          </cell>
        </row>
        <row r="2239">
          <cell r="A2239">
            <v>39315</v>
          </cell>
          <cell r="B2239">
            <v>20.65</v>
          </cell>
          <cell r="E2239">
            <v>1.0007452124777199</v>
          </cell>
        </row>
        <row r="2240">
          <cell r="A2240">
            <v>39316</v>
          </cell>
          <cell r="B2240">
            <v>20.65</v>
          </cell>
          <cell r="E2240">
            <v>1.0007452124777199</v>
          </cell>
        </row>
        <row r="2241">
          <cell r="A2241">
            <v>39317</v>
          </cell>
          <cell r="B2241">
            <v>20.65</v>
          </cell>
          <cell r="E2241">
            <v>1.0007452124777199</v>
          </cell>
        </row>
        <row r="2242">
          <cell r="A2242">
            <v>39318</v>
          </cell>
          <cell r="B2242">
            <v>20.65</v>
          </cell>
          <cell r="E2242">
            <v>1.0007452124777199</v>
          </cell>
        </row>
        <row r="2243">
          <cell r="A2243">
            <v>39319</v>
          </cell>
          <cell r="B2243">
            <v>0</v>
          </cell>
          <cell r="E2243">
            <v>0</v>
          </cell>
        </row>
        <row r="2244">
          <cell r="A2244">
            <v>39320</v>
          </cell>
          <cell r="B2244">
            <v>0</v>
          </cell>
          <cell r="E2244">
            <v>0</v>
          </cell>
        </row>
        <row r="2245">
          <cell r="A2245">
            <v>39321</v>
          </cell>
          <cell r="B2245">
            <v>20.65</v>
          </cell>
          <cell r="E2245">
            <v>1.0007452124777199</v>
          </cell>
        </row>
        <row r="2246">
          <cell r="A2246">
            <v>39322</v>
          </cell>
          <cell r="B2246">
            <v>20.65</v>
          </cell>
          <cell r="E2246">
            <v>1.0007452124777199</v>
          </cell>
        </row>
        <row r="2247">
          <cell r="A2247">
            <v>39323</v>
          </cell>
          <cell r="B2247">
            <v>20.65</v>
          </cell>
          <cell r="E2247">
            <v>1.0007452124777199</v>
          </cell>
        </row>
        <row r="2248">
          <cell r="A2248">
            <v>39324</v>
          </cell>
          <cell r="B2248">
            <v>20.65</v>
          </cell>
          <cell r="E2248">
            <v>1.0007452124777199</v>
          </cell>
        </row>
        <row r="2249">
          <cell r="A2249">
            <v>39325</v>
          </cell>
          <cell r="B2249">
            <v>20.65</v>
          </cell>
          <cell r="E2249">
            <v>1.0007452124777199</v>
          </cell>
        </row>
        <row r="2250">
          <cell r="A2250">
            <v>39326</v>
          </cell>
          <cell r="B2250">
            <v>0</v>
          </cell>
          <cell r="E2250">
            <v>0</v>
          </cell>
        </row>
        <row r="2251">
          <cell r="A2251">
            <v>39327</v>
          </cell>
          <cell r="B2251">
            <v>0</v>
          </cell>
          <cell r="E2251">
            <v>0</v>
          </cell>
        </row>
        <row r="2252">
          <cell r="A2252">
            <v>39328</v>
          </cell>
          <cell r="B2252">
            <v>20.65</v>
          </cell>
          <cell r="E2252">
            <v>1.0007452124777199</v>
          </cell>
        </row>
        <row r="2253">
          <cell r="A2253">
            <v>39329</v>
          </cell>
          <cell r="B2253">
            <v>20.65</v>
          </cell>
          <cell r="E2253">
            <v>1.0007452124777199</v>
          </cell>
        </row>
        <row r="2254">
          <cell r="A2254">
            <v>39330</v>
          </cell>
          <cell r="B2254">
            <v>20.65</v>
          </cell>
          <cell r="E2254">
            <v>1.0007452124777199</v>
          </cell>
        </row>
        <row r="2255">
          <cell r="A2255">
            <v>39331</v>
          </cell>
          <cell r="B2255">
            <v>20.65</v>
          </cell>
          <cell r="E2255">
            <v>1.0007452124777199</v>
          </cell>
        </row>
        <row r="2256">
          <cell r="A2256">
            <v>39332</v>
          </cell>
          <cell r="B2256">
            <v>20.65</v>
          </cell>
          <cell r="E2256">
            <v>1.0007452124777199</v>
          </cell>
        </row>
        <row r="2257">
          <cell r="A2257">
            <v>39333</v>
          </cell>
          <cell r="B2257">
            <v>0</v>
          </cell>
          <cell r="E2257">
            <v>0</v>
          </cell>
        </row>
        <row r="2258">
          <cell r="A2258">
            <v>39334</v>
          </cell>
          <cell r="B2258">
            <v>0</v>
          </cell>
          <cell r="E2258">
            <v>0</v>
          </cell>
        </row>
        <row r="2259">
          <cell r="A2259">
            <v>39335</v>
          </cell>
          <cell r="B2259">
            <v>20.65</v>
          </cell>
          <cell r="E2259">
            <v>1.0007452124777199</v>
          </cell>
        </row>
        <row r="2260">
          <cell r="A2260">
            <v>39336</v>
          </cell>
          <cell r="B2260">
            <v>20.65</v>
          </cell>
          <cell r="E2260">
            <v>1.0007452124777199</v>
          </cell>
        </row>
        <row r="2261">
          <cell r="A2261">
            <v>39337</v>
          </cell>
          <cell r="B2261">
            <v>20.65</v>
          </cell>
          <cell r="E2261">
            <v>1.0007452124777199</v>
          </cell>
        </row>
        <row r="2262">
          <cell r="A2262">
            <v>39338</v>
          </cell>
          <cell r="B2262">
            <v>20.65</v>
          </cell>
          <cell r="E2262">
            <v>1.0007452124777199</v>
          </cell>
        </row>
        <row r="2263">
          <cell r="A2263">
            <v>39339</v>
          </cell>
          <cell r="B2263">
            <v>20.65</v>
          </cell>
          <cell r="E2263">
            <v>1.0007452124777199</v>
          </cell>
        </row>
        <row r="2264">
          <cell r="A2264">
            <v>39340</v>
          </cell>
          <cell r="B2264">
            <v>0</v>
          </cell>
          <cell r="E2264">
            <v>0</v>
          </cell>
        </row>
        <row r="2265">
          <cell r="A2265">
            <v>39341</v>
          </cell>
          <cell r="B2265">
            <v>0</v>
          </cell>
          <cell r="E2265">
            <v>0</v>
          </cell>
        </row>
        <row r="2266">
          <cell r="A2266">
            <v>39342</v>
          </cell>
          <cell r="B2266">
            <v>20.65</v>
          </cell>
          <cell r="E2266">
            <v>1.0007452124777199</v>
          </cell>
        </row>
        <row r="2267">
          <cell r="A2267">
            <v>39343</v>
          </cell>
          <cell r="B2267">
            <v>20.65</v>
          </cell>
          <cell r="E2267">
            <v>1.0007452124777199</v>
          </cell>
        </row>
        <row r="2268">
          <cell r="A2268">
            <v>39344</v>
          </cell>
          <cell r="B2268">
            <v>20.65</v>
          </cell>
          <cell r="E2268">
            <v>1.0007452124777199</v>
          </cell>
        </row>
        <row r="2269">
          <cell r="A2269">
            <v>39345</v>
          </cell>
          <cell r="B2269">
            <v>20.65</v>
          </cell>
          <cell r="E2269">
            <v>1.0007452124777199</v>
          </cell>
        </row>
        <row r="2270">
          <cell r="A2270">
            <v>39346</v>
          </cell>
          <cell r="B2270">
            <v>20.65</v>
          </cell>
          <cell r="E2270">
            <v>1.0007452124777199</v>
          </cell>
        </row>
        <row r="2271">
          <cell r="A2271">
            <v>39347</v>
          </cell>
          <cell r="B2271">
            <v>0</v>
          </cell>
          <cell r="E2271">
            <v>0</v>
          </cell>
        </row>
        <row r="2272">
          <cell r="A2272">
            <v>39348</v>
          </cell>
          <cell r="B2272">
            <v>0</v>
          </cell>
          <cell r="E2272">
            <v>0</v>
          </cell>
        </row>
        <row r="2273">
          <cell r="A2273">
            <v>39349</v>
          </cell>
          <cell r="B2273">
            <v>20.65</v>
          </cell>
          <cell r="E2273">
            <v>1.0007452124777199</v>
          </cell>
        </row>
        <row r="2274">
          <cell r="A2274">
            <v>39350</v>
          </cell>
          <cell r="B2274">
            <v>20.65</v>
          </cell>
          <cell r="E2274">
            <v>1.0007452124777199</v>
          </cell>
        </row>
        <row r="2275">
          <cell r="A2275">
            <v>39351</v>
          </cell>
          <cell r="B2275">
            <v>20.65</v>
          </cell>
          <cell r="E2275">
            <v>1.0007452124777199</v>
          </cell>
        </row>
        <row r="2276">
          <cell r="A2276">
            <v>39352</v>
          </cell>
          <cell r="B2276">
            <v>20.65</v>
          </cell>
          <cell r="E2276">
            <v>1.0007452124777199</v>
          </cell>
        </row>
        <row r="2277">
          <cell r="A2277">
            <v>39353</v>
          </cell>
          <cell r="B2277">
            <v>20.65</v>
          </cell>
          <cell r="E2277">
            <v>1.0007452124777199</v>
          </cell>
        </row>
        <row r="2278">
          <cell r="A2278">
            <v>39354</v>
          </cell>
          <cell r="B2278">
            <v>0</v>
          </cell>
          <cell r="E2278">
            <v>0</v>
          </cell>
        </row>
        <row r="2279">
          <cell r="A2279">
            <v>39355</v>
          </cell>
          <cell r="B2279">
            <v>0</v>
          </cell>
          <cell r="E2279">
            <v>0</v>
          </cell>
        </row>
        <row r="2280">
          <cell r="A2280">
            <v>39356</v>
          </cell>
          <cell r="B2280">
            <v>20.65</v>
          </cell>
          <cell r="E2280">
            <v>1.0007452124777199</v>
          </cell>
        </row>
        <row r="2281">
          <cell r="A2281">
            <v>39357</v>
          </cell>
          <cell r="B2281">
            <v>20.65</v>
          </cell>
          <cell r="E2281">
            <v>1.0007452124777199</v>
          </cell>
        </row>
        <row r="2282">
          <cell r="A2282">
            <v>39358</v>
          </cell>
          <cell r="B2282">
            <v>20.65</v>
          </cell>
          <cell r="E2282">
            <v>1.0007452124777199</v>
          </cell>
        </row>
        <row r="2283">
          <cell r="A2283">
            <v>39359</v>
          </cell>
          <cell r="B2283">
            <v>20.65</v>
          </cell>
          <cell r="E2283">
            <v>1.0007452124777199</v>
          </cell>
        </row>
        <row r="2284">
          <cell r="A2284">
            <v>39360</v>
          </cell>
          <cell r="B2284">
            <v>20.65</v>
          </cell>
          <cell r="E2284">
            <v>1.0007452124777199</v>
          </cell>
        </row>
        <row r="2285">
          <cell r="A2285">
            <v>39361</v>
          </cell>
          <cell r="B2285">
            <v>0</v>
          </cell>
          <cell r="E2285">
            <v>0</v>
          </cell>
        </row>
        <row r="2286">
          <cell r="A2286">
            <v>39362</v>
          </cell>
          <cell r="B2286">
            <v>0</v>
          </cell>
          <cell r="E2286">
            <v>0</v>
          </cell>
        </row>
        <row r="2287">
          <cell r="A2287">
            <v>39363</v>
          </cell>
          <cell r="B2287">
            <v>20.65</v>
          </cell>
          <cell r="E2287">
            <v>1.0007452124777199</v>
          </cell>
        </row>
        <row r="2288">
          <cell r="A2288">
            <v>39364</v>
          </cell>
          <cell r="B2288">
            <v>20.65</v>
          </cell>
          <cell r="E2288">
            <v>1.0007452124777199</v>
          </cell>
        </row>
        <row r="2289">
          <cell r="A2289">
            <v>39365</v>
          </cell>
          <cell r="B2289">
            <v>20.65</v>
          </cell>
          <cell r="E2289">
            <v>1.0007452124777199</v>
          </cell>
        </row>
        <row r="2290">
          <cell r="A2290">
            <v>39366</v>
          </cell>
          <cell r="B2290">
            <v>20.65</v>
          </cell>
          <cell r="E2290">
            <v>1.0007452124777199</v>
          </cell>
        </row>
        <row r="2291">
          <cell r="A2291">
            <v>39367</v>
          </cell>
          <cell r="B2291">
            <v>20.65</v>
          </cell>
          <cell r="E2291">
            <v>1.0007452124777199</v>
          </cell>
        </row>
        <row r="2292">
          <cell r="A2292">
            <v>39368</v>
          </cell>
          <cell r="B2292">
            <v>0</v>
          </cell>
          <cell r="E2292">
            <v>0</v>
          </cell>
        </row>
        <row r="2293">
          <cell r="A2293">
            <v>39369</v>
          </cell>
          <cell r="B2293">
            <v>0</v>
          </cell>
          <cell r="E2293">
            <v>0</v>
          </cell>
        </row>
        <row r="2294">
          <cell r="A2294">
            <v>39370</v>
          </cell>
          <cell r="B2294">
            <v>20.65</v>
          </cell>
          <cell r="E2294">
            <v>1.0007452124777199</v>
          </cell>
        </row>
        <row r="2295">
          <cell r="A2295">
            <v>39371</v>
          </cell>
          <cell r="B2295">
            <v>20.65</v>
          </cell>
          <cell r="E2295">
            <v>1.0007452124777199</v>
          </cell>
        </row>
        <row r="2296">
          <cell r="A2296">
            <v>39372</v>
          </cell>
          <cell r="B2296">
            <v>20.65</v>
          </cell>
          <cell r="E2296">
            <v>1.0007452124777199</v>
          </cell>
        </row>
        <row r="2297">
          <cell r="A2297">
            <v>39373</v>
          </cell>
          <cell r="B2297">
            <v>20.65</v>
          </cell>
          <cell r="E2297">
            <v>1.0007452124777199</v>
          </cell>
        </row>
        <row r="2298">
          <cell r="A2298">
            <v>39374</v>
          </cell>
          <cell r="B2298">
            <v>20.65</v>
          </cell>
          <cell r="E2298">
            <v>1.0007452124777199</v>
          </cell>
        </row>
        <row r="2299">
          <cell r="A2299">
            <v>39375</v>
          </cell>
          <cell r="B2299">
            <v>0</v>
          </cell>
          <cell r="E2299">
            <v>0</v>
          </cell>
        </row>
        <row r="2300">
          <cell r="A2300">
            <v>39376</v>
          </cell>
          <cell r="B2300">
            <v>0</v>
          </cell>
          <cell r="E2300">
            <v>0</v>
          </cell>
        </row>
        <row r="2301">
          <cell r="A2301">
            <v>39377</v>
          </cell>
          <cell r="B2301">
            <v>20.65</v>
          </cell>
          <cell r="E2301">
            <v>1.0007452124777199</v>
          </cell>
        </row>
        <row r="2302">
          <cell r="A2302">
            <v>39378</v>
          </cell>
          <cell r="B2302">
            <v>20.65</v>
          </cell>
          <cell r="E2302">
            <v>1.0007452124777199</v>
          </cell>
        </row>
        <row r="2303">
          <cell r="A2303">
            <v>39379</v>
          </cell>
          <cell r="B2303">
            <v>20.65</v>
          </cell>
          <cell r="E2303">
            <v>1.0007452124777199</v>
          </cell>
        </row>
        <row r="2304">
          <cell r="A2304">
            <v>39380</v>
          </cell>
          <cell r="B2304">
            <v>20.65</v>
          </cell>
          <cell r="E2304">
            <v>1.0007452124777199</v>
          </cell>
        </row>
        <row r="2305">
          <cell r="A2305">
            <v>39381</v>
          </cell>
          <cell r="B2305">
            <v>20.65</v>
          </cell>
          <cell r="E2305">
            <v>1.0007452124777199</v>
          </cell>
        </row>
        <row r="2306">
          <cell r="A2306">
            <v>39382</v>
          </cell>
          <cell r="B2306">
            <v>0</v>
          </cell>
          <cell r="E2306">
            <v>0</v>
          </cell>
        </row>
        <row r="2307">
          <cell r="A2307">
            <v>39383</v>
          </cell>
          <cell r="B2307">
            <v>0</v>
          </cell>
          <cell r="E2307">
            <v>0</v>
          </cell>
        </row>
        <row r="2308">
          <cell r="A2308">
            <v>39384</v>
          </cell>
          <cell r="B2308">
            <v>20.65</v>
          </cell>
          <cell r="E2308">
            <v>1.0007452124777199</v>
          </cell>
        </row>
        <row r="2309">
          <cell r="A2309">
            <v>39385</v>
          </cell>
          <cell r="B2309">
            <v>20.65</v>
          </cell>
          <cell r="E2309">
            <v>1.0007452124777199</v>
          </cell>
        </row>
        <row r="2310">
          <cell r="A2310">
            <v>39386</v>
          </cell>
          <cell r="B2310">
            <v>20.65</v>
          </cell>
          <cell r="E2310">
            <v>1.0007452124777199</v>
          </cell>
        </row>
        <row r="2311">
          <cell r="A2311">
            <v>39387</v>
          </cell>
          <cell r="B2311">
            <v>20.65</v>
          </cell>
          <cell r="E2311">
            <v>1.0007452124777199</v>
          </cell>
        </row>
        <row r="2312">
          <cell r="A2312">
            <v>39388</v>
          </cell>
          <cell r="B2312">
            <v>20.65</v>
          </cell>
          <cell r="E2312">
            <v>1.0007452124777199</v>
          </cell>
        </row>
        <row r="2313">
          <cell r="A2313">
            <v>39389</v>
          </cell>
          <cell r="B2313">
            <v>0</v>
          </cell>
          <cell r="E2313">
            <v>0</v>
          </cell>
        </row>
        <row r="2314">
          <cell r="A2314">
            <v>39390</v>
          </cell>
          <cell r="B2314">
            <v>0</v>
          </cell>
          <cell r="E2314">
            <v>0</v>
          </cell>
        </row>
        <row r="2315">
          <cell r="A2315">
            <v>39391</v>
          </cell>
          <cell r="B2315">
            <v>20.65</v>
          </cell>
          <cell r="E2315">
            <v>1.0007452124777199</v>
          </cell>
        </row>
        <row r="2316">
          <cell r="A2316">
            <v>39392</v>
          </cell>
          <cell r="B2316">
            <v>20.65</v>
          </cell>
          <cell r="E2316">
            <v>1.0007452124777199</v>
          </cell>
        </row>
        <row r="2317">
          <cell r="A2317">
            <v>39393</v>
          </cell>
          <cell r="B2317">
            <v>20.65</v>
          </cell>
          <cell r="E2317">
            <v>1.0007452124777199</v>
          </cell>
        </row>
        <row r="2318">
          <cell r="A2318">
            <v>39394</v>
          </cell>
          <cell r="B2318">
            <v>20.65</v>
          </cell>
          <cell r="E2318">
            <v>1.0007452124777199</v>
          </cell>
        </row>
        <row r="2319">
          <cell r="A2319">
            <v>39395</v>
          </cell>
          <cell r="B2319">
            <v>20.65</v>
          </cell>
          <cell r="E2319">
            <v>1.0007452124777199</v>
          </cell>
        </row>
        <row r="2320">
          <cell r="A2320">
            <v>39396</v>
          </cell>
          <cell r="B2320">
            <v>0</v>
          </cell>
          <cell r="E2320">
            <v>0</v>
          </cell>
        </row>
        <row r="2321">
          <cell r="A2321">
            <v>39397</v>
          </cell>
          <cell r="B2321">
            <v>0</v>
          </cell>
          <cell r="E2321">
            <v>0</v>
          </cell>
        </row>
        <row r="2322">
          <cell r="A2322">
            <v>39398</v>
          </cell>
          <cell r="B2322">
            <v>20.65</v>
          </cell>
          <cell r="E2322">
            <v>1.0007452124777199</v>
          </cell>
        </row>
        <row r="2323">
          <cell r="A2323">
            <v>39399</v>
          </cell>
          <cell r="B2323">
            <v>20.65</v>
          </cell>
          <cell r="E2323">
            <v>1.0007452124777199</v>
          </cell>
        </row>
        <row r="2324">
          <cell r="A2324">
            <v>39400</v>
          </cell>
          <cell r="B2324">
            <v>20.65</v>
          </cell>
          <cell r="E2324">
            <v>1.0007452124777199</v>
          </cell>
        </row>
        <row r="2325">
          <cell r="A2325">
            <v>39401</v>
          </cell>
          <cell r="B2325">
            <v>20.65</v>
          </cell>
          <cell r="E2325">
            <v>1.0007452124777199</v>
          </cell>
        </row>
        <row r="2326">
          <cell r="A2326">
            <v>39402</v>
          </cell>
          <cell r="B2326">
            <v>20.65</v>
          </cell>
          <cell r="E2326">
            <v>1.0007452124777199</v>
          </cell>
        </row>
        <row r="2327">
          <cell r="A2327">
            <v>39403</v>
          </cell>
          <cell r="B2327">
            <v>0</v>
          </cell>
          <cell r="E2327">
            <v>0</v>
          </cell>
        </row>
        <row r="2328">
          <cell r="A2328">
            <v>39404</v>
          </cell>
          <cell r="B2328">
            <v>0</v>
          </cell>
          <cell r="E2328">
            <v>0</v>
          </cell>
        </row>
        <row r="2329">
          <cell r="A2329">
            <v>39405</v>
          </cell>
          <cell r="B2329">
            <v>20.65</v>
          </cell>
          <cell r="E2329">
            <v>1.0007452124777199</v>
          </cell>
        </row>
        <row r="2330">
          <cell r="A2330">
            <v>39406</v>
          </cell>
          <cell r="B2330">
            <v>20.65</v>
          </cell>
          <cell r="E2330">
            <v>1.0007452124777199</v>
          </cell>
        </row>
        <row r="2331">
          <cell r="A2331">
            <v>39407</v>
          </cell>
          <cell r="B2331">
            <v>20.65</v>
          </cell>
          <cell r="E2331">
            <v>1.0007452124777199</v>
          </cell>
        </row>
        <row r="2332">
          <cell r="A2332">
            <v>39408</v>
          </cell>
          <cell r="B2332">
            <v>20.65</v>
          </cell>
          <cell r="E2332">
            <v>1.0007452124777199</v>
          </cell>
        </row>
        <row r="2333">
          <cell r="A2333">
            <v>39409</v>
          </cell>
          <cell r="B2333">
            <v>20.65</v>
          </cell>
          <cell r="E2333">
            <v>1.0007452124777199</v>
          </cell>
        </row>
        <row r="2334">
          <cell r="A2334">
            <v>39410</v>
          </cell>
          <cell r="B2334">
            <v>0</v>
          </cell>
          <cell r="E2334">
            <v>0</v>
          </cell>
        </row>
        <row r="2335">
          <cell r="A2335">
            <v>39411</v>
          </cell>
          <cell r="B2335">
            <v>0</v>
          </cell>
          <cell r="E2335">
            <v>0</v>
          </cell>
        </row>
        <row r="2336">
          <cell r="A2336">
            <v>39412</v>
          </cell>
          <cell r="B2336">
            <v>20.65</v>
          </cell>
          <cell r="E2336">
            <v>1.0007452124777199</v>
          </cell>
        </row>
        <row r="2337">
          <cell r="A2337">
            <v>39413</v>
          </cell>
          <cell r="B2337">
            <v>20.65</v>
          </cell>
          <cell r="E2337">
            <v>1.0007452124777199</v>
          </cell>
        </row>
        <row r="2338">
          <cell r="A2338">
            <v>39414</v>
          </cell>
          <cell r="B2338">
            <v>20.65</v>
          </cell>
          <cell r="E2338">
            <v>1.0007452124777199</v>
          </cell>
        </row>
        <row r="2339">
          <cell r="A2339">
            <v>39415</v>
          </cell>
          <cell r="B2339">
            <v>20.65</v>
          </cell>
          <cell r="E2339">
            <v>1.0007452124777199</v>
          </cell>
        </row>
        <row r="2340">
          <cell r="A2340">
            <v>39416</v>
          </cell>
          <cell r="B2340">
            <v>20.65</v>
          </cell>
          <cell r="E2340">
            <v>1.0007452124777199</v>
          </cell>
        </row>
        <row r="2341">
          <cell r="A2341">
            <v>39417</v>
          </cell>
          <cell r="B2341">
            <v>0</v>
          </cell>
          <cell r="E2341">
            <v>0</v>
          </cell>
        </row>
        <row r="2342">
          <cell r="A2342">
            <v>39418</v>
          </cell>
          <cell r="B2342">
            <v>0</v>
          </cell>
          <cell r="E2342">
            <v>0</v>
          </cell>
        </row>
        <row r="2343">
          <cell r="A2343">
            <v>39419</v>
          </cell>
          <cell r="B2343">
            <v>20.65</v>
          </cell>
          <cell r="E2343">
            <v>1.0007452124777199</v>
          </cell>
        </row>
        <row r="2344">
          <cell r="A2344">
            <v>39420</v>
          </cell>
          <cell r="B2344">
            <v>20.65</v>
          </cell>
          <cell r="E2344">
            <v>1.0007452124777199</v>
          </cell>
        </row>
        <row r="2345">
          <cell r="A2345">
            <v>39421</v>
          </cell>
          <cell r="B2345">
            <v>20.65</v>
          </cell>
          <cell r="E2345">
            <v>1.0007452124777199</v>
          </cell>
        </row>
        <row r="2346">
          <cell r="A2346">
            <v>39422</v>
          </cell>
          <cell r="B2346">
            <v>20.65</v>
          </cell>
          <cell r="E2346">
            <v>1.0007452124777199</v>
          </cell>
        </row>
        <row r="2347">
          <cell r="A2347">
            <v>39423</v>
          </cell>
          <cell r="B2347">
            <v>20.65</v>
          </cell>
          <cell r="E2347">
            <v>1.0007452124777199</v>
          </cell>
        </row>
        <row r="2348">
          <cell r="A2348">
            <v>39424</v>
          </cell>
          <cell r="B2348">
            <v>0</v>
          </cell>
          <cell r="E2348">
            <v>0</v>
          </cell>
        </row>
        <row r="2349">
          <cell r="A2349">
            <v>39425</v>
          </cell>
          <cell r="B2349">
            <v>0</v>
          </cell>
          <cell r="E2349">
            <v>0</v>
          </cell>
        </row>
        <row r="2350">
          <cell r="A2350">
            <v>39426</v>
          </cell>
          <cell r="B2350">
            <v>20.65</v>
          </cell>
          <cell r="E2350">
            <v>1.0007452124777199</v>
          </cell>
        </row>
        <row r="2351">
          <cell r="A2351">
            <v>39427</v>
          </cell>
          <cell r="B2351">
            <v>20.65</v>
          </cell>
          <cell r="E2351">
            <v>1.0007452124777199</v>
          </cell>
        </row>
        <row r="2352">
          <cell r="A2352">
            <v>39428</v>
          </cell>
          <cell r="B2352">
            <v>20.65</v>
          </cell>
          <cell r="E2352">
            <v>1.0007452124777199</v>
          </cell>
        </row>
        <row r="2353">
          <cell r="A2353">
            <v>39429</v>
          </cell>
          <cell r="B2353">
            <v>20.65</v>
          </cell>
          <cell r="E2353">
            <v>1.0007452124777199</v>
          </cell>
        </row>
        <row r="2354">
          <cell r="A2354">
            <v>39430</v>
          </cell>
          <cell r="B2354">
            <v>20.65</v>
          </cell>
          <cell r="E2354">
            <v>1.0007452124777199</v>
          </cell>
        </row>
        <row r="2355">
          <cell r="A2355">
            <v>39431</v>
          </cell>
          <cell r="B2355">
            <v>0</v>
          </cell>
          <cell r="E2355">
            <v>0</v>
          </cell>
        </row>
        <row r="2356">
          <cell r="A2356">
            <v>39432</v>
          </cell>
          <cell r="B2356">
            <v>0</v>
          </cell>
          <cell r="E2356">
            <v>0</v>
          </cell>
        </row>
        <row r="2357">
          <cell r="A2357">
            <v>39433</v>
          </cell>
          <cell r="B2357">
            <v>20.65</v>
          </cell>
          <cell r="E2357">
            <v>1.0007452124777199</v>
          </cell>
        </row>
        <row r="2358">
          <cell r="A2358">
            <v>39434</v>
          </cell>
          <cell r="B2358">
            <v>20.65</v>
          </cell>
          <cell r="E2358">
            <v>1.0007452124777199</v>
          </cell>
        </row>
        <row r="2359">
          <cell r="A2359">
            <v>39435</v>
          </cell>
          <cell r="B2359">
            <v>20.65</v>
          </cell>
          <cell r="E2359">
            <v>1.0007452124777199</v>
          </cell>
        </row>
        <row r="2360">
          <cell r="A2360">
            <v>39436</v>
          </cell>
          <cell r="B2360">
            <v>20.65</v>
          </cell>
          <cell r="E2360">
            <v>1.0007452124777199</v>
          </cell>
        </row>
        <row r="2361">
          <cell r="A2361">
            <v>39437</v>
          </cell>
          <cell r="B2361">
            <v>20.65</v>
          </cell>
          <cell r="E2361">
            <v>1.0007452124777199</v>
          </cell>
        </row>
        <row r="2362">
          <cell r="A2362">
            <v>39438</v>
          </cell>
          <cell r="B2362">
            <v>0</v>
          </cell>
          <cell r="E2362">
            <v>0</v>
          </cell>
        </row>
        <row r="2363">
          <cell r="A2363">
            <v>39439</v>
          </cell>
          <cell r="B2363">
            <v>0</v>
          </cell>
          <cell r="E2363">
            <v>0</v>
          </cell>
        </row>
        <row r="2364">
          <cell r="A2364">
            <v>39440</v>
          </cell>
          <cell r="B2364">
            <v>20.65</v>
          </cell>
          <cell r="E2364">
            <v>1.0007452124777199</v>
          </cell>
        </row>
        <row r="2365">
          <cell r="A2365">
            <v>39441</v>
          </cell>
          <cell r="B2365">
            <v>20.65</v>
          </cell>
          <cell r="E2365">
            <v>1.0007452124777199</v>
          </cell>
        </row>
        <row r="2366">
          <cell r="A2366">
            <v>39442</v>
          </cell>
          <cell r="B2366">
            <v>20.65</v>
          </cell>
          <cell r="E2366">
            <v>1.0007452124777199</v>
          </cell>
        </row>
        <row r="2367">
          <cell r="A2367">
            <v>39443</v>
          </cell>
          <cell r="B2367">
            <v>20.65</v>
          </cell>
          <cell r="E2367">
            <v>1.0007452124777199</v>
          </cell>
        </row>
        <row r="2368">
          <cell r="A2368">
            <v>39444</v>
          </cell>
          <cell r="B2368">
            <v>20.65</v>
          </cell>
          <cell r="E2368">
            <v>1.0007452124777199</v>
          </cell>
        </row>
        <row r="2369">
          <cell r="A2369">
            <v>39445</v>
          </cell>
          <cell r="B2369">
            <v>0</v>
          </cell>
          <cell r="E2369">
            <v>0</v>
          </cell>
        </row>
        <row r="2370">
          <cell r="A2370">
            <v>39446</v>
          </cell>
          <cell r="B2370">
            <v>0</v>
          </cell>
          <cell r="E2370">
            <v>0</v>
          </cell>
        </row>
        <row r="2371">
          <cell r="A2371">
            <v>39447</v>
          </cell>
          <cell r="B2371">
            <v>20.65</v>
          </cell>
          <cell r="E2371">
            <v>1.0007452124777199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atual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atual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ção"/>
      <sheetName val="001"/>
      <sheetName val="002"/>
      <sheetName val="006"/>
      <sheetName val="007"/>
      <sheetName val="010"/>
      <sheetName val="011"/>
      <sheetName val="021"/>
      <sheetName val="022"/>
      <sheetName val="030"/>
      <sheetName val="032"/>
      <sheetName val="EBA"/>
      <sheetName val="C.EUROPA"/>
      <sheetName val="036"/>
      <sheetName val="037"/>
      <sheetName val="038"/>
      <sheetName val="042"/>
      <sheetName val="043"/>
      <sheetName val="047"/>
      <sheetName val="052"/>
      <sheetName val="058"/>
      <sheetName val="060"/>
      <sheetName val="063"/>
      <sheetName val="064"/>
      <sheetName val="072"/>
      <sheetName val="075"/>
      <sheetName val="076"/>
      <sheetName val="077"/>
      <sheetName val="078"/>
      <sheetName val="079"/>
      <sheetName val="087"/>
      <sheetName val="088"/>
      <sheetName val="090"/>
      <sheetName val="092"/>
      <sheetName val="099"/>
      <sheetName val="Anal.2041"/>
      <sheetName val="CAPA"/>
      <sheetName val="taxa"/>
      <sheetName val="VAR.IGP-M"/>
      <sheetName val="VAR.USD"/>
      <sheetName val="CAPA CORREC."/>
      <sheetName val="taxas fechamto 0601"/>
      <sheetName val="taxas fechamto 0701"/>
      <sheetName val="EBA cr. publicitário"/>
      <sheetName val="Módulo1"/>
      <sheetName val="Shopping list"/>
      <sheetName val="OUT02.REPORT"/>
      <sheetName val="Pagador_tlf_res1"/>
      <sheetName val="Patrimonial"/>
      <sheetName val="Parc. de ICMS"/>
      <sheetName val="F1.1"/>
      <sheetName val="Exchange"/>
      <sheetName val="OUT02_REPORT"/>
      <sheetName val="Tabelas"/>
      <sheetName val="ABRIL 2000"/>
      <sheetName val="E1"/>
      <sheetName val="ce"/>
      <sheetName val="GERREAL"/>
      <sheetName val="Conversion Cost"/>
      <sheetName val="DB Controle"/>
      <sheetName val="Cierre2_04"/>
      <sheetName val="Drop-down"/>
      <sheetName val="C_EUROPA"/>
      <sheetName val="Anal_2041"/>
      <sheetName val="VAR_IGP-M"/>
      <sheetName val="VAR_USD"/>
      <sheetName val="CAPA_CORREC_"/>
      <sheetName val="taxas_fechamto_0601"/>
      <sheetName val="taxas_fechamto_0701"/>
      <sheetName val="EBA_cr__publicitário"/>
      <sheetName val="comparativo"/>
      <sheetName val="CONSOLIDADO R_"/>
      <sheetName val="NACIGUAT R_"/>
      <sheetName val="RESUMIDO"/>
      <sheetName val="RIGUAT R_"/>
      <sheetName val="ANALITICO_RIG"/>
      <sheetName val="mutacao"/>
      <sheetName val="Base DE LOJAS EM 25 11 2009"/>
      <sheetName val="ELIM_FINANCEIRA"/>
      <sheetName val="OUT02_REPORT1"/>
      <sheetName val="Parc__de_ICMS"/>
      <sheetName val="F1_1"/>
      <sheetName val="ABRIL_2000"/>
      <sheetName val="Shopping_list"/>
      <sheetName val="DB_Controle"/>
      <sheetName val="Conversion_Cost"/>
      <sheetName val="Base_DE_LOJAS_EM_25_11_2009"/>
      <sheetName val="tmp"/>
      <sheetName val="Posição"/>
      <sheetName val="Aplicação"/>
      <sheetName val="Resgate"/>
      <sheetName val="Config User"/>
      <sheetName val="Config Cliente"/>
      <sheetName val="Config Ambiente"/>
      <sheetName val="Config Produto"/>
      <sheetName val="Main"/>
      <sheetName val="20410901"/>
      <sheetName val="1. Information Requirements"/>
      <sheetName val="Fluxo set"/>
      <sheetName val="Vendas Diretas"/>
      <sheetName val="C_EUROPA1"/>
      <sheetName val="Anal_20411"/>
      <sheetName val="VAR_IGP-M1"/>
      <sheetName val="VAR_USD1"/>
      <sheetName val="CAPA_CORREC_1"/>
      <sheetName val="taxas_fechamto_06011"/>
      <sheetName val="taxas_fechamto_07011"/>
      <sheetName val="EBA_cr__publicitário1"/>
      <sheetName val="OUT02_REPORT2"/>
      <sheetName val="Parc__de_ICMS1"/>
      <sheetName val="F1_11"/>
      <sheetName val="Shopping_list1"/>
      <sheetName val="ABRIL_20001"/>
      <sheetName val="Conversion_Cost1"/>
      <sheetName val="DB_Controle1"/>
      <sheetName val="Base_DE_LOJAS_EM_25_11_20091"/>
      <sheetName val="Config_User"/>
      <sheetName val="Config_Cliente"/>
      <sheetName val="Config_Ambiente"/>
      <sheetName val="Config_Produto"/>
      <sheetName val="Res-Equiv"/>
      <sheetName val="INFO"/>
      <sheetName val="Jan"/>
      <sheetName val="CONSOLIDADO_R_"/>
      <sheetName val="NACIGUAT_R_"/>
      <sheetName val="RIGUAT_R_"/>
      <sheetName val="Supuestos Gener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SUMO ER"/>
      <sheetName val="DEMONSTRATIVO"/>
      <sheetName val="CODIGO-K"/>
      <sheetName val="TIP"/>
      <sheetName val="DADOS-CA"/>
      <sheetName val="DADOS-DIV"/>
      <sheetName val="Plan1"/>
      <sheetName val="pl atual"/>
      <sheetName val="C5Reco"/>
      <sheetName val="Cover"/>
      <sheetName val="LOC"/>
      <sheetName val="Correçã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 PRAZO"/>
      <sheetName val="C PRAZO"/>
      <sheetName val="ENCARGOS"/>
      <sheetName val="LPJAN08"/>
      <sheetName val="CPJAN08"/>
      <sheetName val="ENCJAN08"/>
      <sheetName val="SWJAN08"/>
      <sheetName val="LOC"/>
      <sheetName val="pl atual"/>
    </sheetNames>
    <sheetDataSet>
      <sheetData sheetId="0"/>
      <sheetData sheetId="1"/>
      <sheetData sheetId="2"/>
      <sheetData sheetId="3">
        <row r="1">
          <cell r="A1" t="str">
            <v>Período: 12/31/07 - 1/31/08</v>
          </cell>
        </row>
      </sheetData>
      <sheetData sheetId="4">
        <row r="1">
          <cell r="A1" t="str">
            <v>Período: 12/31/07 - 1/31/08</v>
          </cell>
        </row>
      </sheetData>
      <sheetData sheetId="5">
        <row r="1">
          <cell r="A1" t="str">
            <v>Período: 12/31/07 - 1/31/08</v>
          </cell>
        </row>
      </sheetData>
      <sheetData sheetId="6">
        <row r="1">
          <cell r="A1">
            <v>39478</v>
          </cell>
        </row>
      </sheetData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I"/>
      <sheetName val="Ago-00"/>
      <sheetName val="Jul-00"/>
      <sheetName val="Jun-00"/>
      <sheetName val="Mai-00"/>
      <sheetName val="Abr-00"/>
      <sheetName val="Mar-00"/>
      <sheetName val="Fev-00"/>
      <sheetName val="Jan-00"/>
      <sheetName val="Dez-99"/>
      <sheetName val="Nov-99"/>
      <sheetName val="Out-99"/>
      <sheetName val="Set-00"/>
      <sheetName val="Aquisição"/>
      <sheetName val="Correção"/>
      <sheetName val="CPJAN08"/>
      <sheetName val="ENCJAN08"/>
      <sheetName val="LPJAN08"/>
      <sheetName val="SWJAN0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"/>
      <sheetName val="Front Page"/>
      <sheetName val="Statement1"/>
      <sheetName val="ST1LN1"/>
      <sheetName val="ST1LN2"/>
      <sheetName val="ST1LN3"/>
      <sheetName val="ST1LN5-6"/>
      <sheetName val="ST1LN7"/>
      <sheetName val="ST1LN8"/>
      <sheetName val="ST1LN10-12"/>
      <sheetName val="ST1LN13"/>
      <sheetName val="ST1LN15&amp;17"/>
      <sheetName val="ST1LN16&amp;18"/>
      <sheetName val="ST1LN19-20"/>
      <sheetName val="ST1LN22"/>
      <sheetName val="ST1LN23"/>
      <sheetName val="ST1LN28"/>
      <sheetName val="ST1LN30"/>
      <sheetName val="ST1LN31"/>
      <sheetName val="ST1LN32-33"/>
      <sheetName val="ST1LN36"/>
      <sheetName val="ST1LN36a"/>
      <sheetName val="ST1LN37&amp;39"/>
      <sheetName val="ST1LN40"/>
      <sheetName val="Statement2"/>
      <sheetName val="ST2LN1_2_3_5_8_11"/>
      <sheetName val="ST2LN12"/>
      <sheetName val="ST2LN16"/>
      <sheetName val="ST2LN17"/>
      <sheetName val="ST2LN18"/>
      <sheetName val="ST2LN19"/>
      <sheetName val="ST2LN26&amp;33"/>
      <sheetName val="ST2LN35 &amp; 37"/>
      <sheetName val="ST3P1a"/>
      <sheetName val="ST3P1b"/>
      <sheetName val="ST3P2"/>
      <sheetName val="ST3P3"/>
      <sheetName val="ST3P4"/>
      <sheetName val="ST3P5"/>
      <sheetName val="ST3P6"/>
      <sheetName val="ST4"/>
      <sheetName val="SUP1"/>
      <sheetName val="SUP2"/>
      <sheetName val="SUP3"/>
      <sheetName val="SUP4"/>
      <sheetName val="SUP5"/>
      <sheetName val="SUP6"/>
      <sheetName val="SUP7"/>
      <sheetName val="SUP8"/>
      <sheetName val="SUP9"/>
      <sheetName val="SUP10"/>
      <sheetName val="SUP11"/>
      <sheetName val="SUP12"/>
      <sheetName val="titles"/>
      <sheetName val="Tax1a Deferred Tax CY"/>
      <sheetName val="Tax1b Deferred Tax PY"/>
      <sheetName val="Tax3 Tax losses"/>
      <sheetName val="Tax2 Fixed Asset Movements"/>
      <sheetName val="Tax4 Tax Reconciliation gross"/>
      <sheetName val="Tax5 DT movement rec"/>
      <sheetName val="Tax6 Tax Reconciliation Net"/>
      <sheetName val="Tax7 Tax Bookkeeping"/>
      <sheetName val="Tax8 Tax 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5">
          <cell r="C5" t="str">
            <v>SINGCON</v>
          </cell>
        </row>
      </sheetData>
      <sheetData sheetId="53">
        <row r="5">
          <cell r="C5" t="str">
            <v>SINGCON</v>
          </cell>
        </row>
        <row r="19">
          <cell r="C19" t="str">
            <v>SING$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IM_FINANCEIRA"/>
      <sheetName val="Tabelas"/>
      <sheetName val="Chart Data"/>
      <sheetName val="DEPREC"/>
      <sheetName val="BASE BALSAP"/>
      <sheetName val="Plano de Contas"/>
      <sheetName val="PS-Consolidation"/>
      <sheetName val="Param"/>
      <sheetName val="PAR"/>
      <sheetName val="CDI"/>
      <sheetName val="Variables"/>
      <sheetName val="CTAS.DE LANÇAMENTO"/>
      <sheetName val="BP"/>
      <sheetName val="Mapa"/>
      <sheetName val="Correção"/>
      <sheetName val="Itens importados"/>
      <sheetName val="Codes"/>
      <sheetName val="BRESSER"/>
      <sheetName val="PENDENTES"/>
      <sheetName val="Boge"/>
      <sheetName val="Acertado"/>
      <sheetName val="VENDAS_P_SUBSIDIÁRIA"/>
      <sheetName val="OUT02.REPORT"/>
      <sheetName val="Saldo 12480001"/>
      <sheetName val="Saldo final 32470000"/>
      <sheetName val="Capa"/>
      <sheetName val="RESUMO"/>
      <sheetName val="Currency"/>
      <sheetName val="Patrimonial"/>
      <sheetName val="Dados"/>
      <sheetName val="PS_Consolidation"/>
      <sheetName val="FF1 - Listagem inicial"/>
      <sheetName val="EE3.1 - Conc. Volvo"/>
      <sheetName val="corsa"/>
      <sheetName val="heavy"/>
      <sheetName val="light"/>
      <sheetName val="medium"/>
      <sheetName val="APIPIAQ.XLS"/>
      <sheetName val="Plan1"/>
      <sheetName val="CG00FIN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Fcx Consol Diario Rev 25-01"/>
      <sheetName val="05,06 E 07"/>
      <sheetName val="Filiais - todas"/>
      <sheetName val="cover"/>
      <sheetName val="Auxi"/>
      <sheetName val="ce"/>
      <sheetName val="ABRIL 2000"/>
      <sheetName val="Edo Res"/>
      <sheetName val="P&amp;L"/>
      <sheetName val="P&amp;L EUR"/>
      <sheetName val="2008"/>
      <sheetName val="MAI2000"/>
      <sheetName val="Premio_Sinistro"/>
      <sheetName val="Instructions"/>
      <sheetName val="E03.05.1 - Base Invista Nylon"/>
      <sheetName val="Parâmetros"/>
      <sheetName val="Internal Data"/>
      <sheetName val="2006"/>
      <sheetName val="Sic - Jan"/>
      <sheetName val="Demitidos"/>
      <sheetName val="Data"/>
      <sheetName val="Royalties"/>
      <sheetName val="Analítico"/>
      <sheetName val="ush"/>
      <sheetName val="condição"/>
      <sheetName val="tabela"/>
      <sheetName val="INDICES"/>
      <sheetName val="Settings"/>
      <sheetName val="Projeção álcool"/>
      <sheetName val="Resinas 10_06"/>
      <sheetName val="Itens_importados"/>
      <sheetName val="OUT02_REPORT"/>
      <sheetName val="Saldo_12480001"/>
      <sheetName val="Saldo_final_32470000"/>
      <sheetName val="CTAS_DE_LANÇAMENTO"/>
      <sheetName val="APIPIAQ_XLS"/>
      <sheetName val="EE3_1_-_Conc__Volvo"/>
      <sheetName val="Fcx_Consol_Diario_Rev_25-01"/>
      <sheetName val="Chart_Data"/>
      <sheetName val="BASE_BALSAP"/>
      <sheetName val="Plano_de_Contas"/>
      <sheetName val="Edo_Res"/>
      <sheetName val="ABRIL_2000"/>
      <sheetName val="Filiais_-_todas"/>
      <sheetName val="05,06_E_07"/>
      <sheetName val="P&amp;L_EUR"/>
      <sheetName val="FF1_-_Listagem_inicial"/>
      <sheetName val="Internal_Data"/>
      <sheetName val="E03_05_1_-_Base_Invista_Nylon"/>
      <sheetName val="Projeção_álcool"/>
      <sheetName val="Sic_-_Jan"/>
      <sheetName val="Resinas_10_06"/>
      <sheetName val="Plan2"/>
      <sheetName val="INFO"/>
      <sheetName val="LANG"/>
      <sheetName val="OUVC"/>
      <sheetName val="Eco-Fin"/>
      <sheetName val="2000"/>
      <sheetName val="MAI'01"/>
      <sheetName val="TOP 20 - PC's"/>
      <sheetName val="Duplicate Rate"/>
      <sheetName val="Faturamento Por CP"/>
      <sheetName val="Ajuste Bacardi"/>
      <sheetName val="Sales by PC's"/>
      <sheetName val="REMOCATA"/>
      <sheetName val="RAZAO"/>
      <sheetName val="E4.2.2 testes"/>
      <sheetName val="Sancy"/>
      <sheetName val="Input"/>
      <sheetName val="tab"/>
      <sheetName val="112060002"/>
      <sheetName val="Interest"/>
      <sheetName val="Assump. Budg"/>
      <sheetName val="POLITICA"/>
      <sheetName val="cupom"/>
      <sheetName val="curva pre"/>
      <sheetName val="IREM"/>
      <sheetName val="CTAS_DE_LANÇAMENTO1"/>
      <sheetName val="Chart_Data1"/>
      <sheetName val="BASE_BALSAP1"/>
      <sheetName val="Plano_de_Contas1"/>
      <sheetName val="OUT02_REPORT1"/>
      <sheetName val="Saldo_124800011"/>
      <sheetName val="Saldo_final_324700001"/>
      <sheetName val="Itens_importados1"/>
      <sheetName val="APIPIAQ_XLS1"/>
      <sheetName val="EE3_1_-_Conc__Volvo1"/>
      <sheetName val="Fcx_Consol_Diario_Rev_25-011"/>
      <sheetName val="ABRIL_20001"/>
      <sheetName val="Edo_Res1"/>
      <sheetName val="Filiais_-_todas1"/>
      <sheetName val="05,06_E_071"/>
      <sheetName val="FF1_-_Listagem_inicial1"/>
      <sheetName val="P&amp;L_EUR1"/>
      <sheetName val="Sic_-_Jan1"/>
      <sheetName val="Internal_Data1"/>
      <sheetName val="E03_05_1_-_Base_Invista_Nylon1"/>
      <sheetName val="Projeção_álcool1"/>
      <sheetName val="Resinas_10_061"/>
      <sheetName val="E4_2_2_testes"/>
      <sheetName val="curva_pre"/>
      <sheetName val="CSSL - Real"/>
      <sheetName val="Granéis"/>
      <sheetName val="Loan Data"/>
      <sheetName val="Virtuales"/>
      <sheetName val="Admin"/>
      <sheetName val="Sources Assumptions"/>
      <sheetName val="Índice"/>
      <sheetName val="ST Bericht"/>
      <sheetName val="DCI_ESTI_IS"/>
      <sheetName val="DCPS_ESTI_IS"/>
      <sheetName val="DE&amp;S_ESTI_IS"/>
      <sheetName val="DFD_ESTI_IS"/>
      <sheetName val="Merch_ESTI_IS"/>
      <sheetName val="NP&amp;L_ESTI_IS"/>
      <sheetName val="Empresas_US$"/>
      <sheetName val="Menu"/>
      <sheetName val="E1"/>
      <sheetName val="Investments"/>
      <sheetName val="Lead"/>
      <sheetName val=" CC21"/>
      <sheetName val="98BESTOQUE"/>
      <sheetName val="TOP_20_-_PC's"/>
      <sheetName val="Duplicate_Rate"/>
      <sheetName val="Faturamento_Por_CP"/>
      <sheetName val="Ajuste_Bacardi"/>
      <sheetName val="Sales_by_PC's"/>
      <sheetName val="Assump__Budg"/>
      <sheetName val="Supuestos Generales"/>
      <sheetName val="titles"/>
      <sheetName val="Bal032002"/>
      <sheetName val="N"/>
      <sheetName val="Control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"/>
      <sheetName val="Const. Andam."/>
      <sheetName val="Saldo inicial"/>
      <sheetName val="Depreciação 31.12.01"/>
      <sheetName val="Sub-avaliação"/>
      <sheetName val="XREF"/>
      <sheetName val="Tickmarks"/>
      <sheetName val="1124129104"/>
    </sheetNames>
    <sheetDataSet>
      <sheetData sheetId="0"/>
      <sheetData sheetId="1"/>
      <sheetData sheetId="2">
        <row r="1">
          <cell r="A1" t="str">
            <v>Mapa de Movimentação para 31/12/2001</v>
          </cell>
        </row>
      </sheetData>
      <sheetData sheetId="3"/>
      <sheetData sheetId="4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LSUBS"/>
      <sheetName val="ELIM_FINANCEIRA"/>
      <sheetName val="User"/>
      <sheetName val="Dezembro"/>
      <sheetName val="Jan DDI"/>
      <sheetName val="Novembro"/>
      <sheetName val="PS-Consolidation"/>
      <sheetName val="Param"/>
      <sheetName val="PAR"/>
      <sheetName val="CDI"/>
      <sheetName val="Variables"/>
      <sheetName val="N3.2"/>
      <sheetName val="N3.1"/>
      <sheetName val="Sheet3"/>
      <sheetName val="Índices"/>
      <sheetName val="ELIMINAÇÕES"/>
      <sheetName val="Correção"/>
      <sheetName val="Juros79mi"/>
      <sheetName val="COPA"/>
      <sheetName val="APIPIAQ.XLS"/>
      <sheetName val="corsa"/>
      <sheetName val="heavy"/>
      <sheetName val="light"/>
      <sheetName val="medium"/>
      <sheetName val="Ent.Dados"/>
      <sheetName val="Resultado"/>
      <sheetName val="BRESSER"/>
      <sheetName val="VENDAS_P_SUBSIDIÁRIA"/>
      <sheetName val="N"/>
      <sheetName val="gráficos.devolrecup"/>
      <sheetName val="capital"/>
      <sheetName val="pagamentos nacionais"/>
      <sheetName val="gráficos.provrecup"/>
      <sheetName val="Fev Son"/>
      <sheetName val="Sintese de Fluxos de Tesouraria"/>
      <sheetName val="INFO"/>
      <sheetName val="OUT02.REPORT"/>
      <sheetName val="Patrimonial"/>
      <sheetName val="Capa"/>
      <sheetName val="32470000"/>
      <sheetName val="Edo Res"/>
      <sheetName val="DLFSUBS"/>
      <sheetName val="RIS_TECNICHE"/>
      <sheetName val="Plan1"/>
      <sheetName val="3.2. Fluxo Semanal_EMESA"/>
      <sheetName val="3.4. Fluxo Semanal_TMC"/>
      <sheetName val="3.3. Fluxo Semanal_VIGA"/>
      <sheetName val="Tela"/>
      <sheetName val="04_12_05"/>
      <sheetName val="PC"/>
      <sheetName val="BRZ Sell"/>
      <sheetName val="fut_jurosanual"/>
      <sheetName val="fut_juros"/>
      <sheetName val="Swaps"/>
      <sheetName val="fut_dolar"/>
      <sheetName val="APIPIAQ_XLS"/>
      <sheetName val="Jan_DDI"/>
      <sheetName val="N3_2"/>
      <sheetName val="N3_1"/>
      <sheetName val="Ent_Dados"/>
      <sheetName val="Edo_Res"/>
      <sheetName val="OUT02_REPORT"/>
      <sheetName val="gráficos_devolrecup"/>
      <sheetName val="pagamentos_nacionais"/>
      <sheetName val="gráficos_provrecup"/>
      <sheetName val="Fev_Son"/>
      <sheetName val="Sintese_de_Fluxos_de_Tesouraria"/>
      <sheetName val="3_2__Fluxo_Semanal_EMESA"/>
      <sheetName val="3_4__Fluxo_Semanal_TMC"/>
      <sheetName val="3_3__Fluxo_Semanal_VIGA"/>
      <sheetName val="BRZ_Sell"/>
      <sheetName val="Bal311202"/>
      <sheetName val="Virtuales"/>
      <sheetName val="A3 - Balanço junho_setembro2004"/>
      <sheetName val="Check DF"/>
      <sheetName val="A4"/>
      <sheetName val="C"/>
      <sheetName val="C1"/>
      <sheetName val="D"/>
      <sheetName val="E"/>
      <sheetName val="E1"/>
      <sheetName val="E1.1"/>
      <sheetName val="E2"/>
      <sheetName val="E3"/>
      <sheetName val="E3-1"/>
      <sheetName val="F"/>
      <sheetName val="G"/>
      <sheetName val="G1"/>
      <sheetName val="H"/>
      <sheetName val="I"/>
      <sheetName val="J"/>
      <sheetName val="J1"/>
      <sheetName val="K"/>
      <sheetName val="k1"/>
      <sheetName val="L"/>
      <sheetName val="L1"/>
      <sheetName val="L2"/>
      <sheetName val="M"/>
      <sheetName val="M1"/>
      <sheetName val="M1.1"/>
      <sheetName val="M2"/>
      <sheetName val="M3"/>
      <sheetName val="N1"/>
      <sheetName val="N1.1"/>
      <sheetName val="N1.2"/>
      <sheetName val="N1.3"/>
      <sheetName val="N2"/>
      <sheetName val="N2.1"/>
      <sheetName val="P"/>
      <sheetName val="P1.1"/>
      <sheetName val="P1.2"/>
      <sheetName val="P1.3"/>
      <sheetName val="O"/>
      <sheetName val="O1"/>
      <sheetName val="O2"/>
      <sheetName val="Q"/>
      <sheetName val="S"/>
      <sheetName val="T"/>
      <sheetName val="T1-DMPL"/>
      <sheetName val="U"/>
      <sheetName val="U1"/>
      <sheetName val="U2"/>
      <sheetName val="ANEXO I"/>
      <sheetName val="Anexo 3"/>
      <sheetName val="Anexo 4"/>
      <sheetName val="Anexo 5."/>
      <sheetName val="Data"/>
      <sheetName val="preferred"/>
      <sheetName val="Parâmetros"/>
      <sheetName val="SCG"/>
      <sheetName val="MEXICO"/>
      <sheetName val="FF1 - Listagem inicial"/>
      <sheetName val="MAI2000"/>
      <sheetName val="Jan_DDI1"/>
      <sheetName val="APIPIAQ_XLS1"/>
      <sheetName val="N3_21"/>
      <sheetName val="N3_11"/>
      <sheetName val="Ent_Dados1"/>
      <sheetName val="OUT02_REPORT1"/>
      <sheetName val="gráficos_devolrecup1"/>
      <sheetName val="pagamentos_nacionais1"/>
      <sheetName val="gráficos_provrecup1"/>
      <sheetName val="Fev_Son1"/>
      <sheetName val="Sintese_de_Fluxos_de_Tesourari1"/>
      <sheetName val="Edo_Res1"/>
      <sheetName val="BRZ_Sell1"/>
      <sheetName val="3_2__Fluxo_Semanal_EMESA1"/>
      <sheetName val="3_4__Fluxo_Semanal_TMC1"/>
      <sheetName val="3_3__Fluxo_Semanal_VIGA1"/>
      <sheetName val="2008"/>
      <sheetName val="PENDENTES"/>
      <sheetName val="BASE BALSAP"/>
      <sheetName val="Plano de Contas"/>
      <sheetName val="A4.1-BRASFLEX "/>
      <sheetName val="DEPREC"/>
      <sheetName val="Dados"/>
      <sheetName val="Res.Autor.Motivo"/>
      <sheetName val="Res.Devolv.Motivo"/>
      <sheetName val="Plan2"/>
      <sheetName val="CTAS.DE LANÇAMENTO"/>
      <sheetName val="A3_-_Balanço_junho_setembro2004"/>
      <sheetName val="Check_DF"/>
      <sheetName val="E1_1"/>
      <sheetName val="M1_1"/>
      <sheetName val="N1_1"/>
      <sheetName val="N1_2"/>
      <sheetName val="N1_3"/>
      <sheetName val="N2_1"/>
      <sheetName val="P1_1"/>
      <sheetName val="P1_2"/>
      <sheetName val="P1_3"/>
      <sheetName val="ANEXO_I"/>
      <sheetName val="Anexo_3"/>
      <sheetName val="Anexo_4"/>
      <sheetName val="Anexo_5_"/>
      <sheetName val="Receitas x Custos"/>
      <sheetName val="FINANCEI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N4"/>
      <sheetName val="N4.1"/>
      <sheetName val="N4.1.1"/>
      <sheetName val="N4.1.2"/>
      <sheetName val="N4.1.3"/>
      <sheetName val="N4.1.4"/>
      <sheetName val="N4.2"/>
      <sheetName val="Resumo Fatur."/>
      <sheetName val="DFLSUBS"/>
      <sheetName val="Sheet3"/>
      <sheetName val="ed_escrit"/>
      <sheetName val="estac"/>
      <sheetName val="hospital"/>
      <sheetName val="hotel"/>
      <sheetName val="ser_ger"/>
      <sheetName val="urban"/>
    </sheetNames>
    <sheetDataSet>
      <sheetData sheetId="0">
        <row r="2">
          <cell r="A2" t="str">
            <v>A4 - BPSN 2005.xls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A4 - BPSN 2005.xls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dades"/>
      <sheetName val="15 à 19JUL13"/>
      <sheetName val="22 à 26JUL13"/>
      <sheetName val="29JUL à 02AGO13 "/>
      <sheetName val="05 A 09 GO13"/>
      <sheetName val="12 A 16 GO13 "/>
      <sheetName val="19 A 23 GO13  "/>
      <sheetName val="26 A 30 AGO13   "/>
      <sheetName val="02 A 06 SET13 "/>
      <sheetName val="09 A 15 SET13"/>
      <sheetName val="16 A 22 SET13"/>
      <sheetName val="Consolidada Agosto2013"/>
      <sheetName val="Sheet2"/>
      <sheetName val="Indicadores KM"/>
      <sheetName val="Plan2"/>
      <sheetName val="KM BB - AGOSTO 2014"/>
      <sheetName val="Sheet1"/>
      <sheetName val="Indicadores Mark"/>
      <sheetName val="MARK BB -AGOSTO 2014"/>
      <sheetName val="Indicadores KM Bradesco"/>
      <sheetName val="KM Bradesco - AGOSTO 2014"/>
      <sheetName val="Indicadores Mark Bradesco"/>
      <sheetName val="Mark Bradesco - AGOSTO 2014"/>
      <sheetName val="  Indices Consolidado"/>
      <sheetName val="Consolidado Geral"/>
      <sheetName val="Template - Modelo"/>
      <sheetName val="Legenda Pagamentos"/>
      <sheetName val="Legenda Recebimentos"/>
      <sheetName val="Plan1"/>
      <sheetName val="Análise Obras Consolidado"/>
      <sheetName val="Consolidado Obra"/>
      <sheetName val="MARK OBRA CRUZ - BB"/>
      <sheetName val="MARK OBRA ITA - BB"/>
      <sheetName val="MARK OBRA CAMOCIM - BB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Acaraú</v>
          </cell>
        </row>
      </sheetData>
      <sheetData sheetId="29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esp e cni"/>
      <sheetName val="fiesp e cni atuasem"/>
      <sheetName val="1-ind_2-com"/>
      <sheetName val="QII.1relat"/>
      <sheetName val="QII.2relat"/>
      <sheetName val="QII.2atuasem"/>
      <sheetName val="saída atualização - CNI"/>
      <sheetName val="saída atualização - FIESP"/>
      <sheetName val="Saída - Relatório Interno"/>
      <sheetName val="Saída _ Relatório Interno"/>
      <sheetName val="P&amp;L Flash"/>
      <sheetName val="INFO"/>
      <sheetName val="Capa_Menu"/>
      <sheetName val="DIVIDA"/>
      <sheetName val="O2CC"/>
      <sheetName val="FLUXO1"/>
      <sheetName val="Plan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egador"/>
      <sheetName val="Relatório_Resumo"/>
      <sheetName val="Resumo_Marcas"/>
      <sheetName val="Resumo_Tecido_Rep"/>
      <sheetName val="Resumo_Tecido_Rep_Graça"/>
      <sheetName val="Resumo_Fio_Rep"/>
      <sheetName val="Resumo_Fio_Rep_ARG"/>
      <sheetName val="Resumo_Prod"/>
      <sheetName val="Conferência"/>
      <sheetName val="Resumo_Fat"/>
      <sheetName val="BZ_Geral"/>
      <sheetName val="TDs"/>
      <sheetName val="STL"/>
      <sheetName val="Geral_STL"/>
      <sheetName val="PP_STL"/>
      <sheetName val="Análise_pçs_STL"/>
      <sheetName val="Análise_STL"/>
      <sheetName val="SMT"/>
      <sheetName val="Geral_SMT"/>
      <sheetName val="PP_SMT"/>
      <sheetName val="Análise_pçs_SMT"/>
      <sheetName val="Análise_SMT"/>
      <sheetName val="NTX"/>
      <sheetName val="Geral_NTX"/>
      <sheetName val="PP_NTX"/>
      <sheetName val="Análise_pçs_NTX"/>
      <sheetName val="Análise_NTX"/>
      <sheetName val="JRG"/>
      <sheetName val="Geral_JRG"/>
      <sheetName val="PP_JRG"/>
      <sheetName val="Análise_pçs_JRG"/>
      <sheetName val="Análise_JRG"/>
      <sheetName val="STC"/>
      <sheetName val="Geral_STC"/>
      <sheetName val="PP_STC"/>
      <sheetName val="Análise_pçs_STC"/>
      <sheetName val="Análise_STC"/>
      <sheetName val="Resumo_Diá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7">
          <cell r="C7" t="str">
            <v>STLSANTANA1a Qualidade</v>
          </cell>
          <cell r="AC7">
            <v>420</v>
          </cell>
          <cell r="AE7">
            <v>2709</v>
          </cell>
        </row>
        <row r="8">
          <cell r="C8" t="str">
            <v>STLSANTANA1a Qualidade</v>
          </cell>
          <cell r="AC8">
            <v>97.2</v>
          </cell>
          <cell r="AE8">
            <v>546.26400000000001</v>
          </cell>
        </row>
        <row r="9">
          <cell r="C9" t="str">
            <v>STLLOCO1a Qualidade</v>
          </cell>
          <cell r="AC9">
            <v>134.69999999999999</v>
          </cell>
          <cell r="AE9">
            <v>1026.414</v>
          </cell>
        </row>
        <row r="10">
          <cell r="C10" t="str">
            <v>STLSANTANA1a Qualidade</v>
          </cell>
          <cell r="AC10">
            <v>280</v>
          </cell>
          <cell r="AE10">
            <v>1971.2</v>
          </cell>
        </row>
        <row r="11">
          <cell r="C11" t="str">
            <v>STLSANTANA1a Qualidade</v>
          </cell>
          <cell r="AC11">
            <v>772.4</v>
          </cell>
          <cell r="AE11">
            <v>4634.3999999999996</v>
          </cell>
        </row>
        <row r="12">
          <cell r="C12" t="str">
            <v>STLSANTANA1a Qualidade</v>
          </cell>
          <cell r="AC12">
            <v>221.4</v>
          </cell>
          <cell r="AE12">
            <v>1328.4</v>
          </cell>
        </row>
        <row r="13">
          <cell r="C13" t="str">
            <v>STLSANTANA1a Qualidade</v>
          </cell>
          <cell r="AC13">
            <v>541.20000000000005</v>
          </cell>
          <cell r="AE13">
            <v>3247.2</v>
          </cell>
        </row>
        <row r="14">
          <cell r="C14" t="str">
            <v>STLSANTANA1a Qualidade</v>
          </cell>
          <cell r="AC14">
            <v>501.9</v>
          </cell>
          <cell r="AE14">
            <v>3011.4</v>
          </cell>
        </row>
        <row r="15">
          <cell r="C15" t="str">
            <v>STLLOCO1a Qualidade</v>
          </cell>
          <cell r="AC15">
            <v>700</v>
          </cell>
          <cell r="AE15">
            <v>4690</v>
          </cell>
        </row>
        <row r="16">
          <cell r="C16" t="str">
            <v>STLSANTANA1a Qualidade</v>
          </cell>
          <cell r="AC16">
            <v>2030.9</v>
          </cell>
          <cell r="AE16">
            <v>11982.31</v>
          </cell>
        </row>
        <row r="17">
          <cell r="C17" t="str">
            <v>STLLOCO1a Qualidade</v>
          </cell>
          <cell r="AC17">
            <v>2383.3000000000002</v>
          </cell>
          <cell r="AE17">
            <v>16206.44</v>
          </cell>
        </row>
        <row r="18">
          <cell r="C18" t="str">
            <v>STLLOCO1a Qualidade</v>
          </cell>
          <cell r="AC18">
            <v>4000.2</v>
          </cell>
          <cell r="AE18">
            <v>31601.58</v>
          </cell>
        </row>
        <row r="19">
          <cell r="C19" t="str">
            <v>STLLOCO1a Qualidade</v>
          </cell>
          <cell r="AC19">
            <v>2192.1</v>
          </cell>
          <cell r="AE19">
            <v>19400.084999999999</v>
          </cell>
        </row>
        <row r="20">
          <cell r="C20" t="str">
            <v>STLLOCO1a Qualidade</v>
          </cell>
          <cell r="AC20">
            <v>2103.6</v>
          </cell>
          <cell r="AE20">
            <v>15103.847999999998</v>
          </cell>
        </row>
        <row r="21">
          <cell r="C21" t="str">
            <v>STLLOCO1a Qualidade</v>
          </cell>
          <cell r="AC21">
            <v>997</v>
          </cell>
          <cell r="AE21">
            <v>6959.06</v>
          </cell>
        </row>
        <row r="22">
          <cell r="C22" t="str">
            <v>STLSANTANA1a Qualidade</v>
          </cell>
          <cell r="AC22">
            <v>134</v>
          </cell>
          <cell r="AE22">
            <v>924.6</v>
          </cell>
        </row>
        <row r="23">
          <cell r="C23" t="str">
            <v>STLSANTANA1a Qualidade</v>
          </cell>
          <cell r="AC23">
            <v>452.8</v>
          </cell>
          <cell r="AE23">
            <v>3187.712</v>
          </cell>
        </row>
        <row r="24">
          <cell r="C24" t="str">
            <v>STLSANTANA1a Qualidade</v>
          </cell>
          <cell r="AC24">
            <v>526</v>
          </cell>
          <cell r="AE24">
            <v>2893</v>
          </cell>
        </row>
        <row r="25">
          <cell r="C25" t="str">
            <v>STLSANTANA1a Qualidade</v>
          </cell>
          <cell r="AC25">
            <v>130</v>
          </cell>
          <cell r="AE25">
            <v>715</v>
          </cell>
        </row>
        <row r="26">
          <cell r="C26" t="str">
            <v>STLLOCO1a Qualidade</v>
          </cell>
          <cell r="AC26">
            <v>4358.3999999999996</v>
          </cell>
          <cell r="AE26">
            <v>34867.199999999997</v>
          </cell>
        </row>
        <row r="27">
          <cell r="C27" t="str">
            <v>STLRETALHORetalho</v>
          </cell>
          <cell r="AC27">
            <v>401.49111833875406</v>
          </cell>
          <cell r="AE27">
            <v>802.38</v>
          </cell>
        </row>
        <row r="28">
          <cell r="C28" t="str">
            <v>STLRETALHORetalho</v>
          </cell>
          <cell r="AC28">
            <v>183.62521891418567</v>
          </cell>
          <cell r="AE28">
            <v>314.55</v>
          </cell>
        </row>
        <row r="29">
          <cell r="C29" t="str">
            <v>STLLOCO1a Qualidade</v>
          </cell>
          <cell r="AC29">
            <v>936.9</v>
          </cell>
          <cell r="AE29">
            <v>6558.3</v>
          </cell>
        </row>
        <row r="30">
          <cell r="C30" t="str">
            <v>STLLOCO1a Qualidade</v>
          </cell>
          <cell r="AC30">
            <v>841</v>
          </cell>
          <cell r="AE30">
            <v>6307.5</v>
          </cell>
        </row>
        <row r="31">
          <cell r="C31" t="str">
            <v>STLSANTANA1a Qualidade</v>
          </cell>
          <cell r="AC31">
            <v>500</v>
          </cell>
          <cell r="AE31">
            <v>2850</v>
          </cell>
        </row>
        <row r="32">
          <cell r="C32" t="str">
            <v>STLSANTANA1a Qualidade</v>
          </cell>
          <cell r="AC32">
            <v>3054.4</v>
          </cell>
          <cell r="AE32">
            <v>18326.400000000001</v>
          </cell>
        </row>
        <row r="33">
          <cell r="C33" t="str">
            <v>STLSANTANA1a Qualidade</v>
          </cell>
          <cell r="AC33">
            <v>600</v>
          </cell>
          <cell r="AE33">
            <v>3600</v>
          </cell>
        </row>
        <row r="34">
          <cell r="C34" t="str">
            <v>STLSANTANA1a Qualidade</v>
          </cell>
          <cell r="AC34">
            <v>280</v>
          </cell>
          <cell r="AE34">
            <v>1680</v>
          </cell>
        </row>
        <row r="35">
          <cell r="C35" t="str">
            <v>STLSANTANA1a Qualidade</v>
          </cell>
          <cell r="AC35">
            <v>583.5</v>
          </cell>
          <cell r="AE35">
            <v>3734.4</v>
          </cell>
        </row>
        <row r="36">
          <cell r="C36" t="str">
            <v>STLSANTANA1a Qualidade</v>
          </cell>
          <cell r="AC36">
            <v>1045</v>
          </cell>
          <cell r="AE36">
            <v>7210.5</v>
          </cell>
        </row>
        <row r="37">
          <cell r="C37" t="str">
            <v>STLSANTANA1a Qualidade</v>
          </cell>
          <cell r="AC37">
            <v>2126.8000000000002</v>
          </cell>
          <cell r="AE37">
            <v>13739.128000000001</v>
          </cell>
        </row>
        <row r="38">
          <cell r="C38" t="str">
            <v>STLLOCO1a Qualidade</v>
          </cell>
          <cell r="AC38">
            <v>1547.2</v>
          </cell>
          <cell r="AE38">
            <v>13151.2</v>
          </cell>
        </row>
        <row r="39">
          <cell r="C39" t="str">
            <v>STLLOCO1a Qualidade</v>
          </cell>
          <cell r="AC39">
            <v>1573.2</v>
          </cell>
          <cell r="AE39">
            <v>10855.08</v>
          </cell>
        </row>
        <row r="40">
          <cell r="C40" t="str">
            <v>STLSANTANA1a Qualidade</v>
          </cell>
          <cell r="AC40">
            <v>2093.9</v>
          </cell>
          <cell r="AE40">
            <v>14238.52</v>
          </cell>
        </row>
        <row r="41">
          <cell r="C41" t="str">
            <v>STLSANTANA1a Qualidade</v>
          </cell>
          <cell r="AC41">
            <v>1032</v>
          </cell>
          <cell r="AE41">
            <v>6708</v>
          </cell>
        </row>
        <row r="42">
          <cell r="C42" t="str">
            <v>STLSANTANA1a Qualidade</v>
          </cell>
          <cell r="AC42">
            <v>843.9</v>
          </cell>
          <cell r="AE42">
            <v>5063.3999999999996</v>
          </cell>
        </row>
        <row r="43">
          <cell r="C43" t="str">
            <v>STLLOCO1a Qualidade</v>
          </cell>
          <cell r="AC43">
            <v>472.7</v>
          </cell>
          <cell r="AE43">
            <v>3167.09</v>
          </cell>
        </row>
        <row r="44">
          <cell r="C44" t="str">
            <v>STLSANTANA1a Qualidade</v>
          </cell>
          <cell r="AC44">
            <v>418.4</v>
          </cell>
          <cell r="AE44">
            <v>2912.0639999999999</v>
          </cell>
        </row>
        <row r="45">
          <cell r="C45" t="str">
            <v>STLSANTANA1a Qualidade</v>
          </cell>
          <cell r="AC45">
            <v>446.5</v>
          </cell>
          <cell r="AE45">
            <v>2960.2950000000001</v>
          </cell>
        </row>
        <row r="46">
          <cell r="C46" t="str">
            <v>STLSANTANA1a Qualidade</v>
          </cell>
          <cell r="AC46">
            <v>100</v>
          </cell>
          <cell r="AE46">
            <v>550</v>
          </cell>
        </row>
        <row r="47">
          <cell r="C47" t="str">
            <v>STLSANTANA1a Qualidade</v>
          </cell>
          <cell r="AC47">
            <v>137.5</v>
          </cell>
          <cell r="AE47">
            <v>825</v>
          </cell>
        </row>
        <row r="48">
          <cell r="C48" t="str">
            <v>STLSANTANA1a Qualidade</v>
          </cell>
          <cell r="AC48">
            <v>128</v>
          </cell>
          <cell r="AE48">
            <v>729.6</v>
          </cell>
        </row>
        <row r="49">
          <cell r="C49" t="str">
            <v>STLLOCO1a Qualidade</v>
          </cell>
          <cell r="AC49">
            <v>130</v>
          </cell>
          <cell r="AE49">
            <v>975</v>
          </cell>
        </row>
        <row r="50">
          <cell r="C50" t="str">
            <v>STLSANTANA1a Qualidade</v>
          </cell>
          <cell r="AC50">
            <v>130.19999999999999</v>
          </cell>
          <cell r="AE50">
            <v>846.3</v>
          </cell>
        </row>
        <row r="51">
          <cell r="C51" t="str">
            <v>STLSANTANA1a Qualidade</v>
          </cell>
          <cell r="AC51">
            <v>504</v>
          </cell>
          <cell r="AE51">
            <v>3124.8</v>
          </cell>
        </row>
        <row r="52">
          <cell r="C52" t="str">
            <v>STLSANTANA1a Qualidade</v>
          </cell>
          <cell r="AC52">
            <v>500</v>
          </cell>
          <cell r="AE52">
            <v>3130</v>
          </cell>
        </row>
        <row r="53">
          <cell r="C53" t="str">
            <v>STLSANTANA1a Qualidade</v>
          </cell>
          <cell r="AC53">
            <v>280</v>
          </cell>
          <cell r="AE53">
            <v>1752.8</v>
          </cell>
        </row>
        <row r="54">
          <cell r="C54" t="str">
            <v>STLSANTANA1a Qualidade</v>
          </cell>
          <cell r="AC54">
            <v>219.1</v>
          </cell>
          <cell r="AE54">
            <v>1371.566</v>
          </cell>
        </row>
        <row r="55">
          <cell r="C55" t="str">
            <v>STLSANTANA1a Qualidade</v>
          </cell>
          <cell r="AC55">
            <v>506</v>
          </cell>
          <cell r="AE55">
            <v>3516.7</v>
          </cell>
        </row>
        <row r="56">
          <cell r="C56" t="str">
            <v>STLLOCO1a Qualidade</v>
          </cell>
          <cell r="AC56">
            <v>539.6</v>
          </cell>
          <cell r="AE56">
            <v>3895.9119999999998</v>
          </cell>
        </row>
        <row r="57">
          <cell r="C57" t="str">
            <v>STLSANTANA1a Qualidade</v>
          </cell>
          <cell r="AC57">
            <v>506</v>
          </cell>
          <cell r="AE57">
            <v>3385.14</v>
          </cell>
        </row>
        <row r="58">
          <cell r="C58" t="str">
            <v>STLSANTANA1a Qualidade</v>
          </cell>
          <cell r="AC58">
            <v>528</v>
          </cell>
          <cell r="AE58">
            <v>3532.32</v>
          </cell>
        </row>
        <row r="59">
          <cell r="C59" t="str">
            <v>STLLOCO1a Qualidade</v>
          </cell>
          <cell r="AC59">
            <v>3896.4</v>
          </cell>
          <cell r="AE59">
            <v>33976.608</v>
          </cell>
        </row>
        <row r="60">
          <cell r="C60" t="str">
            <v>STLBRIM1a Qualidade</v>
          </cell>
          <cell r="AC60">
            <v>77.5</v>
          </cell>
          <cell r="AE60">
            <v>384.4</v>
          </cell>
        </row>
        <row r="61">
          <cell r="C61" t="str">
            <v>STLBEM1a Qualidade</v>
          </cell>
          <cell r="AC61">
            <v>280</v>
          </cell>
          <cell r="AE61">
            <v>2492</v>
          </cell>
        </row>
        <row r="62">
          <cell r="C62" t="str">
            <v>STLLOCO1a Qualidade</v>
          </cell>
          <cell r="AC62">
            <v>257</v>
          </cell>
          <cell r="AE62">
            <v>1721.9</v>
          </cell>
        </row>
        <row r="63">
          <cell r="C63" t="str">
            <v>STLLOCO1a Qualidade</v>
          </cell>
          <cell r="AC63">
            <v>246</v>
          </cell>
          <cell r="AE63">
            <v>1648.2</v>
          </cell>
        </row>
        <row r="64">
          <cell r="C64" t="str">
            <v>STLLOCO1a Qualidade</v>
          </cell>
          <cell r="AC64">
            <v>135.5</v>
          </cell>
          <cell r="AE64">
            <v>934.95</v>
          </cell>
        </row>
        <row r="65">
          <cell r="C65" t="str">
            <v>STLSANTANA1a Qualidade</v>
          </cell>
          <cell r="AC65">
            <v>1049.7</v>
          </cell>
          <cell r="AE65">
            <v>6298.2</v>
          </cell>
        </row>
        <row r="66">
          <cell r="C66" t="str">
            <v>STLLOCO1a Qualidade</v>
          </cell>
          <cell r="AC66">
            <v>29</v>
          </cell>
          <cell r="AE66">
            <v>226.78</v>
          </cell>
        </row>
        <row r="67">
          <cell r="C67" t="str">
            <v>STLSANTANA1a Qualidade</v>
          </cell>
          <cell r="AC67">
            <v>10697.1</v>
          </cell>
          <cell r="AE67">
            <v>64182.6</v>
          </cell>
        </row>
        <row r="68">
          <cell r="C68" t="str">
            <v>STLSANTANA1a Qualidade</v>
          </cell>
          <cell r="AC68">
            <v>720</v>
          </cell>
          <cell r="AE68">
            <v>4752</v>
          </cell>
        </row>
        <row r="69">
          <cell r="C69" t="str">
            <v>STLSANTANA1a Qualidade</v>
          </cell>
          <cell r="AC69">
            <v>314</v>
          </cell>
          <cell r="AE69">
            <v>2135.1999999999998</v>
          </cell>
        </row>
        <row r="70">
          <cell r="C70" t="str">
            <v>STLSANTANA1a Qualidade</v>
          </cell>
          <cell r="AC70">
            <v>5</v>
          </cell>
          <cell r="AE70">
            <v>30.1</v>
          </cell>
        </row>
        <row r="71">
          <cell r="C71" t="str">
            <v>STLLOCO1a Qualidade</v>
          </cell>
          <cell r="AC71">
            <v>1263.5</v>
          </cell>
          <cell r="AE71">
            <v>9981.65</v>
          </cell>
        </row>
        <row r="72">
          <cell r="C72" t="str">
            <v>STLSANTANA1a Qualidade</v>
          </cell>
          <cell r="AC72">
            <v>1075.0999999999999</v>
          </cell>
          <cell r="AE72">
            <v>6450.6</v>
          </cell>
        </row>
        <row r="73">
          <cell r="C73" t="str">
            <v>STLSANTANA1a Qualidade</v>
          </cell>
          <cell r="AC73">
            <v>323.3</v>
          </cell>
          <cell r="AE73">
            <v>1939.8</v>
          </cell>
        </row>
        <row r="74">
          <cell r="C74" t="str">
            <v>STLSANTANA1a Qualidade</v>
          </cell>
          <cell r="AC74">
            <v>418</v>
          </cell>
          <cell r="AE74">
            <v>2508</v>
          </cell>
        </row>
        <row r="75">
          <cell r="C75" t="str">
            <v>STLSANTANA1a Qualidade</v>
          </cell>
          <cell r="AC75">
            <v>220</v>
          </cell>
          <cell r="AE75">
            <v>1320</v>
          </cell>
        </row>
        <row r="76">
          <cell r="C76" t="str">
            <v>STLSANTANA1a Qualidade</v>
          </cell>
          <cell r="AC76">
            <v>1011.1</v>
          </cell>
          <cell r="AE76">
            <v>6602.4830000000002</v>
          </cell>
        </row>
        <row r="77">
          <cell r="C77" t="str">
            <v>STLSANTANA1a Qualidade</v>
          </cell>
          <cell r="AC77">
            <v>520.29999999999995</v>
          </cell>
          <cell r="AE77">
            <v>2965.71</v>
          </cell>
        </row>
        <row r="78">
          <cell r="C78" t="str">
            <v>STLSANTANA1a Qualidade</v>
          </cell>
          <cell r="AC78">
            <v>140</v>
          </cell>
          <cell r="AE78">
            <v>890.4</v>
          </cell>
        </row>
        <row r="79">
          <cell r="C79" t="str">
            <v>STLSANTANA1a Qualidade</v>
          </cell>
          <cell r="AC79">
            <v>140.19999999999999</v>
          </cell>
          <cell r="AE79">
            <v>926.72199999999998</v>
          </cell>
        </row>
        <row r="80">
          <cell r="C80" t="str">
            <v>STLSANTANA1a Qualidade</v>
          </cell>
          <cell r="AC80">
            <v>131</v>
          </cell>
          <cell r="AE80">
            <v>865.91</v>
          </cell>
        </row>
        <row r="81">
          <cell r="C81" t="str">
            <v>STLLOCO1a Qualidade</v>
          </cell>
          <cell r="AC81">
            <v>130.19999999999999</v>
          </cell>
          <cell r="AE81">
            <v>986.91599999999994</v>
          </cell>
        </row>
        <row r="82">
          <cell r="C82" t="str">
            <v>STLLOCO1a Qualidade</v>
          </cell>
          <cell r="AC82">
            <v>140</v>
          </cell>
          <cell r="AE82">
            <v>1010.8</v>
          </cell>
        </row>
        <row r="83">
          <cell r="C83" t="str">
            <v>STLSANTANA1a Qualidade</v>
          </cell>
          <cell r="AC83">
            <v>120</v>
          </cell>
          <cell r="AE83">
            <v>778.8</v>
          </cell>
        </row>
        <row r="84">
          <cell r="C84" t="str">
            <v>STLSANTANA1a Qualidade</v>
          </cell>
          <cell r="AC84">
            <v>130</v>
          </cell>
          <cell r="AE84">
            <v>791.7</v>
          </cell>
        </row>
        <row r="85">
          <cell r="C85" t="str">
            <v>STLLOCO1a Qualidade</v>
          </cell>
          <cell r="AC85">
            <v>120</v>
          </cell>
          <cell r="AE85">
            <v>876</v>
          </cell>
        </row>
        <row r="86">
          <cell r="C86" t="str">
            <v>STLSANTANA1a Qualidade</v>
          </cell>
          <cell r="AC86">
            <v>101</v>
          </cell>
          <cell r="AE86">
            <v>766.59</v>
          </cell>
        </row>
        <row r="87">
          <cell r="C87" t="str">
            <v>STLLOCO1a Qualidade</v>
          </cell>
          <cell r="AC87">
            <v>1257</v>
          </cell>
          <cell r="AE87">
            <v>8296.2000000000007</v>
          </cell>
        </row>
        <row r="88">
          <cell r="C88" t="str">
            <v>STLSANTANA1a Qualidade</v>
          </cell>
          <cell r="AC88">
            <v>560</v>
          </cell>
          <cell r="AE88">
            <v>3360</v>
          </cell>
        </row>
        <row r="89">
          <cell r="C89" t="str">
            <v>STLSANTANA1a Qualidade</v>
          </cell>
          <cell r="AC89">
            <v>1037.0999999999999</v>
          </cell>
          <cell r="AE89">
            <v>6595.9560000000001</v>
          </cell>
        </row>
        <row r="90">
          <cell r="C90" t="str">
            <v>STLSANTANA1a Qualidade</v>
          </cell>
          <cell r="AC90">
            <v>1048.9000000000001</v>
          </cell>
          <cell r="AE90">
            <v>6933.2290000000012</v>
          </cell>
        </row>
        <row r="91">
          <cell r="C91" t="str">
            <v>STLSANTANA1a Qualidade</v>
          </cell>
          <cell r="AC91">
            <v>3017.2</v>
          </cell>
          <cell r="AE91">
            <v>18706.64</v>
          </cell>
        </row>
        <row r="92">
          <cell r="C92" t="str">
            <v>STLSANTANA1a Qualidade</v>
          </cell>
          <cell r="AC92">
            <v>764.2</v>
          </cell>
          <cell r="AE92">
            <v>3821</v>
          </cell>
        </row>
        <row r="93">
          <cell r="C93" t="str">
            <v>STLSANTANA1a Qualidade</v>
          </cell>
          <cell r="AC93">
            <v>300.3</v>
          </cell>
          <cell r="AE93">
            <v>1501.5</v>
          </cell>
        </row>
        <row r="94">
          <cell r="C94" t="str">
            <v>STLBEM1a Qualidade</v>
          </cell>
          <cell r="AC94">
            <v>109.3</v>
          </cell>
          <cell r="AE94">
            <v>929.05</v>
          </cell>
        </row>
        <row r="95">
          <cell r="C95" t="str">
            <v>STLSANTANA1a Qualidade</v>
          </cell>
          <cell r="AC95">
            <v>3151</v>
          </cell>
          <cell r="AE95">
            <v>17960.7</v>
          </cell>
        </row>
        <row r="96">
          <cell r="C96" t="str">
            <v>STLLOCO1a Qualidade</v>
          </cell>
          <cell r="AC96">
            <v>81.3</v>
          </cell>
          <cell r="AE96">
            <v>572.35199999999998</v>
          </cell>
        </row>
        <row r="97">
          <cell r="C97" t="str">
            <v>STLSANTANA1a Qualidade</v>
          </cell>
          <cell r="AC97">
            <v>141.5</v>
          </cell>
          <cell r="AE97">
            <v>923.995</v>
          </cell>
        </row>
        <row r="98">
          <cell r="C98" t="str">
            <v>STLLOCO1a Qualidade</v>
          </cell>
          <cell r="AC98">
            <v>86.5</v>
          </cell>
          <cell r="AE98">
            <v>697.19</v>
          </cell>
        </row>
        <row r="99">
          <cell r="C99" t="str">
            <v>STLSANTANA1a Qualidade</v>
          </cell>
          <cell r="AC99">
            <v>191.4</v>
          </cell>
          <cell r="AE99">
            <v>1347.4560000000001</v>
          </cell>
        </row>
        <row r="100">
          <cell r="C100" t="str">
            <v>STLSANTANA1a Qualidade</v>
          </cell>
          <cell r="AC100">
            <v>407.2</v>
          </cell>
          <cell r="AE100">
            <v>2659.0160000000001</v>
          </cell>
        </row>
        <row r="101">
          <cell r="C101" t="str">
            <v>STLLOCO1a Qualidade</v>
          </cell>
          <cell r="AC101">
            <v>108</v>
          </cell>
          <cell r="AE101">
            <v>1035.72</v>
          </cell>
        </row>
        <row r="102">
          <cell r="C102" t="str">
            <v>STLLOCO1a Qualidade</v>
          </cell>
          <cell r="AC102">
            <v>110</v>
          </cell>
          <cell r="AE102">
            <v>998.8</v>
          </cell>
        </row>
        <row r="103">
          <cell r="C103" t="str">
            <v>STLLOCO1a Qualidade</v>
          </cell>
          <cell r="AC103">
            <v>96.6</v>
          </cell>
          <cell r="AE103">
            <v>827.86199999999997</v>
          </cell>
        </row>
        <row r="104">
          <cell r="C104" t="str">
            <v>STLLOCO1a Qualidade</v>
          </cell>
          <cell r="AC104">
            <v>99.5</v>
          </cell>
          <cell r="AE104">
            <v>852.71500000000003</v>
          </cell>
        </row>
        <row r="105">
          <cell r="C105" t="str">
            <v>STLLOCO1a Qualidade</v>
          </cell>
          <cell r="AC105">
            <v>120</v>
          </cell>
          <cell r="AE105">
            <v>1150.8</v>
          </cell>
        </row>
        <row r="106">
          <cell r="C106" t="str">
            <v>STLSANTANA1a Qualidade</v>
          </cell>
          <cell r="AC106">
            <v>1015</v>
          </cell>
          <cell r="AE106">
            <v>6090</v>
          </cell>
        </row>
        <row r="107">
          <cell r="C107" t="str">
            <v>STLSANTANA1a Qualidade</v>
          </cell>
          <cell r="AC107">
            <v>543.4</v>
          </cell>
          <cell r="AE107">
            <v>3206.06</v>
          </cell>
        </row>
        <row r="108">
          <cell r="C108" t="str">
            <v>STLSANTANA1a Qualidade</v>
          </cell>
          <cell r="AC108">
            <v>338.6</v>
          </cell>
          <cell r="AE108">
            <v>2200.9</v>
          </cell>
        </row>
        <row r="109">
          <cell r="C109" t="str">
            <v>STLSANTANA1a Qualidade</v>
          </cell>
          <cell r="AC109">
            <v>849.5</v>
          </cell>
          <cell r="AE109">
            <v>5776.6</v>
          </cell>
        </row>
        <row r="110">
          <cell r="C110" t="str">
            <v>STLSANTANA1a Qualidade</v>
          </cell>
          <cell r="AC110">
            <v>525</v>
          </cell>
          <cell r="AE110">
            <v>3150</v>
          </cell>
        </row>
        <row r="111">
          <cell r="C111" t="str">
            <v>STLLOCO1a Qualidade</v>
          </cell>
          <cell r="AC111">
            <v>233.7</v>
          </cell>
          <cell r="AE111">
            <v>1986.45</v>
          </cell>
        </row>
        <row r="112">
          <cell r="C112" t="str">
            <v>STLSANTANA1a Qualidade</v>
          </cell>
          <cell r="AC112">
            <v>99</v>
          </cell>
          <cell r="AE112">
            <v>725.67</v>
          </cell>
        </row>
        <row r="113">
          <cell r="C113" t="str">
            <v>STLSANTANA1a Qualidade</v>
          </cell>
          <cell r="AC113">
            <v>102</v>
          </cell>
          <cell r="AE113">
            <v>652.79999999999995</v>
          </cell>
        </row>
        <row r="114">
          <cell r="C114" t="str">
            <v>STLLOCO1a Qualidade</v>
          </cell>
          <cell r="AC114">
            <v>144.5</v>
          </cell>
          <cell r="AE114">
            <v>1147.33</v>
          </cell>
        </row>
        <row r="115">
          <cell r="C115" t="str">
            <v>STLLOCO1a Qualidade</v>
          </cell>
          <cell r="AC115">
            <v>110.9</v>
          </cell>
          <cell r="AE115">
            <v>1006.9720000000001</v>
          </cell>
        </row>
        <row r="116">
          <cell r="C116" t="str">
            <v>STLSANTANA1a Qualidade</v>
          </cell>
          <cell r="AC116">
            <v>100</v>
          </cell>
          <cell r="AE116">
            <v>691</v>
          </cell>
        </row>
        <row r="117">
          <cell r="C117" t="str">
            <v>STLBRIM1a Qualidade</v>
          </cell>
          <cell r="AC117">
            <v>200</v>
          </cell>
          <cell r="AE117">
            <v>510</v>
          </cell>
        </row>
        <row r="118">
          <cell r="C118" t="str">
            <v>STLSANTANA1a Qualidade</v>
          </cell>
          <cell r="AC118">
            <v>361.7</v>
          </cell>
          <cell r="AE118">
            <v>2170.1999999999998</v>
          </cell>
        </row>
        <row r="119">
          <cell r="C119" t="str">
            <v>STLSANTANA1a Qualidade</v>
          </cell>
          <cell r="AC119">
            <v>209</v>
          </cell>
          <cell r="AE119">
            <v>1254</v>
          </cell>
        </row>
        <row r="120">
          <cell r="C120" t="str">
            <v>STLLOCO1a Qualidade</v>
          </cell>
          <cell r="AC120">
            <v>246.1</v>
          </cell>
          <cell r="AE120">
            <v>1722.7</v>
          </cell>
        </row>
        <row r="121">
          <cell r="C121" t="str">
            <v>STLSANTANA1a Qualidade</v>
          </cell>
          <cell r="AC121">
            <v>600.20000000000005</v>
          </cell>
          <cell r="AE121">
            <v>3541.18</v>
          </cell>
        </row>
        <row r="122">
          <cell r="C122" t="str">
            <v>STLSANTANA1a Qualidade</v>
          </cell>
          <cell r="AC122">
            <v>1014.5</v>
          </cell>
          <cell r="AE122">
            <v>5782.65</v>
          </cell>
        </row>
        <row r="123">
          <cell r="C123" t="str">
            <v>STLLOCO1a Qualidade</v>
          </cell>
          <cell r="AC123">
            <v>260</v>
          </cell>
          <cell r="AE123">
            <v>2314</v>
          </cell>
        </row>
        <row r="124">
          <cell r="C124" t="str">
            <v>STLSANTANA1a Qualidade</v>
          </cell>
          <cell r="AC124">
            <v>1260</v>
          </cell>
          <cell r="AE124">
            <v>7560</v>
          </cell>
        </row>
        <row r="125">
          <cell r="C125" t="str">
            <v>STLSANTANA1a Qualidade</v>
          </cell>
          <cell r="AC125">
            <v>520.29999999999995</v>
          </cell>
          <cell r="AE125">
            <v>3329.92</v>
          </cell>
        </row>
        <row r="126">
          <cell r="C126" t="str">
            <v>STLSANTANA1a Qualidade</v>
          </cell>
          <cell r="AC126">
            <v>527.29999999999995</v>
          </cell>
          <cell r="AE126">
            <v>3480.18</v>
          </cell>
        </row>
        <row r="127">
          <cell r="C127" t="str">
            <v>STLSANTANA1a Qualidade</v>
          </cell>
          <cell r="AC127">
            <v>406.1</v>
          </cell>
          <cell r="AE127">
            <v>2599.04</v>
          </cell>
        </row>
        <row r="128">
          <cell r="C128" t="str">
            <v>STLSANTANA1a Qualidade</v>
          </cell>
          <cell r="AC128">
            <v>524.5</v>
          </cell>
          <cell r="AE128">
            <v>3147</v>
          </cell>
        </row>
        <row r="129">
          <cell r="C129" t="str">
            <v>STLSANTANA1a Qualidade</v>
          </cell>
          <cell r="AC129">
            <v>1033</v>
          </cell>
          <cell r="AE129">
            <v>5660.84</v>
          </cell>
        </row>
        <row r="130">
          <cell r="C130" t="str">
            <v>STLSANTANA1a Qualidade</v>
          </cell>
          <cell r="AC130">
            <v>320</v>
          </cell>
          <cell r="AE130">
            <v>2099.1999999999998</v>
          </cell>
        </row>
        <row r="131">
          <cell r="C131" t="str">
            <v>STLSANTANA1a Qualidade</v>
          </cell>
          <cell r="AC131">
            <v>520</v>
          </cell>
          <cell r="AE131">
            <v>3432</v>
          </cell>
        </row>
        <row r="132">
          <cell r="C132" t="str">
            <v>STLSANTANA1a Qualidade</v>
          </cell>
          <cell r="AC132">
            <v>560</v>
          </cell>
          <cell r="AE132">
            <v>3696</v>
          </cell>
        </row>
        <row r="133">
          <cell r="C133" t="str">
            <v>STLSANTANA1a Qualidade</v>
          </cell>
          <cell r="AC133">
            <v>5038</v>
          </cell>
          <cell r="AE133">
            <v>30228</v>
          </cell>
        </row>
        <row r="134">
          <cell r="C134" t="str">
            <v>STLSANTANA1a Qualidade</v>
          </cell>
          <cell r="AC134">
            <v>1575.4</v>
          </cell>
          <cell r="AE134">
            <v>10019.544000000002</v>
          </cell>
        </row>
        <row r="135">
          <cell r="C135" t="str">
            <v>STLBRIM1a Qualidade</v>
          </cell>
          <cell r="AC135">
            <v>307.5</v>
          </cell>
          <cell r="AE135">
            <v>1765.05</v>
          </cell>
        </row>
        <row r="136">
          <cell r="C136" t="str">
            <v>STLSANTANA1a Qualidade</v>
          </cell>
          <cell r="AC136">
            <v>520.5</v>
          </cell>
          <cell r="AE136">
            <v>3123</v>
          </cell>
        </row>
        <row r="137">
          <cell r="C137" t="str">
            <v>STLLOCO1a Qualidade</v>
          </cell>
          <cell r="AC137">
            <v>2144.6</v>
          </cell>
          <cell r="AE137">
            <v>14969.308000000001</v>
          </cell>
        </row>
        <row r="138">
          <cell r="C138" t="str">
            <v>STLSANTANA1a Qualidade</v>
          </cell>
          <cell r="AC138">
            <v>1023.5</v>
          </cell>
          <cell r="AE138">
            <v>5833.95</v>
          </cell>
        </row>
        <row r="139">
          <cell r="C139" t="str">
            <v>STLSANTANA2a Qualidade</v>
          </cell>
          <cell r="AC139">
            <v>105.2</v>
          </cell>
          <cell r="AE139">
            <v>523.89600000000007</v>
          </cell>
        </row>
        <row r="140">
          <cell r="C140" t="str">
            <v>STLSANTANA1a Qualidade</v>
          </cell>
          <cell r="AC140">
            <v>517.5</v>
          </cell>
          <cell r="AE140">
            <v>3208.5</v>
          </cell>
        </row>
        <row r="141">
          <cell r="C141" t="str">
            <v>STLBRIM1a Qualidade</v>
          </cell>
          <cell r="AC141">
            <v>200</v>
          </cell>
          <cell r="AE141">
            <v>510</v>
          </cell>
        </row>
        <row r="142">
          <cell r="C142" t="str">
            <v>STLSANTANA1a Qualidade</v>
          </cell>
          <cell r="AC142">
            <v>1229.8</v>
          </cell>
          <cell r="AE142">
            <v>7747.74</v>
          </cell>
        </row>
        <row r="143">
          <cell r="C143" t="str">
            <v>STLSANTANA1a Qualidade</v>
          </cell>
          <cell r="AC143">
            <v>95.5</v>
          </cell>
          <cell r="AE143">
            <v>579.68499999999995</v>
          </cell>
        </row>
        <row r="144">
          <cell r="C144" t="str">
            <v>STLLOCO1a Qualidade</v>
          </cell>
          <cell r="AC144">
            <v>122</v>
          </cell>
          <cell r="AE144">
            <v>902.8</v>
          </cell>
        </row>
        <row r="145">
          <cell r="C145" t="str">
            <v>STLSANTANA1a Qualidade</v>
          </cell>
          <cell r="AC145">
            <v>520.20000000000005</v>
          </cell>
          <cell r="AE145">
            <v>3121.2</v>
          </cell>
        </row>
        <row r="146">
          <cell r="C146" t="str">
            <v>STLSANTANA1a Qualidade</v>
          </cell>
          <cell r="AC146">
            <v>1052</v>
          </cell>
          <cell r="AE146">
            <v>6312</v>
          </cell>
        </row>
        <row r="147">
          <cell r="C147" t="str">
            <v>STLSANTANA1a Qualidade</v>
          </cell>
          <cell r="AC147">
            <v>3089.3</v>
          </cell>
          <cell r="AE147">
            <v>21625.1</v>
          </cell>
        </row>
        <row r="148">
          <cell r="C148" t="str">
            <v>STLSANTANA1a Qualidade</v>
          </cell>
          <cell r="AC148">
            <v>2157.5</v>
          </cell>
          <cell r="AE148">
            <v>13656.975</v>
          </cell>
        </row>
        <row r="149">
          <cell r="C149" t="str">
            <v>STLSANTANA1a Qualidade</v>
          </cell>
          <cell r="AC149">
            <v>422</v>
          </cell>
          <cell r="AE149">
            <v>2726.12</v>
          </cell>
        </row>
        <row r="150">
          <cell r="C150" t="str">
            <v>STLSANTANA1a Qualidade</v>
          </cell>
          <cell r="AC150">
            <v>743.2</v>
          </cell>
          <cell r="AE150">
            <v>4459.2</v>
          </cell>
        </row>
        <row r="151">
          <cell r="C151" t="str">
            <v>STLSANTANA1a Qualidade</v>
          </cell>
          <cell r="AC151">
            <v>420</v>
          </cell>
          <cell r="AE151">
            <v>2520</v>
          </cell>
        </row>
        <row r="152">
          <cell r="C152" t="str">
            <v>STLSANTANA1a Qualidade</v>
          </cell>
          <cell r="AC152">
            <v>769.8</v>
          </cell>
          <cell r="AE152">
            <v>4618.8</v>
          </cell>
        </row>
        <row r="153">
          <cell r="C153" t="str">
            <v>STLLOCO1a Qualidade</v>
          </cell>
          <cell r="AC153">
            <v>23</v>
          </cell>
          <cell r="AE153">
            <v>193.2</v>
          </cell>
        </row>
        <row r="154">
          <cell r="C154" t="str">
            <v>STLSANTANA1a Qualidade</v>
          </cell>
          <cell r="AC154">
            <v>140</v>
          </cell>
          <cell r="AE154">
            <v>936.6</v>
          </cell>
        </row>
        <row r="155">
          <cell r="C155" t="str">
            <v>STLSANTANA1a Qualidade</v>
          </cell>
          <cell r="AC155">
            <v>140</v>
          </cell>
          <cell r="AE155">
            <v>953.4</v>
          </cell>
        </row>
        <row r="156">
          <cell r="C156" t="str">
            <v>STLSANTANA1a Qualidade</v>
          </cell>
          <cell r="AC156">
            <v>137.5</v>
          </cell>
          <cell r="AE156">
            <v>919.875</v>
          </cell>
        </row>
        <row r="157">
          <cell r="C157" t="str">
            <v>STLSANTANA1a Qualidade</v>
          </cell>
          <cell r="AC157">
            <v>345.5</v>
          </cell>
          <cell r="AE157">
            <v>2073</v>
          </cell>
        </row>
        <row r="158">
          <cell r="C158" t="str">
            <v>STLSANTANA1a Qualidade</v>
          </cell>
          <cell r="AC158">
            <v>4843.3999999999996</v>
          </cell>
          <cell r="AE158">
            <v>32450.78</v>
          </cell>
        </row>
        <row r="159">
          <cell r="C159" t="str">
            <v>STLBRIM1a Qualidade</v>
          </cell>
          <cell r="AC159">
            <v>1000</v>
          </cell>
          <cell r="AE159">
            <v>2500</v>
          </cell>
        </row>
        <row r="160">
          <cell r="C160" t="str">
            <v>STLSANTANA1a Qualidade</v>
          </cell>
          <cell r="AC160">
            <v>505</v>
          </cell>
          <cell r="AE160">
            <v>3211.8</v>
          </cell>
        </row>
        <row r="161">
          <cell r="C161" t="str">
            <v>STLSANTANA1a Qualidade</v>
          </cell>
          <cell r="AC161">
            <v>3276.5</v>
          </cell>
          <cell r="AE161">
            <v>22607.85</v>
          </cell>
        </row>
        <row r="162">
          <cell r="C162" t="str">
            <v>STLSANTANA1a Qualidade</v>
          </cell>
          <cell r="AC162">
            <v>700</v>
          </cell>
          <cell r="AE162">
            <v>4760</v>
          </cell>
        </row>
        <row r="163">
          <cell r="C163" t="str">
            <v>STLLOCO1a Qualidade</v>
          </cell>
          <cell r="AC163">
            <v>2754</v>
          </cell>
          <cell r="AE163">
            <v>19278</v>
          </cell>
        </row>
        <row r="164">
          <cell r="C164" t="str">
            <v>STLLOCO1a Qualidade</v>
          </cell>
          <cell r="AC164">
            <v>1689.7</v>
          </cell>
          <cell r="AE164">
            <v>11658.93</v>
          </cell>
        </row>
        <row r="165">
          <cell r="C165" t="str">
            <v>STLSANTANA1a Qualidade</v>
          </cell>
          <cell r="AC165">
            <v>857.5</v>
          </cell>
          <cell r="AE165">
            <v>5659.5</v>
          </cell>
        </row>
        <row r="166">
          <cell r="C166" t="str">
            <v>STLSANTANA1a Qualidade</v>
          </cell>
          <cell r="AC166">
            <v>650.6</v>
          </cell>
          <cell r="AE166">
            <v>3903.6</v>
          </cell>
        </row>
        <row r="167">
          <cell r="C167" t="str">
            <v>STLSANTANA1a Qualidade</v>
          </cell>
          <cell r="AC167">
            <v>652</v>
          </cell>
          <cell r="AE167">
            <v>3912</v>
          </cell>
        </row>
        <row r="168">
          <cell r="C168" t="str">
            <v>STLSANTANA1a Qualidade</v>
          </cell>
          <cell r="AC168">
            <v>807.4</v>
          </cell>
          <cell r="AE168">
            <v>4844.3999999999996</v>
          </cell>
        </row>
        <row r="169">
          <cell r="C169" t="str">
            <v>STLSANTANA1a Qualidade</v>
          </cell>
          <cell r="AC169">
            <v>500</v>
          </cell>
          <cell r="AE169">
            <v>3000</v>
          </cell>
        </row>
        <row r="170">
          <cell r="C170" t="str">
            <v>STLLOCO1a Qualidade</v>
          </cell>
          <cell r="AC170">
            <v>1981.3</v>
          </cell>
          <cell r="AE170">
            <v>16306.099</v>
          </cell>
        </row>
        <row r="171">
          <cell r="C171" t="str">
            <v>STLSANTANA1a Qualidade</v>
          </cell>
          <cell r="AC171">
            <v>505</v>
          </cell>
          <cell r="AE171">
            <v>3161.3</v>
          </cell>
        </row>
        <row r="172">
          <cell r="C172" t="str">
            <v>STLSANTANA1a Qualidade</v>
          </cell>
          <cell r="AC172">
            <v>224.5</v>
          </cell>
          <cell r="AE172">
            <v>1405.37</v>
          </cell>
        </row>
        <row r="173">
          <cell r="C173" t="str">
            <v>STLSANTANA1a Qualidade</v>
          </cell>
          <cell r="AC173">
            <v>286.10000000000002</v>
          </cell>
          <cell r="AE173">
            <v>1790.9860000000001</v>
          </cell>
        </row>
        <row r="174">
          <cell r="C174" t="str">
            <v>STLSANTANA1a Qualidade</v>
          </cell>
          <cell r="AC174">
            <v>1008.7</v>
          </cell>
          <cell r="AE174">
            <v>6253.94</v>
          </cell>
        </row>
        <row r="175">
          <cell r="C175" t="str">
            <v>STLLOCO1a Qualidade</v>
          </cell>
          <cell r="AC175">
            <v>327</v>
          </cell>
          <cell r="AE175">
            <v>2190.9</v>
          </cell>
        </row>
        <row r="176">
          <cell r="C176" t="str">
            <v>STLLOCO1a Qualidade</v>
          </cell>
          <cell r="AC176">
            <v>404.1</v>
          </cell>
          <cell r="AE176">
            <v>2707.47</v>
          </cell>
        </row>
        <row r="177">
          <cell r="C177" t="str">
            <v>STLBEM1a Qualidade</v>
          </cell>
          <cell r="AC177">
            <v>646.70000000000005</v>
          </cell>
          <cell r="AE177">
            <v>5872.0360000000001</v>
          </cell>
        </row>
        <row r="178">
          <cell r="C178" t="str">
            <v>STLBEM1a Qualidade</v>
          </cell>
          <cell r="AC178">
            <v>207</v>
          </cell>
          <cell r="AE178">
            <v>1732.59</v>
          </cell>
        </row>
        <row r="179">
          <cell r="C179" t="str">
            <v>STLLOCO1a Qualidade</v>
          </cell>
          <cell r="AC179">
            <v>360.8</v>
          </cell>
          <cell r="AE179">
            <v>2525.6</v>
          </cell>
        </row>
        <row r="180">
          <cell r="C180" t="str">
            <v>STLLOCO1a Qualidade</v>
          </cell>
          <cell r="AC180">
            <v>313.8</v>
          </cell>
          <cell r="AE180">
            <v>2196.6</v>
          </cell>
        </row>
        <row r="181">
          <cell r="C181" t="str">
            <v>STLSANTANA1a Qualidade</v>
          </cell>
          <cell r="AC181">
            <v>140</v>
          </cell>
          <cell r="AE181">
            <v>868</v>
          </cell>
        </row>
        <row r="182">
          <cell r="C182" t="str">
            <v>STLSANTANA1a Qualidade</v>
          </cell>
          <cell r="AC182">
            <v>202.2</v>
          </cell>
          <cell r="AE182">
            <v>1253.6400000000001</v>
          </cell>
        </row>
        <row r="183">
          <cell r="C183" t="str">
            <v>STLSANTANA1a Qualidade</v>
          </cell>
          <cell r="AC183">
            <v>140.5</v>
          </cell>
          <cell r="AE183">
            <v>896.39</v>
          </cell>
        </row>
        <row r="184">
          <cell r="C184" t="str">
            <v>STLSANTANA1a Qualidade</v>
          </cell>
          <cell r="AC184">
            <v>516</v>
          </cell>
          <cell r="AE184">
            <v>3199.2</v>
          </cell>
        </row>
        <row r="185">
          <cell r="C185" t="str">
            <v>STLSANTANA1a Qualidade</v>
          </cell>
          <cell r="AC185">
            <v>223.5</v>
          </cell>
          <cell r="AE185">
            <v>1475.1</v>
          </cell>
        </row>
        <row r="186">
          <cell r="C186" t="str">
            <v>STLSANTANA1a Qualidade</v>
          </cell>
          <cell r="AC186">
            <v>199.2</v>
          </cell>
          <cell r="AE186">
            <v>1458.144</v>
          </cell>
        </row>
        <row r="187">
          <cell r="C187" t="str">
            <v>STLSANTANA1a Qualidade</v>
          </cell>
          <cell r="AC187">
            <v>130</v>
          </cell>
          <cell r="AE187">
            <v>928.2</v>
          </cell>
        </row>
        <row r="188">
          <cell r="C188" t="str">
            <v>STLLOCO1a Qualidade</v>
          </cell>
          <cell r="AC188">
            <v>978.9</v>
          </cell>
          <cell r="AE188">
            <v>8320.65</v>
          </cell>
        </row>
        <row r="189">
          <cell r="C189" t="str">
            <v>STLSANTANA1a Qualidade</v>
          </cell>
          <cell r="AC189">
            <v>1051.9000000000001</v>
          </cell>
          <cell r="AE189">
            <v>6101.02</v>
          </cell>
        </row>
        <row r="190">
          <cell r="C190" t="str">
            <v>STLLOCO1a Qualidade</v>
          </cell>
          <cell r="AC190">
            <v>101.6</v>
          </cell>
          <cell r="AE190">
            <v>802.64</v>
          </cell>
        </row>
        <row r="191">
          <cell r="C191" t="str">
            <v>STLSANTANA1a Qualidade</v>
          </cell>
          <cell r="AC191">
            <v>40.299999999999997</v>
          </cell>
          <cell r="AE191">
            <v>270.01</v>
          </cell>
        </row>
        <row r="192">
          <cell r="C192" t="str">
            <v>STLLOCO1a Qualidade</v>
          </cell>
          <cell r="AC192">
            <v>280</v>
          </cell>
          <cell r="AE192">
            <v>2256.8000000000002</v>
          </cell>
        </row>
        <row r="193">
          <cell r="C193" t="str">
            <v>STLLOCO1a Qualidade</v>
          </cell>
          <cell r="AC193">
            <v>320</v>
          </cell>
          <cell r="AE193">
            <v>2742.4</v>
          </cell>
        </row>
        <row r="194">
          <cell r="C194" t="str">
            <v>STLLOCO1a Qualidade</v>
          </cell>
          <cell r="AC194">
            <v>301.10000000000002</v>
          </cell>
          <cell r="AE194">
            <v>2580.4270000000001</v>
          </cell>
        </row>
        <row r="195">
          <cell r="C195" t="str">
            <v>STLSANTANA1a Qualidade</v>
          </cell>
          <cell r="AC195">
            <v>1989</v>
          </cell>
          <cell r="AE195">
            <v>13923</v>
          </cell>
        </row>
        <row r="196">
          <cell r="C196" t="str">
            <v>STLSANTANA1a Qualidade</v>
          </cell>
          <cell r="AC196">
            <v>2002</v>
          </cell>
          <cell r="AE196">
            <v>11811.8</v>
          </cell>
        </row>
        <row r="197">
          <cell r="C197" t="str">
            <v>STLLOCO1a Qualidade</v>
          </cell>
          <cell r="AC197">
            <v>111</v>
          </cell>
          <cell r="AE197">
            <v>913.53</v>
          </cell>
        </row>
        <row r="198">
          <cell r="C198" t="str">
            <v>STLSANTANA1a Qualidade</v>
          </cell>
          <cell r="AC198">
            <v>5227.3999999999996</v>
          </cell>
          <cell r="AE198">
            <v>35546.32</v>
          </cell>
        </row>
        <row r="199">
          <cell r="C199" t="str">
            <v>STLSANTANA1a Qualidade</v>
          </cell>
          <cell r="AC199">
            <v>490</v>
          </cell>
          <cell r="AE199">
            <v>3136</v>
          </cell>
        </row>
        <row r="200">
          <cell r="C200" t="str">
            <v>STLSANTANA1a Qualidade</v>
          </cell>
          <cell r="AC200">
            <v>1048.9000000000001</v>
          </cell>
          <cell r="AE200">
            <v>6293.4</v>
          </cell>
        </row>
        <row r="201">
          <cell r="C201" t="str">
            <v>STLSANTANA1a Qualidade</v>
          </cell>
          <cell r="AC201">
            <v>437</v>
          </cell>
          <cell r="AE201">
            <v>2622</v>
          </cell>
        </row>
        <row r="202">
          <cell r="C202" t="str">
            <v>STLSANTANA1a Qualidade</v>
          </cell>
          <cell r="AC202">
            <v>523.5</v>
          </cell>
          <cell r="AE202">
            <v>2983.95</v>
          </cell>
        </row>
        <row r="203">
          <cell r="C203" t="str">
            <v>STLSANTANA1a Qualidade</v>
          </cell>
          <cell r="AC203">
            <v>540</v>
          </cell>
          <cell r="AE203">
            <v>3564</v>
          </cell>
        </row>
        <row r="204">
          <cell r="C204" t="str">
            <v>STLLOCO1a Qualidade</v>
          </cell>
          <cell r="AC204">
            <v>1938.9</v>
          </cell>
          <cell r="AE204">
            <v>15957.147000000001</v>
          </cell>
        </row>
        <row r="205">
          <cell r="C205" t="str">
            <v>STLLOCO1a Qualidade</v>
          </cell>
          <cell r="AC205">
            <v>283.2</v>
          </cell>
          <cell r="AE205">
            <v>1897.44</v>
          </cell>
        </row>
        <row r="206">
          <cell r="C206" t="str">
            <v>STLSANTANA1a Qualidade</v>
          </cell>
          <cell r="AC206">
            <v>972.5</v>
          </cell>
          <cell r="AE206">
            <v>6350.4250000000002</v>
          </cell>
        </row>
        <row r="207">
          <cell r="C207" t="str">
            <v>STLSANTANA1a Qualidade</v>
          </cell>
          <cell r="AC207">
            <v>1078</v>
          </cell>
          <cell r="AE207">
            <v>7039.34</v>
          </cell>
        </row>
        <row r="208">
          <cell r="C208" t="str">
            <v>STLSANTANA1a Qualidade</v>
          </cell>
          <cell r="AC208">
            <v>1045</v>
          </cell>
          <cell r="AE208">
            <v>6270</v>
          </cell>
        </row>
        <row r="209">
          <cell r="C209" t="str">
            <v>STLSANTANA1a Qualidade</v>
          </cell>
          <cell r="AC209">
            <v>5076</v>
          </cell>
          <cell r="AE209">
            <v>30456</v>
          </cell>
        </row>
        <row r="210">
          <cell r="C210" t="str">
            <v>STLSANTANA1a Qualidade</v>
          </cell>
          <cell r="AC210">
            <v>2093</v>
          </cell>
          <cell r="AE210">
            <v>14441.7</v>
          </cell>
        </row>
        <row r="211">
          <cell r="C211" t="str">
            <v>STLSANTANA1a Qualidade</v>
          </cell>
          <cell r="AC211">
            <v>1033</v>
          </cell>
          <cell r="AE211">
            <v>6198</v>
          </cell>
        </row>
        <row r="212">
          <cell r="C212" t="str">
            <v>STLSANTANA1a Qualidade</v>
          </cell>
          <cell r="AC212">
            <v>5026</v>
          </cell>
          <cell r="AE212">
            <v>30156</v>
          </cell>
        </row>
        <row r="213">
          <cell r="C213" t="str">
            <v>STLSANTANA1a Qualidade</v>
          </cell>
          <cell r="AC213">
            <v>495</v>
          </cell>
          <cell r="AE213">
            <v>3271.95</v>
          </cell>
        </row>
        <row r="214">
          <cell r="C214" t="str">
            <v>STLSANTANA1a Qualidade</v>
          </cell>
          <cell r="AC214">
            <v>1135.3</v>
          </cell>
          <cell r="AE214">
            <v>6811.8</v>
          </cell>
        </row>
        <row r="215">
          <cell r="C215" t="str">
            <v>STLSANTANA1a Qualidade</v>
          </cell>
          <cell r="AC215">
            <v>227.6</v>
          </cell>
          <cell r="AE215">
            <v>1486.2280000000001</v>
          </cell>
        </row>
        <row r="216">
          <cell r="C216" t="str">
            <v>STLSANTANA1a Qualidade</v>
          </cell>
          <cell r="AC216">
            <v>5092.6000000000004</v>
          </cell>
          <cell r="AE216">
            <v>30555.599999999999</v>
          </cell>
        </row>
        <row r="217">
          <cell r="C217" t="str">
            <v>STLSANTANA1a Qualidade</v>
          </cell>
          <cell r="AC217">
            <v>521</v>
          </cell>
          <cell r="AE217">
            <v>3126</v>
          </cell>
        </row>
        <row r="218">
          <cell r="C218" t="str">
            <v>STLSANTANA1a Qualidade</v>
          </cell>
          <cell r="AC218">
            <v>725</v>
          </cell>
          <cell r="AE218">
            <v>4350</v>
          </cell>
        </row>
        <row r="219">
          <cell r="C219" t="str">
            <v>STLSANTANA1a Qualidade</v>
          </cell>
          <cell r="AC219">
            <v>1528.8</v>
          </cell>
          <cell r="AE219">
            <v>9172.7999999999993</v>
          </cell>
        </row>
        <row r="220">
          <cell r="C220" t="str">
            <v>STLBEM1a Qualidade</v>
          </cell>
          <cell r="AC220">
            <v>959.1</v>
          </cell>
          <cell r="AE220">
            <v>8890.857</v>
          </cell>
        </row>
        <row r="221">
          <cell r="C221" t="str">
            <v>STLSANTANA1a Qualidade</v>
          </cell>
          <cell r="AC221">
            <v>3103.2</v>
          </cell>
          <cell r="AE221">
            <v>20170.8</v>
          </cell>
        </row>
        <row r="222">
          <cell r="C222" t="str">
            <v>STLSANTANA1a Qualidade</v>
          </cell>
          <cell r="AC222">
            <v>3082.9</v>
          </cell>
          <cell r="AE222">
            <v>18189.11</v>
          </cell>
        </row>
        <row r="223">
          <cell r="C223" t="str">
            <v>STLSANTANA1a Qualidade</v>
          </cell>
          <cell r="AC223">
            <v>1026</v>
          </cell>
          <cell r="AE223">
            <v>6771.6</v>
          </cell>
        </row>
        <row r="224">
          <cell r="C224" t="str">
            <v>STLSANTANA1a Qualidade</v>
          </cell>
          <cell r="AC224">
            <v>1030.5999999999999</v>
          </cell>
          <cell r="AE224">
            <v>6183.6</v>
          </cell>
        </row>
        <row r="225">
          <cell r="C225" t="str">
            <v>STLLOCO1a Qualidade</v>
          </cell>
          <cell r="AC225">
            <v>1932.6</v>
          </cell>
          <cell r="AE225">
            <v>13528.2</v>
          </cell>
        </row>
        <row r="226">
          <cell r="C226" t="str">
            <v>STLSANTANA1a Qualidade</v>
          </cell>
          <cell r="AC226">
            <v>424</v>
          </cell>
          <cell r="AE226">
            <v>2840.8</v>
          </cell>
        </row>
        <row r="227">
          <cell r="C227" t="str">
            <v>STLSANTANA1a Qualidade</v>
          </cell>
          <cell r="AC227">
            <v>130</v>
          </cell>
          <cell r="AE227">
            <v>767</v>
          </cell>
        </row>
        <row r="228">
          <cell r="C228" t="str">
            <v>STLSANTANA2a Qualidade</v>
          </cell>
          <cell r="AC228">
            <v>162.9</v>
          </cell>
          <cell r="AE228">
            <v>768.88800000000003</v>
          </cell>
        </row>
        <row r="229">
          <cell r="C229" t="str">
            <v>STLBRIM1a Qualidade</v>
          </cell>
          <cell r="AC229">
            <v>200</v>
          </cell>
          <cell r="AE229">
            <v>500</v>
          </cell>
        </row>
        <row r="230">
          <cell r="C230" t="str">
            <v>STLSANTANA1a Qualidade</v>
          </cell>
          <cell r="AC230">
            <v>226.5</v>
          </cell>
          <cell r="AE230">
            <v>1261.605</v>
          </cell>
        </row>
        <row r="231">
          <cell r="C231" t="str">
            <v>STLSANTANA1a Qualidade</v>
          </cell>
          <cell r="AC231">
            <v>10237.799999999999</v>
          </cell>
          <cell r="AE231">
            <v>63474.36</v>
          </cell>
        </row>
        <row r="232">
          <cell r="C232" t="str">
            <v>STLSANTANA1a Qualidade</v>
          </cell>
          <cell r="AC232">
            <v>1000</v>
          </cell>
          <cell r="AE232">
            <v>6500</v>
          </cell>
        </row>
        <row r="233">
          <cell r="C233" t="str">
            <v>STLSANTANA1a Qualidade</v>
          </cell>
          <cell r="AC233">
            <v>700.5</v>
          </cell>
          <cell r="AE233">
            <v>4203</v>
          </cell>
        </row>
        <row r="234">
          <cell r="C234" t="str">
            <v>STLSANTANA1a Qualidade</v>
          </cell>
          <cell r="AC234">
            <v>416.8</v>
          </cell>
          <cell r="AE234">
            <v>2500.8000000000002</v>
          </cell>
        </row>
        <row r="235">
          <cell r="C235" t="str">
            <v>STLSANTANA1a Qualidade</v>
          </cell>
          <cell r="AC235">
            <v>1220</v>
          </cell>
          <cell r="AE235">
            <v>7320</v>
          </cell>
        </row>
        <row r="236">
          <cell r="C236" t="str">
            <v>STLSANTANA1a Qualidade</v>
          </cell>
          <cell r="AC236">
            <v>1265.8</v>
          </cell>
          <cell r="AE236">
            <v>7847.96</v>
          </cell>
        </row>
        <row r="237">
          <cell r="C237" t="str">
            <v>STLSANTANA1a Qualidade</v>
          </cell>
          <cell r="AC237">
            <v>825</v>
          </cell>
          <cell r="AE237">
            <v>5453.25</v>
          </cell>
        </row>
        <row r="238">
          <cell r="C238" t="str">
            <v>STLSANTANA1a Qualidade</v>
          </cell>
          <cell r="AC238">
            <v>845.5</v>
          </cell>
          <cell r="AE238">
            <v>6087.6</v>
          </cell>
        </row>
        <row r="239">
          <cell r="C239" t="str">
            <v>STLSANTANA1a Qualidade</v>
          </cell>
          <cell r="AC239">
            <v>1118.5999999999999</v>
          </cell>
          <cell r="AE239">
            <v>7114.2959999999994</v>
          </cell>
        </row>
        <row r="240">
          <cell r="C240" t="str">
            <v>STLSANTANA1a Qualidade</v>
          </cell>
          <cell r="AC240">
            <v>1086.5</v>
          </cell>
          <cell r="AE240">
            <v>7181.7650000000003</v>
          </cell>
        </row>
        <row r="241">
          <cell r="C241" t="str">
            <v>STLSANTANA1a Qualidade</v>
          </cell>
          <cell r="AC241">
            <v>3009.6</v>
          </cell>
          <cell r="AE241">
            <v>17154.72</v>
          </cell>
        </row>
        <row r="242">
          <cell r="C242" t="str">
            <v>STLSANTANA1a Qualidade</v>
          </cell>
          <cell r="AC242">
            <v>349.4</v>
          </cell>
          <cell r="AE242">
            <v>2096.4</v>
          </cell>
        </row>
        <row r="243">
          <cell r="C243" t="str">
            <v>STLLOCO1a Qualidade</v>
          </cell>
          <cell r="AC243">
            <v>407.1</v>
          </cell>
          <cell r="AE243">
            <v>2727.57</v>
          </cell>
        </row>
        <row r="244">
          <cell r="C244" t="str">
            <v>STLSANTANA1a Qualidade</v>
          </cell>
          <cell r="AC244">
            <v>642</v>
          </cell>
          <cell r="AE244">
            <v>4108.8</v>
          </cell>
        </row>
        <row r="245">
          <cell r="C245" t="str">
            <v>STLSANTANA1a Qualidade</v>
          </cell>
          <cell r="AC245">
            <v>320</v>
          </cell>
          <cell r="AE245">
            <v>2016</v>
          </cell>
        </row>
        <row r="246">
          <cell r="C246" t="str">
            <v>STLSANTANA1a Qualidade</v>
          </cell>
          <cell r="AC246">
            <v>306.39999999999998</v>
          </cell>
          <cell r="AE246">
            <v>2089.6480000000001</v>
          </cell>
        </row>
        <row r="247">
          <cell r="C247" t="str">
            <v>STLSANTANA1a Qualidade</v>
          </cell>
          <cell r="AC247">
            <v>308</v>
          </cell>
          <cell r="AE247">
            <v>2069.7600000000002</v>
          </cell>
        </row>
        <row r="248">
          <cell r="C248" t="str">
            <v>STLSANTANA1a Qualidade</v>
          </cell>
          <cell r="AC248">
            <v>178.3</v>
          </cell>
          <cell r="AE248">
            <v>1162.5160000000001</v>
          </cell>
        </row>
        <row r="249">
          <cell r="C249" t="str">
            <v>STLSANTANA1a Qualidade</v>
          </cell>
          <cell r="AC249">
            <v>39.5</v>
          </cell>
          <cell r="AE249">
            <v>257.54000000000002</v>
          </cell>
        </row>
        <row r="250">
          <cell r="C250" t="str">
            <v>STLSANTANA1a Qualidade</v>
          </cell>
          <cell r="AC250">
            <v>240.9</v>
          </cell>
          <cell r="AE250">
            <v>1570.6679999999999</v>
          </cell>
        </row>
        <row r="251">
          <cell r="C251" t="str">
            <v>STLSANTANA1a Qualidade</v>
          </cell>
          <cell r="AC251">
            <v>220.2</v>
          </cell>
          <cell r="AE251">
            <v>1387.26</v>
          </cell>
        </row>
        <row r="252">
          <cell r="C252" t="str">
            <v>STLSANTANA1a Qualidade</v>
          </cell>
          <cell r="AC252">
            <v>141.30000000000001</v>
          </cell>
          <cell r="AE252">
            <v>847.8</v>
          </cell>
        </row>
        <row r="253">
          <cell r="C253" t="str">
            <v>STLRETALHORetalho</v>
          </cell>
          <cell r="AC253">
            <v>218.38879159369529</v>
          </cell>
          <cell r="AE253">
            <v>436.45</v>
          </cell>
        </row>
        <row r="254">
          <cell r="C254" t="str">
            <v>STLRETALHORetalho</v>
          </cell>
          <cell r="AC254">
            <v>790.28021015761828</v>
          </cell>
          <cell r="AE254">
            <v>1353.75</v>
          </cell>
        </row>
        <row r="255">
          <cell r="C255" t="str">
            <v>STLRETALHORetalho</v>
          </cell>
          <cell r="AC255">
            <v>931.26344758568939</v>
          </cell>
          <cell r="AE255">
            <v>1861.13</v>
          </cell>
        </row>
        <row r="256">
          <cell r="C256" t="str">
            <v>STLSANTANA1a Qualidade</v>
          </cell>
          <cell r="AC256">
            <v>341</v>
          </cell>
          <cell r="AE256">
            <v>2250.6</v>
          </cell>
        </row>
        <row r="257">
          <cell r="C257" t="str">
            <v>STLLOCO1a Qualidade</v>
          </cell>
          <cell r="AC257">
            <v>2149.1</v>
          </cell>
          <cell r="AE257">
            <v>17687.093000000001</v>
          </cell>
        </row>
        <row r="258">
          <cell r="C258" t="str">
            <v>STLLOCO1a Qualidade</v>
          </cell>
          <cell r="AC258">
            <v>2190.6999999999998</v>
          </cell>
          <cell r="AE258">
            <v>18029.460999999999</v>
          </cell>
        </row>
        <row r="259">
          <cell r="C259" t="str">
            <v>STLSANTANA1a Qualidade</v>
          </cell>
          <cell r="AC259">
            <v>1914.3</v>
          </cell>
          <cell r="AE259">
            <v>14663.538</v>
          </cell>
        </row>
        <row r="260">
          <cell r="C260" t="str">
            <v>STLSANTANA1a Qualidade</v>
          </cell>
          <cell r="AC260">
            <v>578.6</v>
          </cell>
          <cell r="AE260">
            <v>3934.48</v>
          </cell>
        </row>
        <row r="261">
          <cell r="C261" t="str">
            <v>STLSANTANA1a Qualidade</v>
          </cell>
          <cell r="AC261">
            <v>1360</v>
          </cell>
          <cell r="AE261">
            <v>8568</v>
          </cell>
        </row>
        <row r="262">
          <cell r="C262" t="str">
            <v>STLSANTANA1a Qualidade</v>
          </cell>
          <cell r="AC262">
            <v>95.8</v>
          </cell>
          <cell r="AE262">
            <v>633.23800000000006</v>
          </cell>
        </row>
        <row r="263">
          <cell r="C263" t="str">
            <v>STLSANTANA1a Qualidade</v>
          </cell>
          <cell r="AC263">
            <v>96.3</v>
          </cell>
          <cell r="AE263">
            <v>612.46799999999996</v>
          </cell>
        </row>
        <row r="264">
          <cell r="C264" t="str">
            <v>STLSANTANA1a Qualidade</v>
          </cell>
          <cell r="AC264">
            <v>140</v>
          </cell>
          <cell r="AE264">
            <v>890.4</v>
          </cell>
        </row>
        <row r="265">
          <cell r="C265" t="str">
            <v>STLSANTANA1a Qualidade</v>
          </cell>
          <cell r="AC265">
            <v>2105.4</v>
          </cell>
          <cell r="AE265">
            <v>13327.182000000001</v>
          </cell>
        </row>
        <row r="266">
          <cell r="C266" t="str">
            <v>STLSANTANA1a Qualidade</v>
          </cell>
          <cell r="AC266">
            <v>420</v>
          </cell>
          <cell r="AE266">
            <v>2713.2</v>
          </cell>
        </row>
        <row r="267">
          <cell r="C267" t="str">
            <v>STLSANTANA1a Qualidade</v>
          </cell>
          <cell r="AC267">
            <v>196.8</v>
          </cell>
          <cell r="AE267">
            <v>1180.8</v>
          </cell>
        </row>
        <row r="268">
          <cell r="C268" t="str">
            <v>STLSANTANA1a Qualidade</v>
          </cell>
          <cell r="AC268">
            <v>2494</v>
          </cell>
          <cell r="AE268">
            <v>15462.8</v>
          </cell>
        </row>
        <row r="269">
          <cell r="C269" t="str">
            <v>STLSANTANA1a Qualidade</v>
          </cell>
          <cell r="AC269">
            <v>3110.4</v>
          </cell>
          <cell r="AE269">
            <v>19284.48</v>
          </cell>
        </row>
        <row r="270">
          <cell r="C270" t="str">
            <v>STLSANTANA1a Qualidade</v>
          </cell>
          <cell r="AC270">
            <v>3526.7</v>
          </cell>
          <cell r="AE270">
            <v>21865.54</v>
          </cell>
        </row>
        <row r="271">
          <cell r="C271" t="str">
            <v>STLSANTANA1a Qualidade</v>
          </cell>
          <cell r="AC271">
            <v>1522</v>
          </cell>
          <cell r="AE271">
            <v>9679.92</v>
          </cell>
        </row>
        <row r="272">
          <cell r="C272" t="str">
            <v>STLLOCO1a Qualidade</v>
          </cell>
          <cell r="AC272">
            <v>4735.6000000000004</v>
          </cell>
          <cell r="AE272">
            <v>31728.52</v>
          </cell>
        </row>
        <row r="273">
          <cell r="C273" t="str">
            <v>STLLOCO1a Qualidade</v>
          </cell>
          <cell r="AC273">
            <v>102.5</v>
          </cell>
          <cell r="AE273">
            <v>764.65</v>
          </cell>
        </row>
        <row r="274">
          <cell r="C274" t="str">
            <v>STLSANTANA1a Qualidade</v>
          </cell>
          <cell r="AC274">
            <v>113.6</v>
          </cell>
          <cell r="AE274">
            <v>749.76</v>
          </cell>
        </row>
        <row r="275">
          <cell r="C275" t="str">
            <v>STLLOCO1a Qualidade</v>
          </cell>
          <cell r="AC275">
            <v>506.4</v>
          </cell>
          <cell r="AE275">
            <v>3392.88</v>
          </cell>
        </row>
        <row r="276">
          <cell r="C276" t="str">
            <v>STLSANTANA1a Qualidade</v>
          </cell>
          <cell r="AC276">
            <v>710</v>
          </cell>
          <cell r="AE276">
            <v>4686</v>
          </cell>
        </row>
        <row r="277">
          <cell r="C277" t="str">
            <v>STLLOCO1a Qualidade</v>
          </cell>
          <cell r="AC277">
            <v>600.70000000000005</v>
          </cell>
          <cell r="AE277">
            <v>4745.53</v>
          </cell>
        </row>
        <row r="278">
          <cell r="C278" t="str">
            <v>STLSANTANA1a Qualidade</v>
          </cell>
          <cell r="AC278">
            <v>1000.5</v>
          </cell>
          <cell r="AE278">
            <v>6003</v>
          </cell>
        </row>
        <row r="279">
          <cell r="C279" t="str">
            <v>STLLOCO1a Qualidade</v>
          </cell>
          <cell r="AC279">
            <v>137.5</v>
          </cell>
          <cell r="AE279">
            <v>1042.25</v>
          </cell>
        </row>
        <row r="280">
          <cell r="C280" t="str">
            <v>STLSANTANA1a Qualidade</v>
          </cell>
          <cell r="AC280">
            <v>799</v>
          </cell>
          <cell r="AE280">
            <v>5073.6499999999996</v>
          </cell>
        </row>
        <row r="281">
          <cell r="C281" t="str">
            <v>STLSANTANA1a Qualidade</v>
          </cell>
          <cell r="AC281">
            <v>1384.5</v>
          </cell>
          <cell r="AE281">
            <v>9469.98</v>
          </cell>
        </row>
        <row r="282">
          <cell r="C282" t="str">
            <v>STLLOCO1a Qualidade</v>
          </cell>
          <cell r="AC282">
            <v>625</v>
          </cell>
          <cell r="AE282">
            <v>4250</v>
          </cell>
        </row>
        <row r="283">
          <cell r="C283" t="str">
            <v>STLLOCO1a Qualidade</v>
          </cell>
          <cell r="AC283">
            <v>614.6</v>
          </cell>
          <cell r="AE283">
            <v>4793.88</v>
          </cell>
        </row>
        <row r="284">
          <cell r="C284" t="str">
            <v>STLLOCO1a Qualidade</v>
          </cell>
          <cell r="AC284">
            <v>210</v>
          </cell>
          <cell r="AE284">
            <v>1722</v>
          </cell>
        </row>
        <row r="285">
          <cell r="C285" t="str">
            <v>STLBRIM1a Qualidade</v>
          </cell>
          <cell r="AC285">
            <v>1000</v>
          </cell>
          <cell r="AE285">
            <v>2500</v>
          </cell>
        </row>
        <row r="286">
          <cell r="C286" t="str">
            <v>STLSANTANA1a Qualidade</v>
          </cell>
          <cell r="AC286">
            <v>1062.5</v>
          </cell>
          <cell r="AE286">
            <v>7480</v>
          </cell>
        </row>
        <row r="287">
          <cell r="C287" t="str">
            <v>STLSANTANA1a Qualidade</v>
          </cell>
          <cell r="AC287">
            <v>145</v>
          </cell>
          <cell r="AE287">
            <v>971.5</v>
          </cell>
        </row>
        <row r="288">
          <cell r="C288" t="str">
            <v>STLSANTANA1a Qualidade</v>
          </cell>
          <cell r="AC288">
            <v>111</v>
          </cell>
          <cell r="AE288">
            <v>699.3</v>
          </cell>
        </row>
        <row r="289">
          <cell r="C289" t="str">
            <v>STLSANTANA1a Qualidade</v>
          </cell>
          <cell r="AC289">
            <v>99.8</v>
          </cell>
          <cell r="AE289">
            <v>612.77199999999993</v>
          </cell>
        </row>
        <row r="290">
          <cell r="C290" t="str">
            <v>STLLOCO1a Qualidade</v>
          </cell>
          <cell r="AC290">
            <v>187.7</v>
          </cell>
          <cell r="AE290">
            <v>1257.5899999999999</v>
          </cell>
        </row>
        <row r="291">
          <cell r="C291" t="str">
            <v>STLSANTANA1a Qualidade</v>
          </cell>
          <cell r="AC291">
            <v>1024.4000000000001</v>
          </cell>
          <cell r="AE291">
            <v>6351.28</v>
          </cell>
        </row>
        <row r="292">
          <cell r="C292" t="str">
            <v>STLSANTANA1a Qualidade</v>
          </cell>
          <cell r="AC292">
            <v>5620.2</v>
          </cell>
          <cell r="AE292">
            <v>33721.199999999997</v>
          </cell>
        </row>
        <row r="293">
          <cell r="C293" t="str">
            <v>STLSANTANA1a Qualidade</v>
          </cell>
          <cell r="AC293">
            <v>1066.5</v>
          </cell>
          <cell r="AE293">
            <v>6399</v>
          </cell>
        </row>
        <row r="294">
          <cell r="C294" t="str">
            <v>STLLOCO1a Qualidade</v>
          </cell>
          <cell r="AC294">
            <v>1455.6</v>
          </cell>
          <cell r="AE294">
            <v>10509.431999999999</v>
          </cell>
        </row>
        <row r="295">
          <cell r="C295" t="str">
            <v>STLSANTANA1a Qualidade</v>
          </cell>
          <cell r="AC295">
            <v>556.5</v>
          </cell>
          <cell r="AE295">
            <v>3539.34</v>
          </cell>
        </row>
        <row r="296">
          <cell r="C296" t="str">
            <v>STLLOCO1a Qualidade</v>
          </cell>
          <cell r="AC296">
            <v>5</v>
          </cell>
          <cell r="AE296">
            <v>42.5</v>
          </cell>
        </row>
        <row r="297">
          <cell r="C297" t="str">
            <v>STLLOCO1a Qualidade</v>
          </cell>
          <cell r="AC297">
            <v>5</v>
          </cell>
          <cell r="AE297">
            <v>39.5</v>
          </cell>
        </row>
        <row r="298">
          <cell r="C298" t="str">
            <v>STLLOCO1a Qualidade</v>
          </cell>
          <cell r="AC298">
            <v>5</v>
          </cell>
          <cell r="AE298">
            <v>39.5</v>
          </cell>
        </row>
        <row r="299">
          <cell r="C299" t="str">
            <v>STLLOCO1a Qualidade</v>
          </cell>
          <cell r="AC299">
            <v>5</v>
          </cell>
          <cell r="AE299">
            <v>44.5</v>
          </cell>
        </row>
        <row r="300">
          <cell r="C300" t="str">
            <v>STLLOCO1a Qualidade</v>
          </cell>
          <cell r="AC300">
            <v>5</v>
          </cell>
          <cell r="AE300">
            <v>44.5</v>
          </cell>
        </row>
        <row r="301">
          <cell r="C301" t="str">
            <v>STLSANTANA1a Qualidade</v>
          </cell>
          <cell r="AC301">
            <v>495</v>
          </cell>
          <cell r="AE301">
            <v>3148.2</v>
          </cell>
        </row>
        <row r="302">
          <cell r="C302" t="str">
            <v>STLSANTANA1a Qualidade</v>
          </cell>
          <cell r="AC302">
            <v>1049</v>
          </cell>
          <cell r="AE302">
            <v>6608.7</v>
          </cell>
        </row>
        <row r="303">
          <cell r="C303" t="str">
            <v>STLLOCO1a Qualidade</v>
          </cell>
          <cell r="AC303">
            <v>398.5</v>
          </cell>
          <cell r="AE303">
            <v>2669.95</v>
          </cell>
        </row>
        <row r="304">
          <cell r="C304" t="str">
            <v>STLSANTANA1a Qualidade</v>
          </cell>
          <cell r="AC304">
            <v>2054</v>
          </cell>
          <cell r="AE304">
            <v>12734.8</v>
          </cell>
        </row>
        <row r="305">
          <cell r="C305" t="str">
            <v>STLSANTANA1a Qualidade</v>
          </cell>
          <cell r="AC305">
            <v>797</v>
          </cell>
          <cell r="AE305">
            <v>5499.3</v>
          </cell>
        </row>
        <row r="306">
          <cell r="C306" t="str">
            <v>STLLOCO1a Qualidade</v>
          </cell>
          <cell r="AC306">
            <v>520</v>
          </cell>
          <cell r="AE306">
            <v>4108</v>
          </cell>
        </row>
        <row r="307">
          <cell r="C307" t="str">
            <v>STLLOCO1a Qualidade</v>
          </cell>
          <cell r="AC307">
            <v>546.1</v>
          </cell>
          <cell r="AE307">
            <v>4587.24</v>
          </cell>
        </row>
        <row r="308">
          <cell r="C308" t="str">
            <v>STLLOCO1a Qualidade</v>
          </cell>
          <cell r="AC308">
            <v>309.7</v>
          </cell>
          <cell r="AE308">
            <v>2260.81</v>
          </cell>
        </row>
        <row r="309">
          <cell r="C309" t="str">
            <v>STLLOCO1a Qualidade</v>
          </cell>
          <cell r="AC309">
            <v>330</v>
          </cell>
          <cell r="AE309">
            <v>2772</v>
          </cell>
        </row>
        <row r="310">
          <cell r="C310" t="str">
            <v>STLLOCO1a Qualidade</v>
          </cell>
          <cell r="AC310">
            <v>322</v>
          </cell>
          <cell r="AE310">
            <v>2704.8</v>
          </cell>
        </row>
        <row r="311">
          <cell r="C311" t="str">
            <v>STLLOCO1a Qualidade</v>
          </cell>
          <cell r="AC311">
            <v>223.1</v>
          </cell>
          <cell r="AE311">
            <v>1494.77</v>
          </cell>
        </row>
        <row r="312">
          <cell r="C312" t="str">
            <v>STLLOCO1a Qualidade</v>
          </cell>
          <cell r="AC312">
            <v>5309</v>
          </cell>
          <cell r="AE312">
            <v>37163</v>
          </cell>
        </row>
        <row r="313">
          <cell r="C313" t="str">
            <v>STLSANTANA1a Qualidade</v>
          </cell>
          <cell r="AC313">
            <v>1421</v>
          </cell>
          <cell r="AE313">
            <v>8526</v>
          </cell>
        </row>
        <row r="314">
          <cell r="C314" t="str">
            <v>STLSANTANA1a Qualidade</v>
          </cell>
          <cell r="AC314">
            <v>500</v>
          </cell>
          <cell r="AE314">
            <v>3160</v>
          </cell>
        </row>
        <row r="315">
          <cell r="C315" t="str">
            <v>STLLOCO1a Qualidade</v>
          </cell>
          <cell r="AC315">
            <v>420</v>
          </cell>
          <cell r="AE315">
            <v>2814</v>
          </cell>
        </row>
        <row r="316">
          <cell r="C316" t="str">
            <v>STLSANTANA1a Qualidade</v>
          </cell>
          <cell r="AC316">
            <v>260</v>
          </cell>
          <cell r="AE316">
            <v>1604.2</v>
          </cell>
        </row>
        <row r="317">
          <cell r="C317" t="str">
            <v>STLSANTANA1a Qualidade</v>
          </cell>
          <cell r="AC317">
            <v>622.4</v>
          </cell>
          <cell r="AE317">
            <v>3958.4639999999999</v>
          </cell>
        </row>
        <row r="318">
          <cell r="C318" t="str">
            <v>STLSANTANA1a Qualidade</v>
          </cell>
          <cell r="AC318">
            <v>1003</v>
          </cell>
          <cell r="AE318">
            <v>6549.59</v>
          </cell>
        </row>
        <row r="319">
          <cell r="C319" t="str">
            <v>STLLOCO1a Qualidade</v>
          </cell>
          <cell r="AC319">
            <v>363</v>
          </cell>
          <cell r="AE319">
            <v>2432.1</v>
          </cell>
        </row>
        <row r="320">
          <cell r="C320" t="str">
            <v>STLBRIM1a Qualidade</v>
          </cell>
          <cell r="AC320">
            <v>149.9</v>
          </cell>
          <cell r="AE320">
            <v>860.42600000000004</v>
          </cell>
        </row>
        <row r="321">
          <cell r="C321" t="str">
            <v>STLSANTANA1a Qualidade</v>
          </cell>
          <cell r="AC321">
            <v>3069.9</v>
          </cell>
          <cell r="AE321">
            <v>18419.400000000001</v>
          </cell>
        </row>
        <row r="322">
          <cell r="C322" t="str">
            <v>STLSANTANA1a Qualidade</v>
          </cell>
          <cell r="AC322">
            <v>2067</v>
          </cell>
          <cell r="AE322">
            <v>12402</v>
          </cell>
        </row>
        <row r="323">
          <cell r="C323" t="str">
            <v>STLSANTANA1a Qualidade</v>
          </cell>
          <cell r="AC323">
            <v>2032.7</v>
          </cell>
          <cell r="AE323">
            <v>11789.66</v>
          </cell>
        </row>
        <row r="324">
          <cell r="C324" t="str">
            <v>STLSANTANA1a Qualidade</v>
          </cell>
          <cell r="AC324">
            <v>1419.5</v>
          </cell>
          <cell r="AE324">
            <v>9226.75</v>
          </cell>
        </row>
        <row r="325">
          <cell r="C325" t="str">
            <v>STLSANTANA1a Qualidade</v>
          </cell>
          <cell r="AC325">
            <v>652.5</v>
          </cell>
          <cell r="AE325">
            <v>3523.5</v>
          </cell>
        </row>
        <row r="326">
          <cell r="C326" t="str">
            <v>STLSANTANA1a Qualidade</v>
          </cell>
          <cell r="AC326">
            <v>260</v>
          </cell>
          <cell r="AE326">
            <v>1622.4</v>
          </cell>
        </row>
        <row r="327">
          <cell r="C327" t="str">
            <v>STLSANTANA1a Qualidade</v>
          </cell>
          <cell r="AC327">
            <v>320</v>
          </cell>
          <cell r="AE327">
            <v>1782.4</v>
          </cell>
        </row>
        <row r="328">
          <cell r="C328" t="str">
            <v>STLSANTANA1a Qualidade</v>
          </cell>
          <cell r="AC328">
            <v>290</v>
          </cell>
          <cell r="AE328">
            <v>1740</v>
          </cell>
        </row>
        <row r="329">
          <cell r="C329" t="str">
            <v>STLSANTANA1a Qualidade</v>
          </cell>
          <cell r="AC329">
            <v>805.2</v>
          </cell>
          <cell r="AE329">
            <v>4831.2</v>
          </cell>
        </row>
        <row r="330">
          <cell r="C330" t="str">
            <v>STLSANTANA1a Qualidade</v>
          </cell>
          <cell r="AC330">
            <v>560.1</v>
          </cell>
          <cell r="AE330">
            <v>3360.6</v>
          </cell>
        </row>
        <row r="331">
          <cell r="C331" t="str">
            <v>STLSANTANA1a Qualidade</v>
          </cell>
          <cell r="AC331">
            <v>2613.6999999999998</v>
          </cell>
          <cell r="AE331">
            <v>16204.94</v>
          </cell>
        </row>
        <row r="332">
          <cell r="C332" t="str">
            <v>STLSANTANA1a Qualidade</v>
          </cell>
          <cell r="AC332">
            <v>595</v>
          </cell>
          <cell r="AE332">
            <v>3689</v>
          </cell>
        </row>
        <row r="333">
          <cell r="C333" t="str">
            <v>STLSANTANA1a Qualidade</v>
          </cell>
          <cell r="AC333">
            <v>506.9</v>
          </cell>
          <cell r="AE333">
            <v>3497.61</v>
          </cell>
        </row>
        <row r="334">
          <cell r="C334" t="str">
            <v>STLSANTANA1a Qualidade</v>
          </cell>
          <cell r="AC334">
            <v>560</v>
          </cell>
          <cell r="AE334">
            <v>3561.6</v>
          </cell>
        </row>
        <row r="335">
          <cell r="C335" t="str">
            <v>STLSANTANA1a Qualidade</v>
          </cell>
          <cell r="AC335">
            <v>560</v>
          </cell>
          <cell r="AE335">
            <v>3360</v>
          </cell>
        </row>
        <row r="336">
          <cell r="C336" t="str">
            <v>STLLOCO1a Qualidade</v>
          </cell>
          <cell r="AC336">
            <v>1500.5</v>
          </cell>
          <cell r="AE336">
            <v>9903.2999999999993</v>
          </cell>
        </row>
        <row r="337">
          <cell r="C337" t="str">
            <v>STLSANTANA1a Qualidade</v>
          </cell>
          <cell r="AC337">
            <v>210.5</v>
          </cell>
          <cell r="AE337">
            <v>1178.8</v>
          </cell>
        </row>
        <row r="338">
          <cell r="C338" t="str">
            <v>STLSANTANA1a Qualidade</v>
          </cell>
          <cell r="AC338">
            <v>521</v>
          </cell>
          <cell r="AE338">
            <v>3126</v>
          </cell>
        </row>
        <row r="339">
          <cell r="C339" t="str">
            <v>STLSANTANA2a Qualidade</v>
          </cell>
          <cell r="AC339">
            <v>321.39999999999998</v>
          </cell>
          <cell r="AE339">
            <v>1645.568</v>
          </cell>
        </row>
        <row r="340">
          <cell r="C340" t="str">
            <v>STLSANTANA2a Qualidade</v>
          </cell>
          <cell r="AC340">
            <v>298.5</v>
          </cell>
          <cell r="AE340">
            <v>1701.45</v>
          </cell>
        </row>
        <row r="341">
          <cell r="C341" t="str">
            <v>STLSANTANA1a Qualidade</v>
          </cell>
          <cell r="AC341">
            <v>140</v>
          </cell>
          <cell r="AE341">
            <v>868</v>
          </cell>
        </row>
        <row r="342">
          <cell r="C342" t="str">
            <v>STLLOCO1a Qualidade</v>
          </cell>
          <cell r="AC342">
            <v>1086.5</v>
          </cell>
          <cell r="AE342">
            <v>7279.55</v>
          </cell>
        </row>
        <row r="343">
          <cell r="C343" t="str">
            <v>STLLOCO1a Qualidade</v>
          </cell>
          <cell r="AC343">
            <v>379.5</v>
          </cell>
          <cell r="AE343">
            <v>2504.6999999999998</v>
          </cell>
        </row>
        <row r="344">
          <cell r="C344" t="str">
            <v>STLSANTANA1a Qualidade</v>
          </cell>
          <cell r="AC344">
            <v>1230</v>
          </cell>
          <cell r="AE344">
            <v>7380</v>
          </cell>
        </row>
        <row r="345">
          <cell r="C345" t="str">
            <v>STLSANTANA1a Qualidade</v>
          </cell>
          <cell r="AC345">
            <v>531.70000000000005</v>
          </cell>
          <cell r="AE345">
            <v>3190.2</v>
          </cell>
        </row>
        <row r="346">
          <cell r="C346" t="str">
            <v>STLSANTANA1a Qualidade</v>
          </cell>
          <cell r="AC346">
            <v>1023</v>
          </cell>
          <cell r="AE346">
            <v>6138</v>
          </cell>
        </row>
        <row r="347">
          <cell r="C347" t="str">
            <v>STLSANTANA1a Qualidade</v>
          </cell>
          <cell r="AC347">
            <v>500</v>
          </cell>
          <cell r="AE347">
            <v>3000</v>
          </cell>
        </row>
        <row r="348">
          <cell r="C348" t="str">
            <v>STLSANTANA1a Qualidade</v>
          </cell>
          <cell r="AC348">
            <v>130</v>
          </cell>
          <cell r="AE348">
            <v>808.6</v>
          </cell>
        </row>
        <row r="349">
          <cell r="C349" t="str">
            <v>STLSANTANA1a Qualidade</v>
          </cell>
          <cell r="AC349">
            <v>122</v>
          </cell>
          <cell r="AE349">
            <v>807.64</v>
          </cell>
        </row>
        <row r="350">
          <cell r="C350" t="str">
            <v>STLSANTANA1a Qualidade</v>
          </cell>
          <cell r="AC350">
            <v>365</v>
          </cell>
          <cell r="AE350">
            <v>2737.5</v>
          </cell>
        </row>
        <row r="351">
          <cell r="C351" t="str">
            <v>STLSANTANA1a Qualidade</v>
          </cell>
          <cell r="AC351">
            <v>129</v>
          </cell>
          <cell r="AE351">
            <v>838.5</v>
          </cell>
        </row>
        <row r="352">
          <cell r="C352" t="str">
            <v>STLSANTANA1a Qualidade</v>
          </cell>
          <cell r="AC352">
            <v>560</v>
          </cell>
          <cell r="AE352">
            <v>3561.6</v>
          </cell>
        </row>
        <row r="353">
          <cell r="C353" t="str">
            <v>STLSANTANA1a Qualidade</v>
          </cell>
          <cell r="AC353">
            <v>393</v>
          </cell>
          <cell r="AE353">
            <v>2597.73</v>
          </cell>
        </row>
        <row r="354">
          <cell r="C354" t="str">
            <v>STLSANTANA1a Qualidade</v>
          </cell>
          <cell r="AC354">
            <v>130</v>
          </cell>
          <cell r="AE354">
            <v>832</v>
          </cell>
        </row>
        <row r="355">
          <cell r="C355" t="str">
            <v>STLLOCO1a Qualidade</v>
          </cell>
          <cell r="AC355">
            <v>130.69999999999999</v>
          </cell>
          <cell r="AE355">
            <v>1022.074</v>
          </cell>
        </row>
        <row r="356">
          <cell r="C356" t="str">
            <v>STLSANTANA1a Qualidade</v>
          </cell>
          <cell r="AC356">
            <v>130</v>
          </cell>
          <cell r="AE356">
            <v>767</v>
          </cell>
        </row>
        <row r="357">
          <cell r="C357" t="str">
            <v>STLSANTANA1a Qualidade</v>
          </cell>
          <cell r="AC357">
            <v>518.5</v>
          </cell>
          <cell r="AE357">
            <v>3214.7</v>
          </cell>
        </row>
        <row r="358">
          <cell r="C358" t="str">
            <v>STLSANTANA1a Qualidade</v>
          </cell>
          <cell r="AC358">
            <v>120</v>
          </cell>
          <cell r="AE358">
            <v>828</v>
          </cell>
        </row>
        <row r="359">
          <cell r="C359" t="str">
            <v>STLSANTANA1a Qualidade</v>
          </cell>
          <cell r="AC359">
            <v>130</v>
          </cell>
          <cell r="AE359">
            <v>741</v>
          </cell>
        </row>
        <row r="360">
          <cell r="C360" t="str">
            <v>STLSANTANA1a Qualidade</v>
          </cell>
          <cell r="AC360">
            <v>120</v>
          </cell>
          <cell r="AE360">
            <v>792</v>
          </cell>
        </row>
        <row r="361">
          <cell r="C361" t="str">
            <v>STLSANTANA1a Qualidade</v>
          </cell>
          <cell r="AC361">
            <v>1040.9000000000001</v>
          </cell>
          <cell r="AE361">
            <v>6765.85</v>
          </cell>
        </row>
        <row r="362">
          <cell r="C362" t="str">
            <v>STLSANTANA1a Qualidade</v>
          </cell>
          <cell r="AC362">
            <v>504.6</v>
          </cell>
          <cell r="AE362">
            <v>3027.6</v>
          </cell>
        </row>
        <row r="363">
          <cell r="C363" t="str">
            <v>STLSANTANA1a Qualidade</v>
          </cell>
          <cell r="AC363">
            <v>333.3</v>
          </cell>
          <cell r="AE363">
            <v>1966.47</v>
          </cell>
        </row>
        <row r="364">
          <cell r="C364" t="str">
            <v>STLLOCO1a Qualidade</v>
          </cell>
          <cell r="AC364">
            <v>300</v>
          </cell>
          <cell r="AE364">
            <v>2070</v>
          </cell>
        </row>
        <row r="365">
          <cell r="C365" t="str">
            <v>STLLOCO1a Qualidade</v>
          </cell>
          <cell r="AC365">
            <v>395.5</v>
          </cell>
          <cell r="AE365">
            <v>2728.95</v>
          </cell>
        </row>
        <row r="366">
          <cell r="C366" t="str">
            <v>STLSANTANA1a Qualidade</v>
          </cell>
          <cell r="AC366">
            <v>1109.5</v>
          </cell>
          <cell r="AE366">
            <v>7012.04</v>
          </cell>
        </row>
        <row r="367">
          <cell r="C367" t="str">
            <v>STLSANTANA2a Qualidade</v>
          </cell>
          <cell r="AC367">
            <v>906.6</v>
          </cell>
          <cell r="AE367">
            <v>4623.66</v>
          </cell>
        </row>
        <row r="368">
          <cell r="C368" t="str">
            <v>STLSANTANA2a Qualidade</v>
          </cell>
          <cell r="AC368">
            <v>4912.6000000000004</v>
          </cell>
          <cell r="AE368">
            <v>25054.26</v>
          </cell>
        </row>
        <row r="369">
          <cell r="C369" t="str">
            <v>STLSANTANA2a Qualidade</v>
          </cell>
          <cell r="AC369">
            <v>802.2</v>
          </cell>
          <cell r="AE369">
            <v>4091.22</v>
          </cell>
        </row>
        <row r="370">
          <cell r="C370" t="str">
            <v>STLSANTANA1a Qualidade</v>
          </cell>
          <cell r="AC370">
            <v>1474.7</v>
          </cell>
          <cell r="AE370">
            <v>10027.959999999999</v>
          </cell>
        </row>
        <row r="371">
          <cell r="C371" t="str">
            <v>STLSANTANA1a Qualidade</v>
          </cell>
          <cell r="AC371">
            <v>1060</v>
          </cell>
          <cell r="AE371">
            <v>7102</v>
          </cell>
        </row>
        <row r="372">
          <cell r="C372" t="str">
            <v>STLLOCO1a Qualidade</v>
          </cell>
          <cell r="AC372">
            <v>136</v>
          </cell>
          <cell r="AE372">
            <v>938.4</v>
          </cell>
        </row>
        <row r="373">
          <cell r="C373" t="str">
            <v>STLSANTANA1a Qualidade</v>
          </cell>
          <cell r="AC373">
            <v>57</v>
          </cell>
          <cell r="AE373">
            <v>381.9</v>
          </cell>
        </row>
        <row r="374">
          <cell r="C374" t="str">
            <v>STLSANTANA1a Qualidade</v>
          </cell>
          <cell r="AC374">
            <v>509.5</v>
          </cell>
          <cell r="AE374">
            <v>3006.05</v>
          </cell>
        </row>
        <row r="375">
          <cell r="C375" t="str">
            <v>STLSANTANA1a Qualidade</v>
          </cell>
          <cell r="AC375">
            <v>135</v>
          </cell>
          <cell r="AE375">
            <v>756</v>
          </cell>
        </row>
        <row r="376">
          <cell r="C376" t="str">
            <v>STLSANTANA1a Qualidade</v>
          </cell>
          <cell r="AC376">
            <v>1237</v>
          </cell>
          <cell r="AE376">
            <v>7298.3</v>
          </cell>
        </row>
        <row r="377">
          <cell r="C377" t="str">
            <v>STLSANTANA1a Qualidade</v>
          </cell>
          <cell r="AC377">
            <v>649.29999999999995</v>
          </cell>
          <cell r="AE377">
            <v>4291.8729999999996</v>
          </cell>
        </row>
        <row r="378">
          <cell r="C378" t="str">
            <v>STLSANTANA1a Qualidade</v>
          </cell>
          <cell r="AC378">
            <v>446</v>
          </cell>
          <cell r="AE378">
            <v>2631.4</v>
          </cell>
        </row>
        <row r="379">
          <cell r="C379" t="str">
            <v>STLSANTANA1a Qualidade</v>
          </cell>
          <cell r="AC379">
            <v>520.5</v>
          </cell>
          <cell r="AE379">
            <v>3070.95</v>
          </cell>
        </row>
        <row r="380">
          <cell r="C380" t="str">
            <v>STLSANTANA1a Qualidade</v>
          </cell>
          <cell r="AC380">
            <v>217.6</v>
          </cell>
          <cell r="AE380">
            <v>1305.5999999999999</v>
          </cell>
        </row>
        <row r="381">
          <cell r="C381" t="str">
            <v>STLSANTANA1a Qualidade</v>
          </cell>
          <cell r="AC381">
            <v>220.2</v>
          </cell>
          <cell r="AE381">
            <v>1321.2</v>
          </cell>
        </row>
        <row r="382">
          <cell r="C382" t="str">
            <v>STLSANTANA1a Qualidade</v>
          </cell>
          <cell r="AC382">
            <v>436</v>
          </cell>
          <cell r="AE382">
            <v>2616</v>
          </cell>
        </row>
        <row r="383">
          <cell r="C383" t="str">
            <v>STLSANTANA1a Qualidade</v>
          </cell>
          <cell r="AC383">
            <v>99.3</v>
          </cell>
          <cell r="AE383">
            <v>595.79999999999995</v>
          </cell>
        </row>
        <row r="384">
          <cell r="C384" t="str">
            <v>STLSANTANA1a Qualidade</v>
          </cell>
          <cell r="AC384">
            <v>1069.8</v>
          </cell>
          <cell r="AE384">
            <v>6311.82</v>
          </cell>
        </row>
        <row r="385">
          <cell r="C385" t="str">
            <v>STLSANTANA1a Qualidade</v>
          </cell>
          <cell r="AC385">
            <v>5106.1000000000004</v>
          </cell>
          <cell r="AE385">
            <v>35742.699999999997</v>
          </cell>
        </row>
        <row r="386">
          <cell r="C386" t="str">
            <v>STLLOCO1a Qualidade</v>
          </cell>
          <cell r="AC386">
            <v>2087.8000000000002</v>
          </cell>
          <cell r="AE386">
            <v>16702.400000000001</v>
          </cell>
        </row>
        <row r="387">
          <cell r="C387" t="str">
            <v>STLSANTANA1a Qualidade</v>
          </cell>
          <cell r="AC387">
            <v>1080</v>
          </cell>
          <cell r="AE387">
            <v>6480</v>
          </cell>
        </row>
        <row r="388">
          <cell r="C388" t="str">
            <v>STLSANTANA1a Qualidade</v>
          </cell>
          <cell r="AC388">
            <v>784</v>
          </cell>
          <cell r="AE388">
            <v>4704</v>
          </cell>
        </row>
        <row r="389">
          <cell r="C389" t="str">
            <v>STLSANTANA1a Qualidade</v>
          </cell>
          <cell r="AC389">
            <v>280</v>
          </cell>
          <cell r="AE389">
            <v>1680</v>
          </cell>
        </row>
        <row r="390">
          <cell r="C390" t="str">
            <v>STLSANTANA1a Qualidade</v>
          </cell>
          <cell r="AC390">
            <v>418.1</v>
          </cell>
          <cell r="AE390">
            <v>2508.6</v>
          </cell>
        </row>
        <row r="391">
          <cell r="C391" t="str">
            <v>STLSANTANA1a Qualidade</v>
          </cell>
          <cell r="AC391">
            <v>226</v>
          </cell>
          <cell r="AE391">
            <v>1356</v>
          </cell>
        </row>
        <row r="392">
          <cell r="C392" t="str">
            <v>STLSANTANA1a Qualidade</v>
          </cell>
          <cell r="AC392">
            <v>420</v>
          </cell>
          <cell r="AE392">
            <v>2520</v>
          </cell>
        </row>
        <row r="393">
          <cell r="C393" t="str">
            <v>STLSANTANA1a Qualidade</v>
          </cell>
          <cell r="AC393">
            <v>20</v>
          </cell>
          <cell r="AE393">
            <v>148.80000000000001</v>
          </cell>
        </row>
        <row r="394">
          <cell r="C394" t="str">
            <v>STLSANTANA1a Qualidade</v>
          </cell>
          <cell r="AC394">
            <v>20</v>
          </cell>
          <cell r="AE394">
            <v>131.19999999999999</v>
          </cell>
        </row>
        <row r="395">
          <cell r="C395" t="str">
            <v>STLSANTANA1a Qualidade</v>
          </cell>
          <cell r="AC395">
            <v>2057</v>
          </cell>
          <cell r="AE395">
            <v>12342</v>
          </cell>
        </row>
        <row r="396">
          <cell r="C396" t="str">
            <v>STLSANTANA1a Qualidade</v>
          </cell>
          <cell r="AC396">
            <v>2169.4</v>
          </cell>
          <cell r="AE396">
            <v>13450.28</v>
          </cell>
        </row>
        <row r="397">
          <cell r="C397" t="str">
            <v>STLLOCO1a Qualidade</v>
          </cell>
          <cell r="AC397">
            <v>20</v>
          </cell>
          <cell r="AE397">
            <v>158</v>
          </cell>
        </row>
        <row r="398">
          <cell r="C398" t="str">
            <v>STLLOCO1a Qualidade</v>
          </cell>
          <cell r="AC398">
            <v>21.1</v>
          </cell>
          <cell r="AE398">
            <v>187.79</v>
          </cell>
        </row>
        <row r="399">
          <cell r="C399" t="str">
            <v>STLLOCO1a Qualidade</v>
          </cell>
          <cell r="AC399">
            <v>20</v>
          </cell>
          <cell r="AE399">
            <v>158</v>
          </cell>
        </row>
        <row r="400">
          <cell r="C400" t="str">
            <v>STLSANTANA1a Qualidade</v>
          </cell>
          <cell r="AC400">
            <v>1956.2</v>
          </cell>
          <cell r="AE400">
            <v>12128.44</v>
          </cell>
        </row>
        <row r="401">
          <cell r="C401" t="str">
            <v>STLLOCO1a Qualidade</v>
          </cell>
          <cell r="AC401">
            <v>99</v>
          </cell>
          <cell r="AE401">
            <v>736.56</v>
          </cell>
        </row>
        <row r="402">
          <cell r="C402" t="str">
            <v>STLLOCO1a Qualidade</v>
          </cell>
          <cell r="AC402">
            <v>280</v>
          </cell>
          <cell r="AE402">
            <v>2021.6</v>
          </cell>
        </row>
        <row r="403">
          <cell r="C403" t="str">
            <v>STLLOCO1a Qualidade</v>
          </cell>
          <cell r="AC403">
            <v>308</v>
          </cell>
          <cell r="AE403">
            <v>2223.7600000000002</v>
          </cell>
        </row>
        <row r="404">
          <cell r="C404" t="str">
            <v>STLLOCO1a Qualidade</v>
          </cell>
          <cell r="AC404">
            <v>49.5</v>
          </cell>
          <cell r="AE404">
            <v>391.05</v>
          </cell>
        </row>
        <row r="405">
          <cell r="C405" t="str">
            <v>STLLOCO1a Qualidade</v>
          </cell>
          <cell r="AC405">
            <v>840</v>
          </cell>
          <cell r="AE405">
            <v>5628</v>
          </cell>
        </row>
        <row r="406">
          <cell r="C406" t="str">
            <v>STLLOCO1a Qualidade</v>
          </cell>
          <cell r="AC406">
            <v>840.3</v>
          </cell>
          <cell r="AE406">
            <v>5798.07</v>
          </cell>
        </row>
        <row r="407">
          <cell r="C407" t="str">
            <v>STLLOCO1a Qualidade</v>
          </cell>
          <cell r="AC407">
            <v>838.6</v>
          </cell>
          <cell r="AE407">
            <v>5786.34</v>
          </cell>
        </row>
        <row r="408">
          <cell r="C408" t="str">
            <v>STLLOCO1a Qualidade</v>
          </cell>
          <cell r="AC408">
            <v>256</v>
          </cell>
          <cell r="AE408">
            <v>1766.4</v>
          </cell>
        </row>
        <row r="409">
          <cell r="C409" t="str">
            <v>STLSANTANA1a Qualidade</v>
          </cell>
          <cell r="AC409">
            <v>236</v>
          </cell>
          <cell r="AE409">
            <v>1416</v>
          </cell>
        </row>
        <row r="410">
          <cell r="C410" t="str">
            <v>STLSANTANA1a Qualidade</v>
          </cell>
          <cell r="AC410">
            <v>1415.1</v>
          </cell>
          <cell r="AE410">
            <v>7217.01</v>
          </cell>
        </row>
        <row r="411">
          <cell r="C411" t="str">
            <v>STLSANTANA1a Qualidade</v>
          </cell>
          <cell r="AC411">
            <v>3171.1</v>
          </cell>
          <cell r="AE411">
            <v>19026.599999999999</v>
          </cell>
        </row>
        <row r="412">
          <cell r="C412" t="str">
            <v>STLLOCO1a Qualidade</v>
          </cell>
          <cell r="AC412">
            <v>3058.1</v>
          </cell>
          <cell r="AE412">
            <v>24464.799999999999</v>
          </cell>
        </row>
        <row r="413">
          <cell r="C413" t="str">
            <v>STLSANTANA1a Qualidade</v>
          </cell>
          <cell r="AC413">
            <v>595.20000000000005</v>
          </cell>
          <cell r="AE413">
            <v>3571.2</v>
          </cell>
        </row>
        <row r="414">
          <cell r="C414" t="str">
            <v>STLBEM1a Qualidade</v>
          </cell>
          <cell r="AC414">
            <v>442.5</v>
          </cell>
          <cell r="AE414">
            <v>3938.25</v>
          </cell>
        </row>
        <row r="415">
          <cell r="C415" t="str">
            <v>STLSANTANA1a Qualidade</v>
          </cell>
          <cell r="AC415">
            <v>1014.2</v>
          </cell>
          <cell r="AE415">
            <v>6085.2</v>
          </cell>
        </row>
        <row r="416">
          <cell r="C416" t="str">
            <v>STLSANTANA1a Qualidade</v>
          </cell>
          <cell r="AC416">
            <v>519.1</v>
          </cell>
          <cell r="AE416">
            <v>3062.69</v>
          </cell>
        </row>
        <row r="417">
          <cell r="C417" t="str">
            <v>STLLOCO1a Qualidade</v>
          </cell>
          <cell r="AC417">
            <v>133</v>
          </cell>
          <cell r="AE417">
            <v>1060.01</v>
          </cell>
        </row>
        <row r="418">
          <cell r="C418" t="str">
            <v>STLLOCO1a Qualidade</v>
          </cell>
          <cell r="AC418">
            <v>140</v>
          </cell>
          <cell r="AE418">
            <v>1150.8</v>
          </cell>
        </row>
        <row r="419">
          <cell r="C419" t="str">
            <v>STLSANTANA1a Qualidade</v>
          </cell>
          <cell r="AC419">
            <v>1083.0999999999999</v>
          </cell>
          <cell r="AE419">
            <v>5848.74</v>
          </cell>
        </row>
        <row r="420">
          <cell r="C420" t="str">
            <v>STLSANTANA1a Qualidade</v>
          </cell>
          <cell r="AC420">
            <v>2616.6</v>
          </cell>
          <cell r="AE420">
            <v>16222.92</v>
          </cell>
        </row>
        <row r="421">
          <cell r="C421" t="str">
            <v>STLSANTANA1a Qualidade</v>
          </cell>
          <cell r="AC421">
            <v>551.6</v>
          </cell>
          <cell r="AE421">
            <v>3309.6</v>
          </cell>
        </row>
        <row r="422">
          <cell r="C422" t="str">
            <v>STLSANTANA1a Qualidade</v>
          </cell>
          <cell r="AC422">
            <v>537</v>
          </cell>
          <cell r="AE422">
            <v>3383.1</v>
          </cell>
        </row>
        <row r="423">
          <cell r="C423" t="str">
            <v>STLSANTANA1a Qualidade</v>
          </cell>
          <cell r="AC423">
            <v>20</v>
          </cell>
          <cell r="AE423">
            <v>131.19999999999999</v>
          </cell>
        </row>
        <row r="424">
          <cell r="C424" t="str">
            <v>STLSANTANA1a Qualidade</v>
          </cell>
          <cell r="AC424">
            <v>20</v>
          </cell>
          <cell r="AE424">
            <v>130</v>
          </cell>
        </row>
        <row r="425">
          <cell r="C425" t="str">
            <v>STLLOCO1a Qualidade</v>
          </cell>
          <cell r="AC425">
            <v>1586.5</v>
          </cell>
          <cell r="AE425">
            <v>11105.5</v>
          </cell>
        </row>
        <row r="426">
          <cell r="C426" t="str">
            <v>STLLOCO1a Qualidade</v>
          </cell>
          <cell r="AC426">
            <v>978</v>
          </cell>
          <cell r="AE426">
            <v>6454.8</v>
          </cell>
        </row>
        <row r="427">
          <cell r="C427" t="str">
            <v>STLLOCO1a Qualidade</v>
          </cell>
          <cell r="AC427">
            <v>2043.9</v>
          </cell>
          <cell r="AE427">
            <v>15840.225</v>
          </cell>
        </row>
        <row r="428">
          <cell r="C428" t="str">
            <v>STLLOCO1a Qualidade</v>
          </cell>
          <cell r="AC428">
            <v>2185</v>
          </cell>
          <cell r="AE428">
            <v>16933.75</v>
          </cell>
        </row>
        <row r="429">
          <cell r="C429" t="str">
            <v>STLLOCO1a Qualidade</v>
          </cell>
          <cell r="AC429">
            <v>2100.5</v>
          </cell>
          <cell r="AE429">
            <v>16278.875</v>
          </cell>
        </row>
        <row r="430">
          <cell r="C430" t="str">
            <v>STLLOCO1a Qualidade</v>
          </cell>
          <cell r="AC430">
            <v>1974</v>
          </cell>
          <cell r="AE430">
            <v>14173.32</v>
          </cell>
        </row>
        <row r="431">
          <cell r="C431" t="str">
            <v>STLLOCO1a Qualidade</v>
          </cell>
          <cell r="AC431">
            <v>2125</v>
          </cell>
          <cell r="AE431">
            <v>14832.5</v>
          </cell>
        </row>
        <row r="432">
          <cell r="C432" t="str">
            <v>STLSANTANA1a Qualidade</v>
          </cell>
          <cell r="AC432">
            <v>2097</v>
          </cell>
          <cell r="AE432">
            <v>15622.65</v>
          </cell>
        </row>
        <row r="433">
          <cell r="C433" t="str">
            <v>STLLOCO1a Qualidade</v>
          </cell>
          <cell r="AC433">
            <v>797.5</v>
          </cell>
          <cell r="AE433">
            <v>7177.5</v>
          </cell>
        </row>
        <row r="434">
          <cell r="C434" t="str">
            <v>STLSANTANA1a Qualidade</v>
          </cell>
          <cell r="AC434">
            <v>2090.6</v>
          </cell>
          <cell r="AE434">
            <v>11456.488000000001</v>
          </cell>
        </row>
        <row r="435">
          <cell r="C435" t="str">
            <v>STLSANTANA1a Qualidade</v>
          </cell>
          <cell r="AC435">
            <v>3027.4</v>
          </cell>
          <cell r="AE435">
            <v>17256.18</v>
          </cell>
        </row>
        <row r="436">
          <cell r="C436" t="str">
            <v>STLLOCO1a Qualidade</v>
          </cell>
          <cell r="AC436">
            <v>4085.8</v>
          </cell>
          <cell r="AE436">
            <v>32277.82</v>
          </cell>
        </row>
        <row r="437">
          <cell r="C437" t="str">
            <v>STLLOCO1a Qualidade</v>
          </cell>
          <cell r="AC437">
            <v>848.7</v>
          </cell>
          <cell r="AE437">
            <v>5856.03</v>
          </cell>
        </row>
        <row r="438">
          <cell r="C438" t="str">
            <v>STLSANTANA1a Qualidade</v>
          </cell>
          <cell r="AC438">
            <v>984.7</v>
          </cell>
          <cell r="AE438">
            <v>6695.96</v>
          </cell>
        </row>
        <row r="439">
          <cell r="C439" t="str">
            <v>STLSANTANA1a Qualidade</v>
          </cell>
          <cell r="AC439">
            <v>390</v>
          </cell>
          <cell r="AE439">
            <v>2086.5</v>
          </cell>
        </row>
        <row r="440">
          <cell r="C440" t="str">
            <v>STLSANTANA1a Qualidade</v>
          </cell>
          <cell r="AC440">
            <v>102</v>
          </cell>
          <cell r="AE440">
            <v>545.70000000000005</v>
          </cell>
        </row>
        <row r="441">
          <cell r="C441" t="str">
            <v>STLSANTANA1a Qualidade</v>
          </cell>
          <cell r="AC441">
            <v>1069</v>
          </cell>
          <cell r="AE441">
            <v>6734.7</v>
          </cell>
        </row>
        <row r="442">
          <cell r="C442" t="str">
            <v>STLSANTANA2a Qualidade</v>
          </cell>
          <cell r="AC442">
            <v>339</v>
          </cell>
          <cell r="AE442">
            <v>1813.65</v>
          </cell>
        </row>
        <row r="443">
          <cell r="C443" t="str">
            <v>STLSANTANA1a Qualidade</v>
          </cell>
          <cell r="AC443">
            <v>700</v>
          </cell>
          <cell r="AE443">
            <v>4200</v>
          </cell>
        </row>
        <row r="444">
          <cell r="C444" t="str">
            <v>STLSANTANA1a Qualidade</v>
          </cell>
          <cell r="AC444">
            <v>3381.1</v>
          </cell>
          <cell r="AE444">
            <v>25358.25</v>
          </cell>
        </row>
        <row r="445">
          <cell r="C445" t="str">
            <v>STLSANTANA1a Qualidade</v>
          </cell>
          <cell r="AC445">
            <v>520</v>
          </cell>
          <cell r="AE445">
            <v>3307.2</v>
          </cell>
        </row>
        <row r="446">
          <cell r="C446" t="str">
            <v>STLSANTANA1a Qualidade</v>
          </cell>
          <cell r="AC446">
            <v>1258.5</v>
          </cell>
          <cell r="AE446">
            <v>8004.06</v>
          </cell>
        </row>
        <row r="447">
          <cell r="C447" t="str">
            <v>STLRETALHORetalho</v>
          </cell>
          <cell r="AC447">
            <v>864.01300975731806</v>
          </cell>
          <cell r="AE447">
            <v>1726.73</v>
          </cell>
        </row>
        <row r="448">
          <cell r="C448" t="str">
            <v>STLBRIM1a Qualidade</v>
          </cell>
          <cell r="AC448">
            <v>1000</v>
          </cell>
          <cell r="AE448">
            <v>2500</v>
          </cell>
        </row>
        <row r="449">
          <cell r="C449" t="str">
            <v>STLSANTANA1a Qualidade</v>
          </cell>
          <cell r="AC449">
            <v>360</v>
          </cell>
          <cell r="AE449">
            <v>2484</v>
          </cell>
        </row>
        <row r="450">
          <cell r="C450" t="str">
            <v>STLLOCO1a Qualidade</v>
          </cell>
          <cell r="AC450">
            <v>80.7</v>
          </cell>
          <cell r="AE450">
            <v>718.23</v>
          </cell>
        </row>
        <row r="451">
          <cell r="C451" t="str">
            <v>STLSANTANA2a Qualidade</v>
          </cell>
          <cell r="AC451">
            <v>5019.2</v>
          </cell>
          <cell r="AE451">
            <v>25096</v>
          </cell>
        </row>
        <row r="452">
          <cell r="C452" t="str">
            <v>STLSANTANA1a Qualidade</v>
          </cell>
          <cell r="AC452">
            <v>674.4</v>
          </cell>
          <cell r="AE452">
            <v>4457.7839999999997</v>
          </cell>
        </row>
        <row r="453">
          <cell r="C453" t="str">
            <v>STLLOCO1a Qualidade</v>
          </cell>
          <cell r="AC453">
            <v>200</v>
          </cell>
          <cell r="AE453">
            <v>1518</v>
          </cell>
        </row>
        <row r="454">
          <cell r="C454" t="str">
            <v>STLSANTANA1a Qualidade</v>
          </cell>
          <cell r="AC454">
            <v>200</v>
          </cell>
          <cell r="AE454">
            <v>1300</v>
          </cell>
        </row>
        <row r="455">
          <cell r="C455" t="str">
            <v>STLSANTANA1a Qualidade</v>
          </cell>
          <cell r="AC455">
            <v>220</v>
          </cell>
          <cell r="AE455">
            <v>1471.8</v>
          </cell>
        </row>
        <row r="456">
          <cell r="C456" t="str">
            <v>STLSANTANA1a Qualidade</v>
          </cell>
          <cell r="AC456">
            <v>200.5</v>
          </cell>
          <cell r="AE456">
            <v>1383.45</v>
          </cell>
        </row>
        <row r="457">
          <cell r="C457" t="str">
            <v>STLSANTANA1a Qualidade</v>
          </cell>
          <cell r="AC457">
            <v>1208</v>
          </cell>
          <cell r="AE457">
            <v>8045.28</v>
          </cell>
        </row>
        <row r="458">
          <cell r="C458" t="str">
            <v>STLSANTANA1a Qualidade</v>
          </cell>
          <cell r="AC458">
            <v>6456.2</v>
          </cell>
          <cell r="AE458">
            <v>35509.1</v>
          </cell>
        </row>
        <row r="459">
          <cell r="C459" t="str">
            <v>STLSANTANA1a Qualidade</v>
          </cell>
          <cell r="AC459">
            <v>2146.5</v>
          </cell>
          <cell r="AE459">
            <v>12578.49</v>
          </cell>
        </row>
        <row r="460">
          <cell r="C460" t="str">
            <v>STLSANTANA1a Qualidade</v>
          </cell>
          <cell r="AC460">
            <v>892.5</v>
          </cell>
          <cell r="AE460">
            <v>6675.9</v>
          </cell>
        </row>
        <row r="461">
          <cell r="C461" t="str">
            <v>STLSANTANA1a Qualidade</v>
          </cell>
          <cell r="AC461">
            <v>10049.6</v>
          </cell>
          <cell r="AE461">
            <v>60297.599999999999</v>
          </cell>
        </row>
        <row r="462">
          <cell r="C462" t="str">
            <v>SMTSANTANA1a Qualidade</v>
          </cell>
          <cell r="AC462">
            <v>1040</v>
          </cell>
          <cell r="AE462">
            <v>5200</v>
          </cell>
        </row>
        <row r="463">
          <cell r="C463" t="str">
            <v>SMTSANTANA1a Qualidade</v>
          </cell>
          <cell r="AC463">
            <v>310.10000000000002</v>
          </cell>
          <cell r="AE463">
            <v>2170.6999999999998</v>
          </cell>
        </row>
        <row r="464">
          <cell r="C464" t="str">
            <v>SMTSANTANA1a Qualidade</v>
          </cell>
          <cell r="AC464">
            <v>7009.5</v>
          </cell>
          <cell r="AE464">
            <v>40304.625</v>
          </cell>
        </row>
        <row r="465">
          <cell r="C465" t="str">
            <v>SMTSANTANA1a Qualidade</v>
          </cell>
          <cell r="AC465">
            <v>1043.5</v>
          </cell>
          <cell r="AE465">
            <v>6991.45</v>
          </cell>
        </row>
        <row r="466">
          <cell r="C466" t="str">
            <v>SMTLOCO1a Qualidade</v>
          </cell>
          <cell r="AC466">
            <v>1032</v>
          </cell>
          <cell r="AE466">
            <v>8152.8</v>
          </cell>
        </row>
        <row r="467">
          <cell r="C467" t="str">
            <v>SMTSANTANA1a Qualidade</v>
          </cell>
          <cell r="AC467">
            <v>4693.3</v>
          </cell>
          <cell r="AE467">
            <v>30881.914000000001</v>
          </cell>
        </row>
        <row r="468">
          <cell r="C468" t="str">
            <v>SMTSANTANA1a Qualidade</v>
          </cell>
          <cell r="AC468">
            <v>100</v>
          </cell>
          <cell r="AE468">
            <v>640</v>
          </cell>
        </row>
        <row r="469">
          <cell r="C469" t="str">
            <v>SMTSANTANA1a Qualidade</v>
          </cell>
          <cell r="AC469">
            <v>420</v>
          </cell>
          <cell r="AE469">
            <v>2797.2</v>
          </cell>
        </row>
        <row r="470">
          <cell r="C470" t="str">
            <v>SMTSANTANA1a Qualidade</v>
          </cell>
          <cell r="AC470">
            <v>100</v>
          </cell>
          <cell r="AE470">
            <v>614</v>
          </cell>
        </row>
        <row r="471">
          <cell r="C471" t="str">
            <v>SMTSANTANA1a Qualidade</v>
          </cell>
          <cell r="AC471">
            <v>94.5</v>
          </cell>
          <cell r="AE471">
            <v>590.625</v>
          </cell>
        </row>
        <row r="472">
          <cell r="C472" t="str">
            <v>SMTSANTANA1a Qualidade</v>
          </cell>
          <cell r="AC472">
            <v>215</v>
          </cell>
          <cell r="AE472">
            <v>1500.7</v>
          </cell>
        </row>
        <row r="473">
          <cell r="C473" t="str">
            <v>SMTLOCO1a Qualidade</v>
          </cell>
          <cell r="AC473">
            <v>399.2</v>
          </cell>
          <cell r="AE473">
            <v>3153.68</v>
          </cell>
        </row>
        <row r="474">
          <cell r="C474" t="str">
            <v>SMTLOCO1a Qualidade</v>
          </cell>
          <cell r="AC474">
            <v>264.10000000000002</v>
          </cell>
          <cell r="AE474">
            <v>1769.47</v>
          </cell>
        </row>
        <row r="475">
          <cell r="C475" t="str">
            <v>SMTLOCO1a Qualidade</v>
          </cell>
          <cell r="AC475">
            <v>233.5</v>
          </cell>
          <cell r="AE475">
            <v>1844.65</v>
          </cell>
        </row>
        <row r="476">
          <cell r="C476" t="str">
            <v>SMTLOCO1a Qualidade</v>
          </cell>
          <cell r="AC476">
            <v>260</v>
          </cell>
          <cell r="AE476">
            <v>2054</v>
          </cell>
        </row>
        <row r="477">
          <cell r="C477" t="str">
            <v>SMTLOCO1a Qualidade</v>
          </cell>
          <cell r="AC477">
            <v>249.5</v>
          </cell>
          <cell r="AE477">
            <v>1971.05</v>
          </cell>
        </row>
        <row r="478">
          <cell r="C478" t="str">
            <v>SMTSANTANA1a Qualidade</v>
          </cell>
          <cell r="AC478">
            <v>4103.5</v>
          </cell>
          <cell r="AE478">
            <v>23389.95</v>
          </cell>
        </row>
        <row r="479">
          <cell r="C479" t="str">
            <v>SMTSANTANA1a Qualidade</v>
          </cell>
          <cell r="AC479">
            <v>4031.9</v>
          </cell>
          <cell r="AE479">
            <v>22981.83</v>
          </cell>
        </row>
        <row r="480">
          <cell r="C480" t="str">
            <v>SMTSANTANA1a Qualidade</v>
          </cell>
          <cell r="AC480">
            <v>100</v>
          </cell>
          <cell r="AE480">
            <v>640</v>
          </cell>
        </row>
        <row r="481">
          <cell r="C481" t="str">
            <v>SMTSANTANA1a Qualidade</v>
          </cell>
          <cell r="AC481">
            <v>2024.1</v>
          </cell>
          <cell r="AE481">
            <v>12144.6</v>
          </cell>
        </row>
        <row r="482">
          <cell r="C482" t="str">
            <v>SMTSANTANA1a Qualidade</v>
          </cell>
          <cell r="AC482">
            <v>2083</v>
          </cell>
          <cell r="AE482">
            <v>12498</v>
          </cell>
        </row>
        <row r="483">
          <cell r="C483" t="str">
            <v>SMTSANTANA1a Qualidade</v>
          </cell>
          <cell r="AC483">
            <v>2583.6</v>
          </cell>
          <cell r="AE483">
            <v>14726.52</v>
          </cell>
        </row>
        <row r="484">
          <cell r="C484" t="str">
            <v>SMTLOCODirecionado</v>
          </cell>
          <cell r="AC484">
            <v>2175.4</v>
          </cell>
          <cell r="AE484">
            <v>13052.4</v>
          </cell>
        </row>
        <row r="485">
          <cell r="C485" t="str">
            <v>SMTLOCODirecionado</v>
          </cell>
          <cell r="AC485">
            <v>1515.3</v>
          </cell>
          <cell r="AE485">
            <v>9091.7999999999993</v>
          </cell>
        </row>
        <row r="486">
          <cell r="C486" t="str">
            <v>SMTLOCODirecionado</v>
          </cell>
          <cell r="AC486">
            <v>1573.9</v>
          </cell>
          <cell r="AE486">
            <v>9443.4</v>
          </cell>
        </row>
        <row r="487">
          <cell r="C487" t="str">
            <v>SMTLOCODirecionado</v>
          </cell>
          <cell r="AC487">
            <v>1580.4</v>
          </cell>
          <cell r="AE487">
            <v>9482.4</v>
          </cell>
        </row>
        <row r="488">
          <cell r="C488" t="str">
            <v>SMTSANTANADirecionado</v>
          </cell>
          <cell r="AC488">
            <v>1151.5</v>
          </cell>
          <cell r="AE488">
            <v>6102.95</v>
          </cell>
        </row>
        <row r="489">
          <cell r="C489" t="str">
            <v>SMTSANTANADirecionado</v>
          </cell>
          <cell r="AC489">
            <v>534</v>
          </cell>
          <cell r="AE489">
            <v>2830.2</v>
          </cell>
        </row>
        <row r="490">
          <cell r="C490" t="str">
            <v>SMTSANTANADirecionado</v>
          </cell>
          <cell r="AC490">
            <v>200</v>
          </cell>
          <cell r="AE490">
            <v>1060</v>
          </cell>
        </row>
        <row r="491">
          <cell r="C491" t="str">
            <v>SMTSANTANADirecionado</v>
          </cell>
          <cell r="AC491">
            <v>322</v>
          </cell>
          <cell r="AE491">
            <v>1706.6</v>
          </cell>
        </row>
        <row r="492">
          <cell r="C492" t="str">
            <v>SMTSANTANADirecionado</v>
          </cell>
          <cell r="AC492">
            <v>1733.5</v>
          </cell>
          <cell r="AE492">
            <v>8667.5</v>
          </cell>
        </row>
        <row r="493">
          <cell r="C493" t="str">
            <v>SMTSANTANADirecionado</v>
          </cell>
          <cell r="AC493">
            <v>1870.5</v>
          </cell>
          <cell r="AE493">
            <v>9352.5</v>
          </cell>
        </row>
        <row r="494">
          <cell r="C494" t="str">
            <v>SMTSANTANADirecionado</v>
          </cell>
          <cell r="AC494">
            <v>100</v>
          </cell>
          <cell r="AE494">
            <v>500</v>
          </cell>
        </row>
        <row r="495">
          <cell r="C495" t="str">
            <v>SMTSANTANA1a Qualidade</v>
          </cell>
          <cell r="AC495">
            <v>2085</v>
          </cell>
          <cell r="AE495">
            <v>12947.85</v>
          </cell>
        </row>
        <row r="496">
          <cell r="C496" t="str">
            <v>SMTLOCO1a Qualidade</v>
          </cell>
          <cell r="AC496">
            <v>433</v>
          </cell>
          <cell r="AE496">
            <v>2961.72</v>
          </cell>
        </row>
        <row r="497">
          <cell r="C497" t="str">
            <v>SMTSANTANA1a Qualidade</v>
          </cell>
          <cell r="AC497">
            <v>3430.5</v>
          </cell>
          <cell r="AE497">
            <v>21612.15</v>
          </cell>
        </row>
        <row r="498">
          <cell r="C498" t="str">
            <v>SMTLOCO1a Qualidade</v>
          </cell>
          <cell r="AC498">
            <v>1000.6</v>
          </cell>
          <cell r="AE498">
            <v>6704.02</v>
          </cell>
        </row>
        <row r="499">
          <cell r="C499" t="str">
            <v>SMTSANTANA1a Qualidade</v>
          </cell>
          <cell r="AC499">
            <v>1946</v>
          </cell>
          <cell r="AE499">
            <v>10703</v>
          </cell>
        </row>
        <row r="500">
          <cell r="C500" t="str">
            <v>SMTLOCO1a Qualidade</v>
          </cell>
          <cell r="AC500">
            <v>634</v>
          </cell>
          <cell r="AE500">
            <v>5033.96</v>
          </cell>
        </row>
        <row r="501">
          <cell r="C501" t="str">
            <v>SMTLOCO1a Qualidade</v>
          </cell>
          <cell r="AC501">
            <v>220</v>
          </cell>
          <cell r="AE501">
            <v>1535.6</v>
          </cell>
        </row>
        <row r="502">
          <cell r="C502" t="str">
            <v>SMTSANTANA1a Qualidade</v>
          </cell>
          <cell r="AC502">
            <v>987.2</v>
          </cell>
          <cell r="AE502">
            <v>5113.6959999999999</v>
          </cell>
        </row>
        <row r="503">
          <cell r="C503" t="str">
            <v>SMTLOCO1a Qualidade</v>
          </cell>
          <cell r="AC503">
            <v>525.1</v>
          </cell>
          <cell r="AE503">
            <v>3980.2580000000003</v>
          </cell>
        </row>
        <row r="504">
          <cell r="C504" t="str">
            <v>SMTLOCO1a Qualidade</v>
          </cell>
          <cell r="AC504">
            <v>520</v>
          </cell>
          <cell r="AE504">
            <v>3941.6</v>
          </cell>
        </row>
        <row r="505">
          <cell r="C505" t="str">
            <v>SMTLOCO1a Qualidade</v>
          </cell>
          <cell r="AC505">
            <v>557</v>
          </cell>
          <cell r="AE505">
            <v>4756.78</v>
          </cell>
        </row>
        <row r="506">
          <cell r="C506" t="str">
            <v>SMTSANTANA1a Qualidade</v>
          </cell>
          <cell r="AC506">
            <v>1582.9</v>
          </cell>
          <cell r="AE506">
            <v>8231.08</v>
          </cell>
        </row>
        <row r="507">
          <cell r="C507" t="str">
            <v>SMTLOCO1a Qualidade</v>
          </cell>
          <cell r="AC507">
            <v>198.2</v>
          </cell>
          <cell r="AE507">
            <v>1597.492</v>
          </cell>
        </row>
        <row r="508">
          <cell r="C508" t="str">
            <v>SMTLOCO1a Qualidade</v>
          </cell>
          <cell r="AC508">
            <v>201.7</v>
          </cell>
          <cell r="AE508">
            <v>1748.7389999999998</v>
          </cell>
        </row>
        <row r="509">
          <cell r="C509" t="str">
            <v>SMTLOCO1a Qualidade</v>
          </cell>
          <cell r="AC509">
            <v>660.3</v>
          </cell>
          <cell r="AE509">
            <v>5322.018</v>
          </cell>
        </row>
        <row r="510">
          <cell r="C510" t="str">
            <v>SMTLOCO1a Qualidade</v>
          </cell>
          <cell r="AC510">
            <v>328</v>
          </cell>
          <cell r="AE510">
            <v>2545.2800000000002</v>
          </cell>
        </row>
        <row r="511">
          <cell r="C511" t="str">
            <v>SMTSANTANA1a Qualidade</v>
          </cell>
          <cell r="AC511">
            <v>1052</v>
          </cell>
          <cell r="AE511">
            <v>6732.8</v>
          </cell>
        </row>
        <row r="512">
          <cell r="C512" t="str">
            <v>SMTSANTANA1a Qualidade</v>
          </cell>
          <cell r="AC512">
            <v>538.5</v>
          </cell>
          <cell r="AE512">
            <v>2967.1349999999998</v>
          </cell>
        </row>
        <row r="513">
          <cell r="C513" t="str">
            <v>SMTSANTANA1a Qualidade</v>
          </cell>
          <cell r="AC513">
            <v>6069.2</v>
          </cell>
          <cell r="AE513">
            <v>33380.6</v>
          </cell>
        </row>
        <row r="514">
          <cell r="C514" t="str">
            <v>SMTSANTANA1a Qualidade</v>
          </cell>
          <cell r="AC514">
            <v>5068.2</v>
          </cell>
          <cell r="AE514">
            <v>27875.1</v>
          </cell>
        </row>
        <row r="515">
          <cell r="C515" t="str">
            <v>SMTLOCO1a Qualidade</v>
          </cell>
          <cell r="AC515">
            <v>210</v>
          </cell>
          <cell r="AE515">
            <v>1629.6</v>
          </cell>
        </row>
        <row r="516">
          <cell r="C516" t="str">
            <v>SMTLOCO1a Qualidade</v>
          </cell>
          <cell r="AC516">
            <v>93.4</v>
          </cell>
          <cell r="AE516">
            <v>809.77800000000002</v>
          </cell>
        </row>
        <row r="517">
          <cell r="C517" t="str">
            <v>SMTLOCO1a Qualidade</v>
          </cell>
          <cell r="AC517">
            <v>156.1</v>
          </cell>
          <cell r="AE517">
            <v>936.6</v>
          </cell>
        </row>
        <row r="518">
          <cell r="C518" t="str">
            <v>SMTLOCO1a Qualidade</v>
          </cell>
          <cell r="AC518">
            <v>145.1</v>
          </cell>
          <cell r="AE518">
            <v>870.6</v>
          </cell>
        </row>
        <row r="519">
          <cell r="C519" t="str">
            <v>SMTLOCO1a Qualidade</v>
          </cell>
          <cell r="AC519">
            <v>194.7</v>
          </cell>
          <cell r="AE519">
            <v>1168.2</v>
          </cell>
        </row>
        <row r="520">
          <cell r="C520" t="str">
            <v>SMTSANTANA2a Qualidade</v>
          </cell>
          <cell r="AC520">
            <v>119.2</v>
          </cell>
          <cell r="AE520">
            <v>590.04</v>
          </cell>
        </row>
        <row r="521">
          <cell r="C521" t="str">
            <v>SMTSANTANA2a Qualidade</v>
          </cell>
          <cell r="AC521">
            <v>124.8</v>
          </cell>
          <cell r="AE521">
            <v>617.76</v>
          </cell>
        </row>
        <row r="522">
          <cell r="C522" t="str">
            <v>SMTLOCO1a Qualidade</v>
          </cell>
          <cell r="AC522">
            <v>1069.7</v>
          </cell>
          <cell r="AE522">
            <v>7380.93</v>
          </cell>
        </row>
        <row r="523">
          <cell r="C523" t="str">
            <v>SMTLOCODirecionado</v>
          </cell>
          <cell r="AC523">
            <v>1511.1</v>
          </cell>
          <cell r="AE523">
            <v>9066.6</v>
          </cell>
        </row>
        <row r="524">
          <cell r="C524" t="str">
            <v>SMTLOCODirecionado</v>
          </cell>
          <cell r="AC524">
            <v>1278.2</v>
          </cell>
          <cell r="AE524">
            <v>7669.2</v>
          </cell>
        </row>
        <row r="525">
          <cell r="C525" t="str">
            <v>SMTLOCODirecionado</v>
          </cell>
          <cell r="AC525">
            <v>773.5</v>
          </cell>
          <cell r="AE525">
            <v>4641</v>
          </cell>
        </row>
        <row r="526">
          <cell r="C526" t="str">
            <v>SMTLOCODirecionado</v>
          </cell>
          <cell r="AC526">
            <v>294.2</v>
          </cell>
          <cell r="AE526">
            <v>1765.2</v>
          </cell>
        </row>
        <row r="527">
          <cell r="C527" t="str">
            <v>SMTLOCO1a Qualidade</v>
          </cell>
          <cell r="AC527">
            <v>235</v>
          </cell>
          <cell r="AE527">
            <v>1654.4</v>
          </cell>
        </row>
        <row r="528">
          <cell r="C528" t="str">
            <v>SMTLOCO1a Qualidade</v>
          </cell>
          <cell r="AC528">
            <v>130</v>
          </cell>
          <cell r="AE528">
            <v>915.2</v>
          </cell>
        </row>
        <row r="529">
          <cell r="C529" t="str">
            <v>SMTLOCO1a Qualidade</v>
          </cell>
          <cell r="AC529">
            <v>125</v>
          </cell>
          <cell r="AE529">
            <v>1135</v>
          </cell>
        </row>
        <row r="530">
          <cell r="C530" t="str">
            <v>SMTLOCO1a Qualidade</v>
          </cell>
          <cell r="AC530">
            <v>130</v>
          </cell>
          <cell r="AE530">
            <v>1047.8</v>
          </cell>
        </row>
        <row r="531">
          <cell r="C531" t="str">
            <v>SMTOE - 100% Algodão1a Qualidade</v>
          </cell>
          <cell r="AC531">
            <v>22525.15</v>
          </cell>
          <cell r="AE531">
            <v>167361.8645</v>
          </cell>
        </row>
        <row r="532">
          <cell r="C532" t="str">
            <v>SMTLOCO1a Qualidade</v>
          </cell>
          <cell r="AC532">
            <v>310.5</v>
          </cell>
          <cell r="AE532">
            <v>2437.4250000000002</v>
          </cell>
        </row>
        <row r="533">
          <cell r="C533" t="str">
            <v>SMTSANTANA1a Qualidade</v>
          </cell>
          <cell r="AC533">
            <v>300.8</v>
          </cell>
          <cell r="AE533">
            <v>2541.7600000000002</v>
          </cell>
        </row>
        <row r="534">
          <cell r="C534" t="str">
            <v>SMTLOCO1a Qualidade</v>
          </cell>
          <cell r="AC534">
            <v>2769.8</v>
          </cell>
          <cell r="AE534">
            <v>18696.150000000001</v>
          </cell>
        </row>
        <row r="535">
          <cell r="C535" t="str">
            <v>SMTSANTANA1a Qualidade</v>
          </cell>
          <cell r="AC535">
            <v>7148.1</v>
          </cell>
          <cell r="AE535">
            <v>43388.967000000004</v>
          </cell>
        </row>
        <row r="536">
          <cell r="C536" t="str">
            <v>SMTSANTANA1a Qualidade</v>
          </cell>
          <cell r="AC536">
            <v>7020.9</v>
          </cell>
          <cell r="AE536">
            <v>42616.862999999998</v>
          </cell>
        </row>
        <row r="537">
          <cell r="C537" t="str">
            <v>SMTLOCO1a Qualidade</v>
          </cell>
          <cell r="AC537">
            <v>1607.6</v>
          </cell>
          <cell r="AE537">
            <v>10610.16</v>
          </cell>
        </row>
        <row r="538">
          <cell r="C538" t="str">
            <v>SMTSANTANA1a Qualidade</v>
          </cell>
          <cell r="AC538">
            <v>1001.9</v>
          </cell>
          <cell r="AE538">
            <v>5249.9560000000001</v>
          </cell>
        </row>
        <row r="539">
          <cell r="C539" t="str">
            <v>SMTSANTANA1a Qualidade</v>
          </cell>
          <cell r="AC539">
            <v>1099</v>
          </cell>
          <cell r="AE539">
            <v>7143.5</v>
          </cell>
        </row>
        <row r="540">
          <cell r="C540" t="str">
            <v>SMTLOCO1a Qualidade</v>
          </cell>
          <cell r="AC540">
            <v>498.5</v>
          </cell>
          <cell r="AE540">
            <v>3240.25</v>
          </cell>
        </row>
        <row r="541">
          <cell r="C541" t="str">
            <v>SMTOE - 100% Algodão1a Qualidade</v>
          </cell>
          <cell r="AC541">
            <v>3023.55</v>
          </cell>
          <cell r="AE541">
            <v>20257.785000000003</v>
          </cell>
        </row>
        <row r="542">
          <cell r="C542" t="str">
            <v>SMTOE - 100% Algodão1a Qualidade</v>
          </cell>
          <cell r="AC542">
            <v>3029.1</v>
          </cell>
          <cell r="AE542">
            <v>20294.97</v>
          </cell>
        </row>
        <row r="543">
          <cell r="C543" t="str">
            <v>SMTLOCO1a Qualidade</v>
          </cell>
          <cell r="AC543">
            <v>100</v>
          </cell>
          <cell r="AE543">
            <v>850</v>
          </cell>
        </row>
        <row r="544">
          <cell r="C544" t="str">
            <v>SMTLOCO1a Qualidade</v>
          </cell>
          <cell r="AC544">
            <v>118.2</v>
          </cell>
          <cell r="AE544">
            <v>1051.98</v>
          </cell>
        </row>
        <row r="545">
          <cell r="C545" t="str">
            <v>SMTLOCO1a Qualidade</v>
          </cell>
          <cell r="AC545">
            <v>100</v>
          </cell>
          <cell r="AE545">
            <v>790</v>
          </cell>
        </row>
        <row r="546">
          <cell r="C546" t="str">
            <v>SMTSANTANA1a Qualidade</v>
          </cell>
          <cell r="AC546">
            <v>5015.8</v>
          </cell>
          <cell r="AE546">
            <v>27586.9</v>
          </cell>
        </row>
        <row r="547">
          <cell r="C547" t="str">
            <v>SMTSANTANA1a Qualidade</v>
          </cell>
          <cell r="AC547">
            <v>188.5</v>
          </cell>
          <cell r="AE547">
            <v>1206.4000000000001</v>
          </cell>
        </row>
        <row r="548">
          <cell r="C548" t="str">
            <v>SMTLOCO1a Qualidade</v>
          </cell>
          <cell r="AC548">
            <v>1026.7</v>
          </cell>
          <cell r="AE548">
            <v>6776.22</v>
          </cell>
        </row>
        <row r="549">
          <cell r="C549" t="str">
            <v>SMTSANTANA1a Qualidade</v>
          </cell>
          <cell r="AC549">
            <v>1044</v>
          </cell>
          <cell r="AE549">
            <v>6681.6</v>
          </cell>
        </row>
        <row r="550">
          <cell r="C550" t="str">
            <v>SMTSANTANA1a Qualidade</v>
          </cell>
          <cell r="AC550">
            <v>1095.3</v>
          </cell>
          <cell r="AE550">
            <v>7228.98</v>
          </cell>
        </row>
        <row r="551">
          <cell r="C551" t="str">
            <v>SMTSANTANA1a Qualidade</v>
          </cell>
          <cell r="AC551">
            <v>994</v>
          </cell>
          <cell r="AE551">
            <v>5964</v>
          </cell>
        </row>
        <row r="552">
          <cell r="C552" t="str">
            <v>SMTSANTANA1a Qualidade</v>
          </cell>
          <cell r="AC552">
            <v>1044</v>
          </cell>
          <cell r="AE552">
            <v>7203.6</v>
          </cell>
        </row>
        <row r="553">
          <cell r="C553" t="str">
            <v>SMTSANTANA1a Qualidade</v>
          </cell>
          <cell r="AC553">
            <v>18036</v>
          </cell>
          <cell r="AE553">
            <v>105510.6</v>
          </cell>
        </row>
        <row r="554">
          <cell r="C554" t="str">
            <v>SMTSANTANA1a Qualidade</v>
          </cell>
          <cell r="AC554">
            <v>2490.1999999999998</v>
          </cell>
          <cell r="AE554">
            <v>14194.14</v>
          </cell>
        </row>
        <row r="555">
          <cell r="C555" t="str">
            <v>SMTLOCO1a Qualidade</v>
          </cell>
          <cell r="AC555">
            <v>487.5</v>
          </cell>
          <cell r="AE555">
            <v>3168.75</v>
          </cell>
        </row>
        <row r="556">
          <cell r="C556" t="str">
            <v>SMTLOCO1a Qualidade</v>
          </cell>
          <cell r="AC556">
            <v>500</v>
          </cell>
          <cell r="AE556">
            <v>3250</v>
          </cell>
        </row>
        <row r="557">
          <cell r="C557" t="str">
            <v>SMTSANTANA1a Qualidade</v>
          </cell>
          <cell r="AC557">
            <v>1176</v>
          </cell>
          <cell r="AE557">
            <v>6938.4</v>
          </cell>
        </row>
        <row r="558">
          <cell r="C558" t="str">
            <v>SMTOE - 100% Algodão1a Qualidade</v>
          </cell>
          <cell r="AC558">
            <v>5518.75</v>
          </cell>
          <cell r="AE558">
            <v>34216.25</v>
          </cell>
        </row>
        <row r="559">
          <cell r="C559" t="str">
            <v>SMTSANTANA1a Qualidade</v>
          </cell>
          <cell r="AC559">
            <v>1560.4</v>
          </cell>
          <cell r="AE559">
            <v>10189.412</v>
          </cell>
        </row>
        <row r="560">
          <cell r="C560" t="str">
            <v>SMTSANTANADirecionado</v>
          </cell>
          <cell r="AC560">
            <v>6566.1</v>
          </cell>
          <cell r="AE560">
            <v>34800.33</v>
          </cell>
        </row>
        <row r="561">
          <cell r="C561" t="str">
            <v>SMTOE - 100% Algodão1a Qualidade</v>
          </cell>
          <cell r="AC561">
            <v>10513.7</v>
          </cell>
          <cell r="AE561">
            <v>79168.161000000007</v>
          </cell>
        </row>
        <row r="562">
          <cell r="C562" t="str">
            <v>SMTOE - 100% Algodão1a Qualidade</v>
          </cell>
          <cell r="AC562">
            <v>3019.4</v>
          </cell>
          <cell r="AE562">
            <v>20229.98</v>
          </cell>
        </row>
        <row r="563">
          <cell r="C563" t="str">
            <v>SMTOE - 100% Algodão1a Qualidade</v>
          </cell>
          <cell r="AC563">
            <v>3018.7</v>
          </cell>
          <cell r="AE563">
            <v>22911.932999999997</v>
          </cell>
        </row>
        <row r="564">
          <cell r="C564" t="str">
            <v>SMTSANTANA1a Qualidade</v>
          </cell>
          <cell r="AC564">
            <v>416</v>
          </cell>
          <cell r="AE564">
            <v>2633.28</v>
          </cell>
        </row>
        <row r="565">
          <cell r="C565" t="str">
            <v>SMTSANTANA1a Qualidade</v>
          </cell>
          <cell r="AC565">
            <v>212.7</v>
          </cell>
          <cell r="AE565">
            <v>1388.931</v>
          </cell>
        </row>
        <row r="566">
          <cell r="C566" t="str">
            <v>SMTSANTANA1a Qualidade</v>
          </cell>
          <cell r="AC566">
            <v>212.3</v>
          </cell>
          <cell r="AE566">
            <v>1343.8590000000002</v>
          </cell>
        </row>
        <row r="567">
          <cell r="C567" t="str">
            <v>SMTSANTANA1a Qualidade</v>
          </cell>
          <cell r="AC567">
            <v>560.20000000000005</v>
          </cell>
          <cell r="AE567">
            <v>3618.8920000000003</v>
          </cell>
        </row>
        <row r="568">
          <cell r="C568" t="str">
            <v>SMTSANTANA1a Qualidade</v>
          </cell>
          <cell r="AC568">
            <v>508.2</v>
          </cell>
          <cell r="AE568">
            <v>3282.9719999999998</v>
          </cell>
        </row>
        <row r="569">
          <cell r="C569" t="str">
            <v>SMTSANTANA1a Qualidade</v>
          </cell>
          <cell r="AC569">
            <v>501</v>
          </cell>
          <cell r="AE569">
            <v>3441.87</v>
          </cell>
        </row>
        <row r="570">
          <cell r="C570" t="str">
            <v>SMTSANTANA1a Qualidade</v>
          </cell>
          <cell r="AC570">
            <v>1912.5</v>
          </cell>
          <cell r="AE570">
            <v>12737.25</v>
          </cell>
        </row>
        <row r="571">
          <cell r="C571" t="str">
            <v>SMTLOCO1a Qualidade</v>
          </cell>
          <cell r="AC571">
            <v>216</v>
          </cell>
          <cell r="AE571">
            <v>2002.32</v>
          </cell>
        </row>
        <row r="572">
          <cell r="C572" t="str">
            <v>SMTLOCO1a Qualidade</v>
          </cell>
          <cell r="AC572">
            <v>2038.5</v>
          </cell>
          <cell r="AE572">
            <v>14269.5</v>
          </cell>
        </row>
        <row r="573">
          <cell r="C573" t="str">
            <v>SMTSANTANA1a Qualidade</v>
          </cell>
          <cell r="AC573">
            <v>246</v>
          </cell>
          <cell r="AE573">
            <v>1549.8</v>
          </cell>
        </row>
        <row r="574">
          <cell r="C574" t="str">
            <v>SMTSANTANA1a Qualidade</v>
          </cell>
          <cell r="AC574">
            <v>863</v>
          </cell>
          <cell r="AE574">
            <v>5609.5</v>
          </cell>
        </row>
        <row r="575">
          <cell r="C575" t="str">
            <v>SMTLOCO1a Qualidade</v>
          </cell>
          <cell r="AC575">
            <v>115</v>
          </cell>
          <cell r="AE575">
            <v>782</v>
          </cell>
        </row>
        <row r="576">
          <cell r="C576" t="str">
            <v>SMTLOCO1a Qualidade</v>
          </cell>
          <cell r="AC576">
            <v>130.1</v>
          </cell>
          <cell r="AE576">
            <v>1066.82</v>
          </cell>
        </row>
        <row r="577">
          <cell r="C577" t="str">
            <v>SMTLOCO1a Qualidade</v>
          </cell>
          <cell r="AC577">
            <v>129.6</v>
          </cell>
          <cell r="AE577">
            <v>1044.576</v>
          </cell>
        </row>
        <row r="578">
          <cell r="C578" t="str">
            <v>SMTSANTANA1a Qualidade</v>
          </cell>
          <cell r="AC578">
            <v>245.5</v>
          </cell>
          <cell r="AE578">
            <v>1448.45</v>
          </cell>
        </row>
        <row r="579">
          <cell r="C579" t="str">
            <v>SMTSANTANA1a Qualidade</v>
          </cell>
          <cell r="AC579">
            <v>470</v>
          </cell>
          <cell r="AE579">
            <v>3008</v>
          </cell>
        </row>
        <row r="580">
          <cell r="C580" t="str">
            <v>SMTSANTANA1a Qualidade</v>
          </cell>
          <cell r="AC580">
            <v>533.79999999999995</v>
          </cell>
          <cell r="AE580">
            <v>3256.18</v>
          </cell>
        </row>
        <row r="581">
          <cell r="C581" t="str">
            <v>SMTSANTANA1a Qualidade</v>
          </cell>
          <cell r="AC581">
            <v>170.3</v>
          </cell>
          <cell r="AE581">
            <v>1222.7540000000001</v>
          </cell>
        </row>
        <row r="582">
          <cell r="C582" t="str">
            <v>SMTSANTANA1a Qualidade</v>
          </cell>
          <cell r="AC582">
            <v>120</v>
          </cell>
          <cell r="AE582">
            <v>824.4</v>
          </cell>
        </row>
        <row r="583">
          <cell r="C583" t="str">
            <v>SMTLOCO1a Qualidade</v>
          </cell>
          <cell r="AC583">
            <v>259</v>
          </cell>
          <cell r="AE583">
            <v>2351.7199999999998</v>
          </cell>
        </row>
        <row r="584">
          <cell r="C584" t="str">
            <v>SMTSANTANA1a Qualidade</v>
          </cell>
          <cell r="AC584">
            <v>1024.7</v>
          </cell>
          <cell r="AE584">
            <v>6353.14</v>
          </cell>
        </row>
        <row r="585">
          <cell r="C585" t="str">
            <v>SMTSANTANA1a Qualidade</v>
          </cell>
          <cell r="AC585">
            <v>122</v>
          </cell>
          <cell r="AE585">
            <v>838.14</v>
          </cell>
        </row>
        <row r="586">
          <cell r="C586" t="str">
            <v>SMTLOCO1a Qualidade</v>
          </cell>
          <cell r="AC586">
            <v>501</v>
          </cell>
          <cell r="AE586">
            <v>3351.69</v>
          </cell>
        </row>
        <row r="587">
          <cell r="C587" t="str">
            <v>SMTSANTANA1a Qualidade</v>
          </cell>
          <cell r="AC587">
            <v>240</v>
          </cell>
          <cell r="AE587">
            <v>1488</v>
          </cell>
        </row>
        <row r="588">
          <cell r="C588" t="str">
            <v>SMTSANTANA1a Qualidade</v>
          </cell>
          <cell r="AC588">
            <v>211.8</v>
          </cell>
          <cell r="AE588">
            <v>1313.16</v>
          </cell>
        </row>
        <row r="589">
          <cell r="C589" t="str">
            <v>SMTSANTANA1a Qualidade</v>
          </cell>
          <cell r="AC589">
            <v>228.1</v>
          </cell>
          <cell r="AE589">
            <v>1368.6</v>
          </cell>
        </row>
        <row r="590">
          <cell r="C590" t="str">
            <v>SMTSANTANA1a Qualidade</v>
          </cell>
          <cell r="AC590">
            <v>209</v>
          </cell>
          <cell r="AE590">
            <v>1337.6</v>
          </cell>
        </row>
        <row r="591">
          <cell r="C591" t="str">
            <v>SMTSANTANA1a Qualidade</v>
          </cell>
          <cell r="AC591">
            <v>2109</v>
          </cell>
          <cell r="AE591">
            <v>13075.8</v>
          </cell>
        </row>
        <row r="592">
          <cell r="C592" t="str">
            <v>SMTSANTANA1a Qualidade</v>
          </cell>
          <cell r="AC592">
            <v>1061</v>
          </cell>
          <cell r="AE592">
            <v>7098.09</v>
          </cell>
        </row>
        <row r="593">
          <cell r="C593" t="str">
            <v>SMTLOCO1a Qualidade</v>
          </cell>
          <cell r="AC593">
            <v>520.5</v>
          </cell>
          <cell r="AE593">
            <v>4606.4250000000002</v>
          </cell>
        </row>
        <row r="594">
          <cell r="C594" t="str">
            <v>SMTSANTANA1a Qualidade</v>
          </cell>
          <cell r="AC594">
            <v>53.5</v>
          </cell>
          <cell r="AE594">
            <v>311.37</v>
          </cell>
        </row>
        <row r="595">
          <cell r="C595" t="str">
            <v>SMTSANTANA1a Qualidade</v>
          </cell>
          <cell r="AC595">
            <v>322</v>
          </cell>
          <cell r="AE595">
            <v>1912.68</v>
          </cell>
        </row>
        <row r="596">
          <cell r="C596" t="str">
            <v>SMTSANTANA1a Qualidade</v>
          </cell>
          <cell r="AC596">
            <v>520</v>
          </cell>
          <cell r="AE596">
            <v>3120</v>
          </cell>
        </row>
        <row r="597">
          <cell r="C597" t="str">
            <v>SMTSANTANA1a Qualidade</v>
          </cell>
          <cell r="AC597">
            <v>323.89999999999998</v>
          </cell>
          <cell r="AE597">
            <v>2231.6709999999998</v>
          </cell>
        </row>
        <row r="598">
          <cell r="C598" t="str">
            <v>SMTLOCO1a Qualidade</v>
          </cell>
          <cell r="AC598">
            <v>282</v>
          </cell>
          <cell r="AE598">
            <v>2117.8200000000002</v>
          </cell>
        </row>
        <row r="599">
          <cell r="C599" t="str">
            <v>SMTSANTANA1a Qualidade</v>
          </cell>
          <cell r="AC599">
            <v>5376.8</v>
          </cell>
          <cell r="AE599">
            <v>32260.799999999999</v>
          </cell>
        </row>
        <row r="600">
          <cell r="C600" t="str">
            <v>SMTLOCO1a Qualidade</v>
          </cell>
          <cell r="AC600">
            <v>3856.9</v>
          </cell>
          <cell r="AE600">
            <v>26728.316999999999</v>
          </cell>
        </row>
        <row r="601">
          <cell r="C601" t="str">
            <v>SMTSANTANA1a Qualidade</v>
          </cell>
          <cell r="AC601">
            <v>2659.3</v>
          </cell>
          <cell r="AE601">
            <v>18508.728000000003</v>
          </cell>
        </row>
        <row r="602">
          <cell r="C602" t="str">
            <v>SMTLOCO1a Qualidade</v>
          </cell>
          <cell r="AC602">
            <v>10163.4</v>
          </cell>
          <cell r="AE602">
            <v>70127.460000000006</v>
          </cell>
        </row>
        <row r="603">
          <cell r="C603" t="str">
            <v>SMTLOCO1a Qualidade</v>
          </cell>
          <cell r="AC603">
            <v>10465.799999999999</v>
          </cell>
          <cell r="AE603">
            <v>72214.02</v>
          </cell>
        </row>
        <row r="604">
          <cell r="C604" t="str">
            <v>SMTLOCO1a Qualidade</v>
          </cell>
          <cell r="AC604">
            <v>5</v>
          </cell>
          <cell r="AE604">
            <v>34.9</v>
          </cell>
        </row>
        <row r="605">
          <cell r="C605" t="str">
            <v>SMTSANTANA1a Qualidade</v>
          </cell>
          <cell r="AC605">
            <v>96.5</v>
          </cell>
          <cell r="AE605">
            <v>598.29999999999995</v>
          </cell>
        </row>
        <row r="606">
          <cell r="C606" t="str">
            <v>SMTLOCO1a Qualidade</v>
          </cell>
          <cell r="AC606">
            <v>975</v>
          </cell>
          <cell r="AE606">
            <v>7858.5</v>
          </cell>
        </row>
        <row r="607">
          <cell r="C607" t="str">
            <v>SMTSANTANA1a Qualidade</v>
          </cell>
          <cell r="AC607">
            <v>3551.5</v>
          </cell>
          <cell r="AE607">
            <v>24292.26</v>
          </cell>
        </row>
        <row r="608">
          <cell r="C608" t="str">
            <v>SMTLOCO1a Qualidade</v>
          </cell>
          <cell r="AC608">
            <v>1534</v>
          </cell>
          <cell r="AE608">
            <v>13039</v>
          </cell>
        </row>
        <row r="609">
          <cell r="C609" t="str">
            <v>SMTSANTANA1a Qualidade</v>
          </cell>
          <cell r="AC609">
            <v>520</v>
          </cell>
          <cell r="AE609">
            <v>2964</v>
          </cell>
        </row>
        <row r="610">
          <cell r="C610" t="str">
            <v>SMTLOCO1a Qualidade</v>
          </cell>
          <cell r="AC610">
            <v>650.5</v>
          </cell>
          <cell r="AE610">
            <v>5138.95</v>
          </cell>
        </row>
        <row r="611">
          <cell r="C611" t="str">
            <v>SMTLOCO1a Qualidade</v>
          </cell>
          <cell r="AC611">
            <v>643.70000000000005</v>
          </cell>
          <cell r="AE611">
            <v>4930.7420000000002</v>
          </cell>
        </row>
        <row r="612">
          <cell r="C612" t="str">
            <v>SMTLOCO1a Qualidade</v>
          </cell>
          <cell r="AC612">
            <v>15</v>
          </cell>
          <cell r="AE612">
            <v>103.5</v>
          </cell>
        </row>
        <row r="613">
          <cell r="C613" t="str">
            <v>SMTLOCO1a Qualidade</v>
          </cell>
          <cell r="AC613">
            <v>15</v>
          </cell>
          <cell r="AE613">
            <v>127.5</v>
          </cell>
        </row>
        <row r="614">
          <cell r="C614" t="str">
            <v>SMTLOCO1a Qualidade</v>
          </cell>
          <cell r="AC614">
            <v>15</v>
          </cell>
          <cell r="AE614">
            <v>133.5</v>
          </cell>
        </row>
        <row r="615">
          <cell r="C615" t="str">
            <v>SMTSANTANA1a Qualidade</v>
          </cell>
          <cell r="AC615">
            <v>10</v>
          </cell>
          <cell r="AE615">
            <v>59.2</v>
          </cell>
        </row>
        <row r="616">
          <cell r="C616" t="str">
            <v>SMTSANTANA1a Qualidade</v>
          </cell>
          <cell r="AC616">
            <v>10</v>
          </cell>
          <cell r="AE616">
            <v>58.2</v>
          </cell>
        </row>
        <row r="617">
          <cell r="C617" t="str">
            <v>SMTLOCO1a Qualidade</v>
          </cell>
          <cell r="AC617">
            <v>10</v>
          </cell>
          <cell r="AE617">
            <v>61.8</v>
          </cell>
        </row>
        <row r="618">
          <cell r="C618" t="str">
            <v>SMTSANTANA1a Qualidade</v>
          </cell>
          <cell r="AC618">
            <v>10</v>
          </cell>
          <cell r="AE618">
            <v>61</v>
          </cell>
        </row>
        <row r="619">
          <cell r="C619" t="str">
            <v>SMTOE - 100% Algodão1a Qualidade</v>
          </cell>
          <cell r="AC619">
            <v>5018.95</v>
          </cell>
          <cell r="AE619">
            <v>37642.125</v>
          </cell>
        </row>
        <row r="620">
          <cell r="C620" t="str">
            <v>SMTSANTANA1a Qualidade</v>
          </cell>
          <cell r="AC620">
            <v>10</v>
          </cell>
          <cell r="AE620">
            <v>62</v>
          </cell>
        </row>
        <row r="621">
          <cell r="C621" t="str">
            <v>SMTSANTANA1a Qualidade</v>
          </cell>
          <cell r="AC621">
            <v>10</v>
          </cell>
          <cell r="AE621">
            <v>65</v>
          </cell>
        </row>
        <row r="622">
          <cell r="C622" t="str">
            <v>SMTSANTANA1a Qualidade</v>
          </cell>
          <cell r="AC622">
            <v>10</v>
          </cell>
          <cell r="AE622">
            <v>66</v>
          </cell>
        </row>
        <row r="623">
          <cell r="C623" t="str">
            <v>SMTSANTANA1a Qualidade</v>
          </cell>
          <cell r="AC623">
            <v>10</v>
          </cell>
          <cell r="AE623">
            <v>67</v>
          </cell>
        </row>
        <row r="624">
          <cell r="C624" t="str">
            <v>SMTSANTANA1a Qualidade</v>
          </cell>
          <cell r="AC624">
            <v>10</v>
          </cell>
          <cell r="AE624">
            <v>67</v>
          </cell>
        </row>
        <row r="625">
          <cell r="C625" t="str">
            <v>SMTLOCO1a Qualidade</v>
          </cell>
          <cell r="AC625">
            <v>688.2</v>
          </cell>
          <cell r="AE625">
            <v>4473.3</v>
          </cell>
        </row>
        <row r="626">
          <cell r="C626" t="str">
            <v>SMTLOCO1a Qualidade</v>
          </cell>
          <cell r="AC626">
            <v>980</v>
          </cell>
          <cell r="AE626">
            <v>6762</v>
          </cell>
        </row>
        <row r="627">
          <cell r="C627" t="str">
            <v>SMTSANTANA1a Qualidade</v>
          </cell>
          <cell r="AC627">
            <v>2009.5</v>
          </cell>
          <cell r="AE627">
            <v>13443.555</v>
          </cell>
        </row>
        <row r="628">
          <cell r="C628" t="str">
            <v>SMTSANTANA1a Qualidade</v>
          </cell>
          <cell r="AC628">
            <v>5</v>
          </cell>
          <cell r="AE628">
            <v>31</v>
          </cell>
        </row>
        <row r="629">
          <cell r="C629" t="str">
            <v>SMTLOCO1a Qualidade</v>
          </cell>
          <cell r="AC629">
            <v>5</v>
          </cell>
          <cell r="AE629">
            <v>33.5</v>
          </cell>
        </row>
        <row r="630">
          <cell r="C630" t="str">
            <v>SMTLOCO1a Qualidade</v>
          </cell>
          <cell r="AC630">
            <v>5</v>
          </cell>
          <cell r="AE630">
            <v>39.5</v>
          </cell>
        </row>
        <row r="631">
          <cell r="C631" t="str">
            <v>SMTLOCO1a Qualidade</v>
          </cell>
          <cell r="AC631">
            <v>5</v>
          </cell>
          <cell r="AE631">
            <v>42.5</v>
          </cell>
        </row>
        <row r="632">
          <cell r="C632" t="str">
            <v>SMTSANTANA1a Qualidade</v>
          </cell>
          <cell r="AC632">
            <v>3920.8</v>
          </cell>
          <cell r="AE632">
            <v>24740.248</v>
          </cell>
        </row>
        <row r="633">
          <cell r="C633" t="str">
            <v>SMTSANTANA1a Qualidade</v>
          </cell>
          <cell r="AC633">
            <v>2659.1</v>
          </cell>
          <cell r="AE633">
            <v>18507.335999999999</v>
          </cell>
        </row>
        <row r="634">
          <cell r="C634" t="str">
            <v>SMTOE - 100% Algodão1a Qualidade</v>
          </cell>
          <cell r="AC634">
            <v>2436.6</v>
          </cell>
          <cell r="AE634">
            <v>17178.03</v>
          </cell>
        </row>
        <row r="635">
          <cell r="C635" t="str">
            <v>SMTOE - 100% Algodão1a Qualidade</v>
          </cell>
          <cell r="AC635">
            <v>20088.96</v>
          </cell>
          <cell r="AE635">
            <v>141627.16799999998</v>
          </cell>
        </row>
        <row r="636">
          <cell r="C636" t="str">
            <v>SMTOE - 100% Algodão1a Qualidade</v>
          </cell>
          <cell r="AC636">
            <v>22012.05</v>
          </cell>
          <cell r="AE636">
            <v>155184.95249999998</v>
          </cell>
        </row>
        <row r="637">
          <cell r="C637" t="str">
            <v>SMTLOCO1a Qualidade</v>
          </cell>
          <cell r="AC637">
            <v>1075.4000000000001</v>
          </cell>
          <cell r="AE637">
            <v>8872.0499999999993</v>
          </cell>
        </row>
        <row r="638">
          <cell r="C638" t="str">
            <v>SMTLOCO1a Qualidade</v>
          </cell>
          <cell r="AC638">
            <v>2279.3000000000002</v>
          </cell>
          <cell r="AE638">
            <v>14086.074000000001</v>
          </cell>
        </row>
        <row r="639">
          <cell r="C639" t="str">
            <v>SMTOE - 100% Algodão1a Qualidade</v>
          </cell>
          <cell r="AC639">
            <v>5000.55</v>
          </cell>
          <cell r="AE639">
            <v>37954.174500000001</v>
          </cell>
        </row>
        <row r="640">
          <cell r="C640" t="str">
            <v>SMTSANTANA1a Qualidade</v>
          </cell>
          <cell r="AC640">
            <v>223</v>
          </cell>
          <cell r="AE640">
            <v>1790.69</v>
          </cell>
        </row>
        <row r="641">
          <cell r="C641" t="str">
            <v>SMTSANTANA1a Qualidade</v>
          </cell>
          <cell r="AC641">
            <v>198</v>
          </cell>
          <cell r="AE641">
            <v>1300.8599999999999</v>
          </cell>
        </row>
        <row r="642">
          <cell r="C642" t="str">
            <v>SMTSANTANA1a Qualidade</v>
          </cell>
          <cell r="AC642">
            <v>211.5</v>
          </cell>
          <cell r="AE642">
            <v>1294.3800000000001</v>
          </cell>
        </row>
        <row r="643">
          <cell r="C643" t="str">
            <v>SMTSANTANA1a Qualidade</v>
          </cell>
          <cell r="AC643">
            <v>217</v>
          </cell>
          <cell r="AE643">
            <v>1417.01</v>
          </cell>
        </row>
        <row r="644">
          <cell r="C644" t="str">
            <v>SMTSANTANA1a Qualidade</v>
          </cell>
          <cell r="AC644">
            <v>130.5</v>
          </cell>
          <cell r="AE644">
            <v>811.71</v>
          </cell>
        </row>
        <row r="645">
          <cell r="C645" t="str">
            <v>SMTSANTANA1a Qualidade</v>
          </cell>
          <cell r="AC645">
            <v>197.9</v>
          </cell>
          <cell r="AE645">
            <v>1252.7070000000001</v>
          </cell>
        </row>
        <row r="646">
          <cell r="C646" t="str">
            <v>SMTSANTANA1a Qualidade</v>
          </cell>
          <cell r="AC646">
            <v>1519.6</v>
          </cell>
          <cell r="AE646">
            <v>9117.6</v>
          </cell>
        </row>
        <row r="647">
          <cell r="C647" t="str">
            <v>SMTSANTANA1a Qualidade</v>
          </cell>
          <cell r="AC647">
            <v>320</v>
          </cell>
          <cell r="AE647">
            <v>2131.1999999999998</v>
          </cell>
        </row>
        <row r="648">
          <cell r="C648" t="str">
            <v>SMTSANTANA1a Qualidade</v>
          </cell>
          <cell r="AC648">
            <v>3044.5</v>
          </cell>
          <cell r="AE648">
            <v>18267</v>
          </cell>
        </row>
        <row r="649">
          <cell r="C649" t="str">
            <v>SMTSANTANA1a Qualidade</v>
          </cell>
          <cell r="AC649">
            <v>3109</v>
          </cell>
          <cell r="AE649">
            <v>19897.599999999999</v>
          </cell>
        </row>
        <row r="650">
          <cell r="C650" t="str">
            <v>SMTSANTANA1a Qualidade</v>
          </cell>
          <cell r="AC650">
            <v>258.10000000000002</v>
          </cell>
          <cell r="AE650">
            <v>1367.93</v>
          </cell>
        </row>
        <row r="651">
          <cell r="C651" t="str">
            <v>SMTSANTANA1a Qualidade</v>
          </cell>
          <cell r="AC651">
            <v>245</v>
          </cell>
          <cell r="AE651">
            <v>1347.5</v>
          </cell>
        </row>
        <row r="652">
          <cell r="C652" t="str">
            <v>SMTSANTANA1a Qualidade</v>
          </cell>
          <cell r="AC652">
            <v>130</v>
          </cell>
          <cell r="AE652">
            <v>728</v>
          </cell>
        </row>
        <row r="653">
          <cell r="C653" t="str">
            <v>SMTSANTANA1a Qualidade</v>
          </cell>
          <cell r="AC653">
            <v>225</v>
          </cell>
          <cell r="AE653">
            <v>1395</v>
          </cell>
        </row>
        <row r="654">
          <cell r="C654" t="str">
            <v>SMTLOCO1a Qualidade</v>
          </cell>
          <cell r="AC654">
            <v>25.5</v>
          </cell>
          <cell r="AE654">
            <v>183.09</v>
          </cell>
        </row>
        <row r="655">
          <cell r="C655" t="str">
            <v>SMTLOCO1a Qualidade</v>
          </cell>
          <cell r="AC655">
            <v>212</v>
          </cell>
          <cell r="AE655">
            <v>1924.96</v>
          </cell>
        </row>
        <row r="656">
          <cell r="C656" t="str">
            <v>SMTSANTANA1a Qualidade</v>
          </cell>
          <cell r="AC656">
            <v>130</v>
          </cell>
          <cell r="AE656">
            <v>915.2</v>
          </cell>
        </row>
        <row r="657">
          <cell r="C657" t="str">
            <v>SMTSANTANA1a Qualidade</v>
          </cell>
          <cell r="AC657">
            <v>273.5</v>
          </cell>
          <cell r="AE657">
            <v>1695.7</v>
          </cell>
        </row>
        <row r="658">
          <cell r="C658" t="str">
            <v>SMTSANTANA1a Qualidade</v>
          </cell>
          <cell r="AC658">
            <v>5051</v>
          </cell>
          <cell r="AE658">
            <v>31467.73</v>
          </cell>
        </row>
        <row r="659">
          <cell r="C659" t="str">
            <v>SMTSANTANADirecionado</v>
          </cell>
          <cell r="AC659">
            <v>4569.5</v>
          </cell>
          <cell r="AE659">
            <v>23304.45</v>
          </cell>
        </row>
        <row r="660">
          <cell r="C660" t="str">
            <v>SMTSANTANADirecionado</v>
          </cell>
          <cell r="AC660">
            <v>2672.5</v>
          </cell>
          <cell r="AE660">
            <v>13629.75</v>
          </cell>
        </row>
        <row r="661">
          <cell r="C661" t="str">
            <v>SMTSANTANADirecionado</v>
          </cell>
          <cell r="AC661">
            <v>1374.1</v>
          </cell>
          <cell r="AE661">
            <v>7007.91</v>
          </cell>
        </row>
        <row r="662">
          <cell r="C662" t="str">
            <v>SMTSANTANADirecionado</v>
          </cell>
          <cell r="AC662">
            <v>2134.5</v>
          </cell>
          <cell r="AE662">
            <v>10885.95</v>
          </cell>
        </row>
        <row r="663">
          <cell r="C663" t="str">
            <v>SMTSANTANADirecionado</v>
          </cell>
          <cell r="AC663">
            <v>1654.5</v>
          </cell>
          <cell r="AE663">
            <v>8437.9500000000007</v>
          </cell>
        </row>
        <row r="664">
          <cell r="C664" t="str">
            <v>SMTSANTANADirecionado</v>
          </cell>
          <cell r="AC664">
            <v>784</v>
          </cell>
          <cell r="AE664">
            <v>3998.4</v>
          </cell>
        </row>
        <row r="665">
          <cell r="C665" t="str">
            <v>SMTSANTANADirecionado</v>
          </cell>
          <cell r="AC665">
            <v>1573</v>
          </cell>
          <cell r="AE665">
            <v>8022.3</v>
          </cell>
        </row>
        <row r="666">
          <cell r="C666" t="str">
            <v>SMTSANTANADirecionado</v>
          </cell>
          <cell r="AC666">
            <v>1410.1</v>
          </cell>
          <cell r="AE666">
            <v>7191.51</v>
          </cell>
        </row>
        <row r="667">
          <cell r="C667" t="str">
            <v>SMTLOCO1a Qualidade</v>
          </cell>
          <cell r="AC667">
            <v>3065.3</v>
          </cell>
          <cell r="AE667">
            <v>21150.57</v>
          </cell>
        </row>
        <row r="668">
          <cell r="C668" t="str">
            <v>SMTSANTANA1a Qualidade</v>
          </cell>
          <cell r="AC668">
            <v>510</v>
          </cell>
          <cell r="AE668">
            <v>3294.6</v>
          </cell>
        </row>
        <row r="669">
          <cell r="C669" t="str">
            <v>SMTSANTANA1a Qualidade</v>
          </cell>
          <cell r="AC669">
            <v>560</v>
          </cell>
          <cell r="AE669">
            <v>3847.2</v>
          </cell>
        </row>
        <row r="670">
          <cell r="C670" t="str">
            <v>SMTSANTANA1a Qualidade</v>
          </cell>
          <cell r="AC670">
            <v>1947</v>
          </cell>
          <cell r="AE670">
            <v>12967.02</v>
          </cell>
        </row>
        <row r="671">
          <cell r="C671" t="str">
            <v>SMTLOCO1a Qualidade</v>
          </cell>
          <cell r="AC671">
            <v>203</v>
          </cell>
          <cell r="AE671">
            <v>1881.81</v>
          </cell>
        </row>
        <row r="672">
          <cell r="C672" t="str">
            <v>SMTSANTANA1a Qualidade</v>
          </cell>
          <cell r="AC672">
            <v>5458</v>
          </cell>
          <cell r="AE672">
            <v>33839.599999999999</v>
          </cell>
        </row>
        <row r="673">
          <cell r="C673" t="str">
            <v>SMTSANTANA1a Qualidade</v>
          </cell>
          <cell r="AC673">
            <v>3</v>
          </cell>
          <cell r="AE673">
            <v>20.100000000000001</v>
          </cell>
        </row>
        <row r="674">
          <cell r="C674" t="str">
            <v>SMTSANTANA1a Qualidade</v>
          </cell>
          <cell r="AC674">
            <v>3</v>
          </cell>
          <cell r="AE674">
            <v>19.8</v>
          </cell>
        </row>
        <row r="675">
          <cell r="C675" t="str">
            <v>SMTSANTANA1a Qualidade</v>
          </cell>
          <cell r="AC675">
            <v>4.5</v>
          </cell>
          <cell r="AE675">
            <v>28.8</v>
          </cell>
        </row>
        <row r="676">
          <cell r="C676" t="str">
            <v>SMTBEM1a Qualidade</v>
          </cell>
          <cell r="AC676">
            <v>10</v>
          </cell>
          <cell r="AE676">
            <v>89</v>
          </cell>
        </row>
        <row r="677">
          <cell r="C677" t="str">
            <v>SMTLOCO1a Qualidade</v>
          </cell>
          <cell r="AC677">
            <v>130</v>
          </cell>
          <cell r="AE677">
            <v>1105</v>
          </cell>
        </row>
        <row r="678">
          <cell r="C678" t="str">
            <v>SMTSANTANA1a Qualidade</v>
          </cell>
          <cell r="AC678">
            <v>6</v>
          </cell>
          <cell r="AE678">
            <v>36</v>
          </cell>
        </row>
        <row r="679">
          <cell r="C679" t="str">
            <v>SMTSANTANA1a Qualidade</v>
          </cell>
          <cell r="AC679">
            <v>6</v>
          </cell>
          <cell r="AE679">
            <v>38.4</v>
          </cell>
        </row>
        <row r="680">
          <cell r="C680" t="str">
            <v>SMTBEM1a Qualidade</v>
          </cell>
          <cell r="AC680">
            <v>5</v>
          </cell>
          <cell r="AE680">
            <v>41.7</v>
          </cell>
        </row>
        <row r="681">
          <cell r="C681" t="str">
            <v>SMTBEM1a Qualidade</v>
          </cell>
          <cell r="AC681">
            <v>5</v>
          </cell>
          <cell r="AE681">
            <v>39.85</v>
          </cell>
        </row>
        <row r="682">
          <cell r="C682" t="str">
            <v>SMTBEM1a Qualidade</v>
          </cell>
          <cell r="AC682">
            <v>5</v>
          </cell>
          <cell r="AE682">
            <v>41.7</v>
          </cell>
        </row>
        <row r="683">
          <cell r="C683" t="str">
            <v>SMTSANTANA1a Qualidade</v>
          </cell>
          <cell r="AC683">
            <v>991</v>
          </cell>
          <cell r="AE683">
            <v>6441.5</v>
          </cell>
        </row>
        <row r="684">
          <cell r="C684" t="str">
            <v>SMTLOCO1a Qualidade</v>
          </cell>
          <cell r="AC684">
            <v>10285.9</v>
          </cell>
          <cell r="AE684">
            <v>87430.15</v>
          </cell>
        </row>
        <row r="685">
          <cell r="C685" t="str">
            <v>SMTLOCO1a Qualidade</v>
          </cell>
          <cell r="AC685">
            <v>11</v>
          </cell>
          <cell r="AE685">
            <v>86.9</v>
          </cell>
        </row>
        <row r="686">
          <cell r="C686" t="str">
            <v>SMTSANTANA1a Qualidade</v>
          </cell>
          <cell r="AC686">
            <v>1002.2</v>
          </cell>
          <cell r="AE686">
            <v>6414.08</v>
          </cell>
        </row>
        <row r="687">
          <cell r="C687" t="str">
            <v>SMTLOCO1a Qualidade</v>
          </cell>
          <cell r="AC687">
            <v>1066.4000000000001</v>
          </cell>
          <cell r="AE687">
            <v>7251.52</v>
          </cell>
        </row>
        <row r="688">
          <cell r="C688" t="str">
            <v>SMTOE - 100% Algodão1a Qualidade</v>
          </cell>
          <cell r="AC688">
            <v>391.55</v>
          </cell>
          <cell r="AE688">
            <v>2466.7649999999999</v>
          </cell>
        </row>
        <row r="689">
          <cell r="C689" t="str">
            <v>SMTOE - 100% Algodão1a Qualidade</v>
          </cell>
          <cell r="AC689">
            <v>0</v>
          </cell>
          <cell r="AE689">
            <v>0</v>
          </cell>
        </row>
        <row r="690">
          <cell r="C690" t="str">
            <v>SMTSANTANA1a Qualidade</v>
          </cell>
          <cell r="AC690">
            <v>4059</v>
          </cell>
          <cell r="AE690">
            <v>23136.3</v>
          </cell>
        </row>
        <row r="691">
          <cell r="C691" t="str">
            <v>SMTSANTANA1a Qualidade</v>
          </cell>
          <cell r="AC691">
            <v>4007</v>
          </cell>
          <cell r="AE691">
            <v>22839.9</v>
          </cell>
        </row>
        <row r="692">
          <cell r="C692" t="str">
            <v>SMTOE - 100% Algodão1a Qualidade</v>
          </cell>
          <cell r="AC692">
            <v>22485.279999999999</v>
          </cell>
          <cell r="AE692">
            <v>164142.54399999999</v>
          </cell>
        </row>
        <row r="693">
          <cell r="C693" t="str">
            <v>SMTLOCO1a Qualidade</v>
          </cell>
          <cell r="AC693">
            <v>2109.9</v>
          </cell>
          <cell r="AE693">
            <v>14136.33</v>
          </cell>
        </row>
        <row r="694">
          <cell r="C694" t="str">
            <v>SMTOE - 100% Algodão1a Qualidade</v>
          </cell>
          <cell r="AC694">
            <v>9816.9500000000007</v>
          </cell>
          <cell r="AE694">
            <v>65773.565000000002</v>
          </cell>
        </row>
        <row r="695">
          <cell r="C695" t="str">
            <v>SMTLOCO1a Qualidade</v>
          </cell>
          <cell r="AC695">
            <v>212.5</v>
          </cell>
          <cell r="AE695">
            <v>1687.25</v>
          </cell>
        </row>
        <row r="696">
          <cell r="C696" t="str">
            <v>SMTLOCO1a Qualidade</v>
          </cell>
          <cell r="AC696">
            <v>5</v>
          </cell>
          <cell r="AE696">
            <v>44.5</v>
          </cell>
        </row>
        <row r="697">
          <cell r="C697" t="str">
            <v>SMTLOCO1a Qualidade</v>
          </cell>
          <cell r="AC697">
            <v>5</v>
          </cell>
          <cell r="AE697">
            <v>38</v>
          </cell>
        </row>
        <row r="698">
          <cell r="C698" t="str">
            <v>SMTSANTANA1a Qualidade</v>
          </cell>
          <cell r="AC698">
            <v>5</v>
          </cell>
          <cell r="AE698">
            <v>30.5</v>
          </cell>
        </row>
        <row r="699">
          <cell r="C699" t="str">
            <v>SMTSANTANA1a Qualidade</v>
          </cell>
          <cell r="AC699">
            <v>5</v>
          </cell>
          <cell r="AE699">
            <v>27</v>
          </cell>
        </row>
        <row r="700">
          <cell r="C700" t="str">
            <v>SMTBEM1a Qualidade</v>
          </cell>
          <cell r="AC700">
            <v>5</v>
          </cell>
          <cell r="AE700">
            <v>44.5</v>
          </cell>
        </row>
        <row r="701">
          <cell r="C701" t="str">
            <v>SMTSANTANA1a Qualidade</v>
          </cell>
          <cell r="AC701">
            <v>109.6</v>
          </cell>
          <cell r="AE701">
            <v>610.47199999999998</v>
          </cell>
        </row>
        <row r="702">
          <cell r="C702" t="str">
            <v>SMTOE - 100% Algodão1a Qualidade</v>
          </cell>
          <cell r="AC702">
            <v>3214.95</v>
          </cell>
          <cell r="AE702">
            <v>24401.470499999999</v>
          </cell>
        </row>
        <row r="703">
          <cell r="C703" t="str">
            <v>SMTOE - 100% Algodão1a Qualidade</v>
          </cell>
          <cell r="AC703">
            <v>22506.35</v>
          </cell>
          <cell r="AE703">
            <v>158669.76749999999</v>
          </cell>
        </row>
        <row r="704">
          <cell r="C704" t="str">
            <v>SMTLOCO1a Qualidade</v>
          </cell>
          <cell r="AC704">
            <v>529.20000000000005</v>
          </cell>
          <cell r="AE704">
            <v>3439.8</v>
          </cell>
        </row>
        <row r="705">
          <cell r="C705" t="str">
            <v>SMTSANTANA1a Qualidade</v>
          </cell>
          <cell r="AC705">
            <v>2933.1</v>
          </cell>
          <cell r="AE705">
            <v>17891.91</v>
          </cell>
        </row>
        <row r="706">
          <cell r="C706" t="str">
            <v>SMTLOCO1a Qualidade</v>
          </cell>
          <cell r="AC706">
            <v>507.3</v>
          </cell>
          <cell r="AE706">
            <v>3348.18</v>
          </cell>
        </row>
        <row r="707">
          <cell r="C707" t="str">
            <v>SMTSANTANA1a Qualidade</v>
          </cell>
          <cell r="AC707">
            <v>2017.8</v>
          </cell>
          <cell r="AE707">
            <v>13236.767999999998</v>
          </cell>
        </row>
        <row r="708">
          <cell r="C708" t="str">
            <v>SMTOE - 100% Algodão1a Qualidade</v>
          </cell>
          <cell r="AC708">
            <v>2017.75</v>
          </cell>
          <cell r="AE708">
            <v>15032.237500000001</v>
          </cell>
        </row>
        <row r="709">
          <cell r="C709" t="str">
            <v>SMTSANTANADirecionado</v>
          </cell>
          <cell r="AC709">
            <v>1760.9</v>
          </cell>
          <cell r="AE709">
            <v>8980.59</v>
          </cell>
        </row>
        <row r="710">
          <cell r="C710" t="str">
            <v>SMTLOCO1a Qualidade</v>
          </cell>
          <cell r="AC710">
            <v>2144.4</v>
          </cell>
          <cell r="AE710">
            <v>17584.080000000002</v>
          </cell>
        </row>
        <row r="711">
          <cell r="C711" t="str">
            <v>SMTLOCODirecionado</v>
          </cell>
          <cell r="AC711">
            <v>1719</v>
          </cell>
          <cell r="AE711">
            <v>10314</v>
          </cell>
        </row>
        <row r="712">
          <cell r="C712" t="str">
            <v>SMTOE - 100% Algodão1a Qualidade</v>
          </cell>
          <cell r="AC712">
            <v>382.65</v>
          </cell>
          <cell r="AE712">
            <v>2904.3134999999997</v>
          </cell>
        </row>
        <row r="713">
          <cell r="C713" t="str">
            <v>SMTSANTANA1a Qualidade</v>
          </cell>
          <cell r="AC713">
            <v>1087</v>
          </cell>
          <cell r="AE713">
            <v>6956.8</v>
          </cell>
        </row>
        <row r="714">
          <cell r="C714" t="str">
            <v>SMTSANTANA1a Qualidade</v>
          </cell>
          <cell r="AC714">
            <v>2083</v>
          </cell>
          <cell r="AE714">
            <v>11873.1</v>
          </cell>
        </row>
        <row r="715">
          <cell r="C715" t="str">
            <v>SMTLOCO1a Qualidade</v>
          </cell>
          <cell r="AC715">
            <v>309.10000000000002</v>
          </cell>
          <cell r="AE715">
            <v>2441.89</v>
          </cell>
        </row>
        <row r="716">
          <cell r="C716" t="str">
            <v>SMTSANTANA1a Qualidade</v>
          </cell>
          <cell r="AC716">
            <v>398.2</v>
          </cell>
          <cell r="AE716">
            <v>2389.1999999999998</v>
          </cell>
        </row>
        <row r="717">
          <cell r="C717" t="str">
            <v>SMTLOCO1a Qualidade</v>
          </cell>
          <cell r="AC717">
            <v>1019.8</v>
          </cell>
          <cell r="AE717">
            <v>7036.62</v>
          </cell>
        </row>
        <row r="718">
          <cell r="C718" t="str">
            <v>SMTSANTANA1a Qualidade</v>
          </cell>
          <cell r="AC718">
            <v>481</v>
          </cell>
          <cell r="AE718">
            <v>3222.7</v>
          </cell>
        </row>
        <row r="719">
          <cell r="C719" t="str">
            <v>SMTSANTANA1a Qualidade</v>
          </cell>
          <cell r="AC719">
            <v>520</v>
          </cell>
          <cell r="AE719">
            <v>3328</v>
          </cell>
        </row>
        <row r="720">
          <cell r="C720" t="str">
            <v>SMTLOCO1a Qualidade</v>
          </cell>
          <cell r="AC720">
            <v>354</v>
          </cell>
          <cell r="AE720">
            <v>2265.6</v>
          </cell>
        </row>
        <row r="721">
          <cell r="C721" t="str">
            <v>SMTSANTANADirecionado</v>
          </cell>
          <cell r="AC721">
            <v>3859.2</v>
          </cell>
          <cell r="AE721">
            <v>20453.759999999998</v>
          </cell>
        </row>
        <row r="722">
          <cell r="C722" t="str">
            <v>SMTSANTANADirecionado</v>
          </cell>
          <cell r="AC722">
            <v>650.79999999999995</v>
          </cell>
          <cell r="AE722">
            <v>3449.24</v>
          </cell>
        </row>
        <row r="723">
          <cell r="C723" t="str">
            <v>SMTSANTANADirecionado</v>
          </cell>
          <cell r="AC723">
            <v>196</v>
          </cell>
          <cell r="AE723">
            <v>1038.8</v>
          </cell>
        </row>
        <row r="724">
          <cell r="C724" t="str">
            <v>SMTSANTANADirecionado</v>
          </cell>
          <cell r="AC724">
            <v>508.2</v>
          </cell>
          <cell r="AE724">
            <v>2693.46</v>
          </cell>
        </row>
        <row r="725">
          <cell r="C725" t="str">
            <v>SMTSANTANA1a Qualidade</v>
          </cell>
          <cell r="AC725">
            <v>428.6</v>
          </cell>
          <cell r="AE725">
            <v>2828.76</v>
          </cell>
        </row>
        <row r="726">
          <cell r="C726" t="str">
            <v>SMTSANTANA1a Qualidade</v>
          </cell>
          <cell r="AC726">
            <v>373</v>
          </cell>
          <cell r="AE726">
            <v>2387.1999999999998</v>
          </cell>
        </row>
        <row r="727">
          <cell r="C727" t="str">
            <v>SMTSANTANA1a Qualidade</v>
          </cell>
          <cell r="AC727">
            <v>232</v>
          </cell>
          <cell r="AE727">
            <v>1438.4</v>
          </cell>
        </row>
        <row r="728">
          <cell r="C728" t="str">
            <v>SMTSANTANADirecionado</v>
          </cell>
          <cell r="AC728">
            <v>252.4</v>
          </cell>
          <cell r="AE728">
            <v>1337.72</v>
          </cell>
        </row>
        <row r="729">
          <cell r="C729" t="str">
            <v>SMTSANTANADirecionado</v>
          </cell>
          <cell r="AC729">
            <v>955.3</v>
          </cell>
          <cell r="AE729">
            <v>5063.09</v>
          </cell>
        </row>
        <row r="730">
          <cell r="C730" t="str">
            <v>SMTLOCODirecionado</v>
          </cell>
          <cell r="AC730">
            <v>941.5</v>
          </cell>
          <cell r="AE730">
            <v>5649</v>
          </cell>
        </row>
        <row r="731">
          <cell r="C731" t="str">
            <v>SMTSANTANA1a Qualidade</v>
          </cell>
          <cell r="AC731">
            <v>512</v>
          </cell>
          <cell r="AE731">
            <v>3486.72</v>
          </cell>
        </row>
        <row r="732">
          <cell r="C732" t="str">
            <v>SMTSANTANA1a Qualidade</v>
          </cell>
          <cell r="AC732">
            <v>1001</v>
          </cell>
          <cell r="AE732">
            <v>5305.3</v>
          </cell>
        </row>
        <row r="733">
          <cell r="C733" t="str">
            <v>SMTSANTANA1a Qualidade</v>
          </cell>
          <cell r="AC733">
            <v>1066.5</v>
          </cell>
          <cell r="AE733">
            <v>6750.9449999999997</v>
          </cell>
        </row>
        <row r="734">
          <cell r="C734" t="str">
            <v>SMTSANTANA1a Qualidade</v>
          </cell>
          <cell r="AC734">
            <v>100</v>
          </cell>
          <cell r="AE734">
            <v>654</v>
          </cell>
        </row>
        <row r="735">
          <cell r="C735" t="str">
            <v>SMTSANTANA1a Qualidade</v>
          </cell>
          <cell r="AC735">
            <v>109.3</v>
          </cell>
          <cell r="AE735">
            <v>713.72900000000004</v>
          </cell>
        </row>
        <row r="736">
          <cell r="C736" t="str">
            <v>SMTSANTANA1a Qualidade</v>
          </cell>
          <cell r="AC736">
            <v>642.4</v>
          </cell>
          <cell r="AE736">
            <v>4085.6640000000002</v>
          </cell>
        </row>
        <row r="737">
          <cell r="C737" t="str">
            <v>SMTSANTANA1a Qualidade</v>
          </cell>
          <cell r="AC737">
            <v>306.2</v>
          </cell>
          <cell r="AE737">
            <v>2039.2919999999999</v>
          </cell>
        </row>
        <row r="738">
          <cell r="C738" t="str">
            <v>SMTLOCO1a Qualidade</v>
          </cell>
          <cell r="AC738">
            <v>100</v>
          </cell>
          <cell r="AE738">
            <v>823</v>
          </cell>
        </row>
        <row r="739">
          <cell r="C739" t="str">
            <v>SMTOE - 100% Algodão1a Qualidade</v>
          </cell>
          <cell r="AC739">
            <v>0</v>
          </cell>
          <cell r="AE739">
            <v>0</v>
          </cell>
        </row>
        <row r="740">
          <cell r="C740" t="str">
            <v>SMTOE - 100% Algodão1a Qualidade</v>
          </cell>
          <cell r="AC740">
            <v>4006.9</v>
          </cell>
          <cell r="AE740">
            <v>26445.54</v>
          </cell>
        </row>
        <row r="741">
          <cell r="C741" t="str">
            <v>SMTSANTANA1a Qualidade</v>
          </cell>
          <cell r="AC741">
            <v>81.5</v>
          </cell>
          <cell r="AE741">
            <v>500.41</v>
          </cell>
        </row>
        <row r="742">
          <cell r="C742" t="str">
            <v>SMTLOCO1a Qualidade</v>
          </cell>
          <cell r="AC742">
            <v>7819.4</v>
          </cell>
          <cell r="AE742">
            <v>61773.26</v>
          </cell>
        </row>
        <row r="743">
          <cell r="C743" t="str">
            <v>SMTLOCO1a Qualidade</v>
          </cell>
          <cell r="AC743">
            <v>1976</v>
          </cell>
          <cell r="AE743">
            <v>15610.4</v>
          </cell>
        </row>
        <row r="744">
          <cell r="C744" t="str">
            <v>SMTSANTANA1a Qualidade</v>
          </cell>
          <cell r="AC744">
            <v>3493.4</v>
          </cell>
          <cell r="AE744">
            <v>23056.44</v>
          </cell>
        </row>
        <row r="745">
          <cell r="C745" t="str">
            <v>SMTSANTANA1a Qualidade</v>
          </cell>
          <cell r="AC745">
            <v>1951</v>
          </cell>
          <cell r="AE745">
            <v>11120.7</v>
          </cell>
        </row>
        <row r="746">
          <cell r="C746" t="str">
            <v>SMTLOCO1a Qualidade</v>
          </cell>
          <cell r="AC746">
            <v>3</v>
          </cell>
          <cell r="AE746">
            <v>20.100000000000001</v>
          </cell>
        </row>
        <row r="747">
          <cell r="C747" t="str">
            <v>SMTLOCO1a Qualidade</v>
          </cell>
          <cell r="AC747">
            <v>3</v>
          </cell>
          <cell r="AE747">
            <v>23.7</v>
          </cell>
        </row>
        <row r="748">
          <cell r="C748" t="str">
            <v>SMTLOCO1a Qualidade</v>
          </cell>
          <cell r="AC748">
            <v>3</v>
          </cell>
          <cell r="AE748">
            <v>23.7</v>
          </cell>
        </row>
        <row r="749">
          <cell r="C749" t="str">
            <v>SMTLOCO1a Qualidade</v>
          </cell>
          <cell r="AC749">
            <v>3</v>
          </cell>
          <cell r="AE749">
            <v>20.100000000000001</v>
          </cell>
        </row>
        <row r="750">
          <cell r="C750" t="str">
            <v>SMTLOCO1a Qualidade</v>
          </cell>
          <cell r="AC750">
            <v>3</v>
          </cell>
          <cell r="AE750">
            <v>23.7</v>
          </cell>
        </row>
        <row r="751">
          <cell r="C751" t="str">
            <v>SMTLOCO1a Qualidade</v>
          </cell>
          <cell r="AC751">
            <v>3</v>
          </cell>
          <cell r="AE751">
            <v>20.100000000000001</v>
          </cell>
        </row>
        <row r="752">
          <cell r="C752" t="str">
            <v>SMTLOCO1a Qualidade</v>
          </cell>
          <cell r="AC752">
            <v>3</v>
          </cell>
          <cell r="AE752">
            <v>20.7</v>
          </cell>
        </row>
        <row r="753">
          <cell r="C753" t="str">
            <v>SMTLOCO1a Qualidade</v>
          </cell>
          <cell r="AC753">
            <v>3</v>
          </cell>
          <cell r="AE753">
            <v>25.5</v>
          </cell>
        </row>
        <row r="754">
          <cell r="C754" t="str">
            <v>SMTLOCO1a Qualidade</v>
          </cell>
          <cell r="AC754">
            <v>3</v>
          </cell>
          <cell r="AE754">
            <v>26.7</v>
          </cell>
        </row>
        <row r="755">
          <cell r="C755" t="str">
            <v>SMTLOCO1a Qualidade</v>
          </cell>
          <cell r="AC755">
            <v>3</v>
          </cell>
          <cell r="AE755">
            <v>20.7</v>
          </cell>
        </row>
        <row r="756">
          <cell r="C756" t="str">
            <v>SMTLOCO1a Qualidade</v>
          </cell>
          <cell r="AC756">
            <v>3</v>
          </cell>
          <cell r="AE756">
            <v>25.5</v>
          </cell>
        </row>
        <row r="757">
          <cell r="C757" t="str">
            <v>SMTLOCO1a Qualidade</v>
          </cell>
          <cell r="AC757">
            <v>3</v>
          </cell>
          <cell r="AE757">
            <v>23.7</v>
          </cell>
        </row>
        <row r="758">
          <cell r="C758" t="str">
            <v>SMTLOCO1a Qualidade</v>
          </cell>
          <cell r="AC758">
            <v>3</v>
          </cell>
          <cell r="AE758">
            <v>23.7</v>
          </cell>
        </row>
        <row r="759">
          <cell r="C759" t="str">
            <v>SMTLOCO1a Qualidade</v>
          </cell>
          <cell r="AC759">
            <v>997.2</v>
          </cell>
          <cell r="AE759">
            <v>7977.6</v>
          </cell>
        </row>
        <row r="760">
          <cell r="C760" t="str">
            <v>SMTSANTANA1a Qualidade</v>
          </cell>
          <cell r="AC760">
            <v>2027.7</v>
          </cell>
          <cell r="AE760">
            <v>11862.045</v>
          </cell>
        </row>
        <row r="761">
          <cell r="C761" t="str">
            <v>SMTSANTANA1a Qualidade</v>
          </cell>
          <cell r="AC761">
            <v>2019.5</v>
          </cell>
          <cell r="AE761">
            <v>12117</v>
          </cell>
        </row>
        <row r="762">
          <cell r="C762" t="str">
            <v>SMTSANTANA1a Qualidade</v>
          </cell>
          <cell r="AC762">
            <v>12299</v>
          </cell>
          <cell r="AE762">
            <v>73179.05</v>
          </cell>
        </row>
        <row r="763">
          <cell r="C763" t="str">
            <v>SMTLOCO1a Qualidade</v>
          </cell>
          <cell r="AC763">
            <v>416.4</v>
          </cell>
          <cell r="AE763">
            <v>2498.4</v>
          </cell>
        </row>
        <row r="764">
          <cell r="C764" t="str">
            <v>SMTLOCO1a Qualidade</v>
          </cell>
          <cell r="AC764">
            <v>533.20000000000005</v>
          </cell>
          <cell r="AE764">
            <v>3199.2</v>
          </cell>
        </row>
        <row r="765">
          <cell r="C765" t="str">
            <v>SMTLOCO1a Qualidade</v>
          </cell>
          <cell r="AC765">
            <v>1950.9</v>
          </cell>
          <cell r="AE765">
            <v>11705.4</v>
          </cell>
        </row>
        <row r="766">
          <cell r="C766" t="str">
            <v>SMTLOCO1a Qualidade</v>
          </cell>
          <cell r="AC766">
            <v>190.1</v>
          </cell>
          <cell r="AE766">
            <v>1235.6500000000001</v>
          </cell>
        </row>
        <row r="767">
          <cell r="C767" t="str">
            <v>SMTLOCO1a Qualidade</v>
          </cell>
          <cell r="AC767">
            <v>1331.2</v>
          </cell>
          <cell r="AE767">
            <v>8652.7999999999993</v>
          </cell>
        </row>
        <row r="768">
          <cell r="C768" t="str">
            <v>SMTLOCO1a Qualidade</v>
          </cell>
          <cell r="AC768">
            <v>270.39999999999998</v>
          </cell>
          <cell r="AE768">
            <v>1622.4</v>
          </cell>
        </row>
        <row r="769">
          <cell r="C769" t="str">
            <v>SMTLOCO1a Qualidade</v>
          </cell>
          <cell r="AC769">
            <v>455</v>
          </cell>
          <cell r="AE769">
            <v>2730</v>
          </cell>
        </row>
        <row r="770">
          <cell r="C770" t="str">
            <v>SMTLOCO1a Qualidade</v>
          </cell>
          <cell r="AC770">
            <v>397.2</v>
          </cell>
          <cell r="AE770">
            <v>2383.1999999999998</v>
          </cell>
        </row>
        <row r="771">
          <cell r="C771" t="str">
            <v>SMTLOCO1a Qualidade</v>
          </cell>
          <cell r="AC771">
            <v>253.4</v>
          </cell>
          <cell r="AE771">
            <v>1520.4</v>
          </cell>
        </row>
        <row r="772">
          <cell r="C772" t="str">
            <v>SMTSANTANA1a Qualidade</v>
          </cell>
          <cell r="AC772">
            <v>1939.7</v>
          </cell>
          <cell r="AE772">
            <v>13383.93</v>
          </cell>
        </row>
        <row r="773">
          <cell r="C773" t="str">
            <v>SMTSANTANA1a Qualidade</v>
          </cell>
          <cell r="AC773">
            <v>657.9</v>
          </cell>
          <cell r="AE773">
            <v>4539.51</v>
          </cell>
        </row>
        <row r="774">
          <cell r="C774" t="str">
            <v>SMTSANTANA1a Qualidade</v>
          </cell>
          <cell r="AC774">
            <v>3054.9</v>
          </cell>
          <cell r="AE774">
            <v>19337.517</v>
          </cell>
        </row>
        <row r="775">
          <cell r="C775" t="str">
            <v>SMTSANTANA1a Qualidade</v>
          </cell>
          <cell r="AC775">
            <v>122</v>
          </cell>
          <cell r="AE775">
            <v>941.84</v>
          </cell>
        </row>
        <row r="776">
          <cell r="C776" t="str">
            <v>SMTSANTANA1a Qualidade</v>
          </cell>
          <cell r="AC776">
            <v>2089.6</v>
          </cell>
          <cell r="AE776">
            <v>14919.743999999999</v>
          </cell>
        </row>
        <row r="777">
          <cell r="C777" t="str">
            <v>SMTSANTANA1a Qualidade</v>
          </cell>
          <cell r="AC777">
            <v>51</v>
          </cell>
          <cell r="AE777">
            <v>294.27</v>
          </cell>
        </row>
        <row r="778">
          <cell r="C778" t="str">
            <v>SMTSANTANA1a Qualidade</v>
          </cell>
          <cell r="AC778">
            <v>56.5</v>
          </cell>
          <cell r="AE778">
            <v>390.41500000000002</v>
          </cell>
        </row>
        <row r="779">
          <cell r="C779" t="str">
            <v>SMTLOCO1a Qualidade</v>
          </cell>
          <cell r="AC779">
            <v>209.4</v>
          </cell>
          <cell r="AE779">
            <v>1591.44</v>
          </cell>
        </row>
        <row r="780">
          <cell r="C780" t="str">
            <v>SMTLOCO1a Qualidade</v>
          </cell>
          <cell r="AC780">
            <v>600</v>
          </cell>
          <cell r="AE780">
            <v>5280</v>
          </cell>
        </row>
        <row r="781">
          <cell r="C781" t="str">
            <v>SMTLOCO1a Qualidade</v>
          </cell>
          <cell r="AC781">
            <v>637</v>
          </cell>
          <cell r="AE781">
            <v>5350.8</v>
          </cell>
        </row>
        <row r="782">
          <cell r="C782" t="str">
            <v>SMTLOCO1a Qualidade</v>
          </cell>
          <cell r="AC782">
            <v>643.20000000000005</v>
          </cell>
          <cell r="AE782">
            <v>5660.16</v>
          </cell>
        </row>
        <row r="783">
          <cell r="C783" t="str">
            <v>SMTLOCO1a Qualidade</v>
          </cell>
          <cell r="AC783">
            <v>611.29999999999995</v>
          </cell>
          <cell r="AE783">
            <v>4774.2529999999997</v>
          </cell>
        </row>
        <row r="784">
          <cell r="C784" t="str">
            <v>SMTLOCO1a Qualidade</v>
          </cell>
          <cell r="AC784">
            <v>616.9</v>
          </cell>
          <cell r="AE784">
            <v>5428.72</v>
          </cell>
        </row>
        <row r="785">
          <cell r="C785" t="str">
            <v>SMTSANTANA1a Qualidade</v>
          </cell>
          <cell r="AC785">
            <v>350</v>
          </cell>
          <cell r="AE785">
            <v>2170</v>
          </cell>
        </row>
        <row r="786">
          <cell r="C786" t="str">
            <v>SMTSANTANA1a Qualidade</v>
          </cell>
          <cell r="AC786">
            <v>29</v>
          </cell>
          <cell r="AE786">
            <v>185.6</v>
          </cell>
        </row>
        <row r="787">
          <cell r="C787" t="str">
            <v>SMTSANTANA1a Qualidade</v>
          </cell>
          <cell r="AC787">
            <v>320</v>
          </cell>
          <cell r="AE787">
            <v>2048</v>
          </cell>
        </row>
        <row r="788">
          <cell r="C788" t="str">
            <v>SMTLOCO1a Qualidade</v>
          </cell>
          <cell r="AC788">
            <v>280</v>
          </cell>
          <cell r="AE788">
            <v>2010.4</v>
          </cell>
        </row>
        <row r="789">
          <cell r="C789" t="str">
            <v>SMTLOCO1a Qualidade</v>
          </cell>
          <cell r="AC789">
            <v>333</v>
          </cell>
          <cell r="AE789">
            <v>2740.59</v>
          </cell>
        </row>
        <row r="790">
          <cell r="C790" t="str">
            <v>SMTSANTANA1a Qualidade</v>
          </cell>
          <cell r="AC790">
            <v>280</v>
          </cell>
          <cell r="AE790">
            <v>1923.6</v>
          </cell>
        </row>
        <row r="791">
          <cell r="C791" t="str">
            <v>SMTBEM1a Qualidade</v>
          </cell>
          <cell r="AC791">
            <v>131</v>
          </cell>
          <cell r="AE791">
            <v>1214.3699999999999</v>
          </cell>
        </row>
        <row r="792">
          <cell r="C792" t="str">
            <v>SMTLOCODirecionado</v>
          </cell>
          <cell r="AC792">
            <v>87.5</v>
          </cell>
          <cell r="AE792">
            <v>455</v>
          </cell>
        </row>
        <row r="793">
          <cell r="C793" t="str">
            <v>SMTLOCODirecionado</v>
          </cell>
          <cell r="AC793">
            <v>216.5</v>
          </cell>
          <cell r="AE793">
            <v>1125.8</v>
          </cell>
        </row>
        <row r="794">
          <cell r="C794" t="str">
            <v>SMTLOCODirecionado</v>
          </cell>
          <cell r="AC794">
            <v>370.4</v>
          </cell>
          <cell r="AE794">
            <v>1926.08</v>
          </cell>
        </row>
        <row r="795">
          <cell r="C795" t="str">
            <v>SMTLOCO1a Qualidade</v>
          </cell>
          <cell r="AC795">
            <v>3066.5</v>
          </cell>
          <cell r="AE795">
            <v>21465.5</v>
          </cell>
        </row>
        <row r="796">
          <cell r="C796" t="str">
            <v>SMTSANTANA1a Qualidade</v>
          </cell>
          <cell r="AC796">
            <v>307.5</v>
          </cell>
          <cell r="AE796">
            <v>1848.075</v>
          </cell>
        </row>
        <row r="797">
          <cell r="C797" t="str">
            <v>SMTSANTANA1a Qualidade</v>
          </cell>
          <cell r="AC797">
            <v>580.70000000000005</v>
          </cell>
          <cell r="AE797">
            <v>3774.55</v>
          </cell>
        </row>
        <row r="798">
          <cell r="C798" t="str">
            <v>SMTSANTANADirecionado</v>
          </cell>
          <cell r="AC798">
            <v>1137.5</v>
          </cell>
          <cell r="AE798">
            <v>5687.5</v>
          </cell>
        </row>
        <row r="799">
          <cell r="C799" t="str">
            <v>SMTSANTANADirecionado</v>
          </cell>
          <cell r="AC799">
            <v>1926</v>
          </cell>
          <cell r="AE799">
            <v>9630</v>
          </cell>
        </row>
        <row r="800">
          <cell r="C800" t="str">
            <v>SMTSANTANA1a Qualidade</v>
          </cell>
          <cell r="AC800">
            <v>2017</v>
          </cell>
          <cell r="AE800">
            <v>11496.9</v>
          </cell>
        </row>
        <row r="801">
          <cell r="C801" t="str">
            <v>SMTSANTANA1a Qualidade</v>
          </cell>
          <cell r="AC801">
            <v>162</v>
          </cell>
          <cell r="AE801">
            <v>923.4</v>
          </cell>
        </row>
        <row r="802">
          <cell r="C802" t="str">
            <v>SMTOE - 100% Algodão1a Qualidade</v>
          </cell>
          <cell r="AC802">
            <v>10011.5</v>
          </cell>
          <cell r="AE802">
            <v>68078.2</v>
          </cell>
        </row>
        <row r="803">
          <cell r="C803" t="str">
            <v>SMTLOCO1a Qualidade</v>
          </cell>
          <cell r="AC803">
            <v>102</v>
          </cell>
          <cell r="AE803">
            <v>1018.98</v>
          </cell>
        </row>
        <row r="804">
          <cell r="C804" t="str">
            <v>SMTLOCO1a Qualidade</v>
          </cell>
          <cell r="AC804">
            <v>5868.5</v>
          </cell>
          <cell r="AE804">
            <v>43250.845000000001</v>
          </cell>
        </row>
        <row r="805">
          <cell r="C805" t="str">
            <v>SMTLOCODirecionado</v>
          </cell>
          <cell r="AC805">
            <v>854.8</v>
          </cell>
          <cell r="AE805">
            <v>5128.8</v>
          </cell>
        </row>
        <row r="806">
          <cell r="C806" t="str">
            <v>SMTSANTANA1a Qualidade</v>
          </cell>
          <cell r="AC806">
            <v>215.5</v>
          </cell>
          <cell r="AE806">
            <v>1370.58</v>
          </cell>
        </row>
        <row r="807">
          <cell r="C807" t="str">
            <v>SMTSANTANA1a Qualidade</v>
          </cell>
          <cell r="AC807">
            <v>207</v>
          </cell>
          <cell r="AE807">
            <v>1316.52</v>
          </cell>
        </row>
        <row r="808">
          <cell r="C808" t="str">
            <v>SMTSANTANA1a Qualidade</v>
          </cell>
          <cell r="AC808">
            <v>7249.1</v>
          </cell>
          <cell r="AE808">
            <v>44002.037000000004</v>
          </cell>
        </row>
        <row r="809">
          <cell r="C809" t="str">
            <v>SMTSANTANA1a Qualidade</v>
          </cell>
          <cell r="AC809">
            <v>7036.7</v>
          </cell>
          <cell r="AE809">
            <v>42712.769</v>
          </cell>
        </row>
        <row r="810">
          <cell r="C810" t="str">
            <v>SMTSANTANA1a Qualidade</v>
          </cell>
          <cell r="AC810">
            <v>4995.8999999999996</v>
          </cell>
          <cell r="AE810">
            <v>31973.759999999998</v>
          </cell>
        </row>
        <row r="811">
          <cell r="C811" t="str">
            <v>SMTLOCO1a Qualidade</v>
          </cell>
          <cell r="AC811">
            <v>1535.5</v>
          </cell>
          <cell r="AE811">
            <v>10134.299999999999</v>
          </cell>
        </row>
        <row r="812">
          <cell r="C812" t="str">
            <v>SMTSANTANA1a Qualidade</v>
          </cell>
          <cell r="AC812">
            <v>103</v>
          </cell>
          <cell r="AE812">
            <v>684.95</v>
          </cell>
        </row>
        <row r="813">
          <cell r="C813" t="str">
            <v>SMTOE - 100% Algodão1a Qualidade</v>
          </cell>
          <cell r="AC813">
            <v>4985.75</v>
          </cell>
          <cell r="AE813">
            <v>36395.974999999999</v>
          </cell>
        </row>
        <row r="814">
          <cell r="C814" t="str">
            <v>SMTBEM1a Qualidade</v>
          </cell>
          <cell r="AC814">
            <v>10</v>
          </cell>
          <cell r="AE814">
            <v>89</v>
          </cell>
        </row>
        <row r="815">
          <cell r="C815" t="str">
            <v>SMTLOCO1a Qualidade</v>
          </cell>
          <cell r="AC815">
            <v>10138.200000000001</v>
          </cell>
          <cell r="AE815">
            <v>69953.58</v>
          </cell>
        </row>
        <row r="816">
          <cell r="C816" t="str">
            <v>SMTSANTANA1a Qualidade</v>
          </cell>
          <cell r="AC816">
            <v>534</v>
          </cell>
          <cell r="AE816">
            <v>3043.8</v>
          </cell>
        </row>
        <row r="817">
          <cell r="C817" t="str">
            <v>SMTSANTANA1a Qualidade</v>
          </cell>
          <cell r="AC817">
            <v>1699</v>
          </cell>
          <cell r="AE817">
            <v>9344.5</v>
          </cell>
        </row>
        <row r="818">
          <cell r="C818" t="str">
            <v>SMTSANTANA1a Qualidade</v>
          </cell>
          <cell r="AC818">
            <v>9065.2999999999993</v>
          </cell>
          <cell r="AE818">
            <v>58017.919999999998</v>
          </cell>
        </row>
        <row r="819">
          <cell r="C819" t="str">
            <v>SMTLOCO1a Qualidade</v>
          </cell>
          <cell r="AC819">
            <v>601.1</v>
          </cell>
          <cell r="AE819">
            <v>5109.3500000000004</v>
          </cell>
        </row>
        <row r="820">
          <cell r="C820" t="str">
            <v>SMTLOCO1a Qualidade</v>
          </cell>
          <cell r="AC820">
            <v>2552.6999999999998</v>
          </cell>
          <cell r="AE820">
            <v>21697.95</v>
          </cell>
        </row>
        <row r="821">
          <cell r="C821" t="str">
            <v>SMTLOCO1a Qualidade</v>
          </cell>
          <cell r="AC821">
            <v>3279.3</v>
          </cell>
          <cell r="AE821">
            <v>22627.17</v>
          </cell>
        </row>
        <row r="822">
          <cell r="C822" t="str">
            <v>SMTSANTANA1a Qualidade</v>
          </cell>
          <cell r="AC822">
            <v>3108.3</v>
          </cell>
          <cell r="AE822">
            <v>21447.27</v>
          </cell>
        </row>
        <row r="823">
          <cell r="C823" t="str">
            <v>SMTOE - 100% Algodão1a Qualidade</v>
          </cell>
          <cell r="AC823">
            <v>2005.2</v>
          </cell>
          <cell r="AE823">
            <v>15219.468000000001</v>
          </cell>
        </row>
        <row r="824">
          <cell r="C824" t="str">
            <v>SMTOE - 100% Algodão1a Qualidade</v>
          </cell>
          <cell r="AC824">
            <v>3001.6</v>
          </cell>
          <cell r="AE824">
            <v>22782.144</v>
          </cell>
        </row>
        <row r="825">
          <cell r="C825" t="str">
            <v>SMTOE - 100% Algodão1a Qualidade</v>
          </cell>
          <cell r="AC825">
            <v>3001.25</v>
          </cell>
          <cell r="AE825">
            <v>22779.487499999999</v>
          </cell>
        </row>
        <row r="826">
          <cell r="C826" t="str">
            <v>SMTLOCO1a Qualidade</v>
          </cell>
          <cell r="AC826">
            <v>280</v>
          </cell>
          <cell r="AE826">
            <v>1848</v>
          </cell>
        </row>
        <row r="827">
          <cell r="C827" t="str">
            <v>SMTLOCO1a Qualidade</v>
          </cell>
          <cell r="AC827">
            <v>303</v>
          </cell>
          <cell r="AE827">
            <v>2636.1</v>
          </cell>
        </row>
        <row r="828">
          <cell r="C828" t="str">
            <v>SMTLOCO1a Qualidade</v>
          </cell>
          <cell r="AC828">
            <v>337.3</v>
          </cell>
          <cell r="AE828">
            <v>2617.4479999999999</v>
          </cell>
        </row>
        <row r="829">
          <cell r="C829" t="str">
            <v>SMTLOCO1a Qualidade</v>
          </cell>
          <cell r="AC829">
            <v>391.5</v>
          </cell>
          <cell r="AE829">
            <v>3038.04</v>
          </cell>
        </row>
        <row r="830">
          <cell r="C830" t="str">
            <v>SMTLOCO1a Qualidade</v>
          </cell>
          <cell r="AC830">
            <v>335</v>
          </cell>
          <cell r="AE830">
            <v>2760.4</v>
          </cell>
        </row>
        <row r="831">
          <cell r="C831" t="str">
            <v>SMTSANTANA1a Qualidade</v>
          </cell>
          <cell r="AC831">
            <v>526.5</v>
          </cell>
          <cell r="AE831">
            <v>2737.8</v>
          </cell>
        </row>
        <row r="832">
          <cell r="C832" t="str">
            <v>SMTSANTANA1a Qualidade</v>
          </cell>
          <cell r="AC832">
            <v>6759.5</v>
          </cell>
          <cell r="AE832">
            <v>37177.25</v>
          </cell>
        </row>
        <row r="833">
          <cell r="C833" t="str">
            <v>SMTLOCO1a Qualidade</v>
          </cell>
          <cell r="AC833">
            <v>15</v>
          </cell>
          <cell r="AE833">
            <v>127.5</v>
          </cell>
        </row>
        <row r="834">
          <cell r="C834" t="str">
            <v>SMTLOCO1a Qualidade</v>
          </cell>
          <cell r="AC834">
            <v>3089.1</v>
          </cell>
          <cell r="AE834">
            <v>20388.060000000001</v>
          </cell>
        </row>
        <row r="835">
          <cell r="C835" t="str">
            <v>SMTSANTANA1a Qualidade</v>
          </cell>
          <cell r="AC835">
            <v>3062.6</v>
          </cell>
          <cell r="AE835">
            <v>19600.64</v>
          </cell>
        </row>
        <row r="836">
          <cell r="C836" t="str">
            <v>SMTSANTANA1a Qualidade</v>
          </cell>
          <cell r="AC836">
            <v>2498</v>
          </cell>
          <cell r="AE836">
            <v>14238.6</v>
          </cell>
        </row>
        <row r="837">
          <cell r="C837" t="str">
            <v>SMTLOCO1a Qualidade</v>
          </cell>
          <cell r="AC837">
            <v>3982</v>
          </cell>
          <cell r="AE837">
            <v>27595.26</v>
          </cell>
        </row>
        <row r="838">
          <cell r="C838" t="str">
            <v>SMTOE - 100% Algodão1a Qualidade</v>
          </cell>
          <cell r="AC838">
            <v>22501.1</v>
          </cell>
          <cell r="AE838">
            <v>158632.75499999998</v>
          </cell>
        </row>
        <row r="839">
          <cell r="C839" t="str">
            <v>SMTOE - 100% Algodão1a Qualidade</v>
          </cell>
          <cell r="AC839">
            <v>511.55</v>
          </cell>
          <cell r="AE839">
            <v>3606.4274999999998</v>
          </cell>
        </row>
        <row r="840">
          <cell r="C840" t="str">
            <v>SMTOE - 100% Algodão1a Qualidade</v>
          </cell>
          <cell r="AC840">
            <v>5023.6000000000004</v>
          </cell>
          <cell r="AE840">
            <v>38129.124000000003</v>
          </cell>
        </row>
        <row r="841">
          <cell r="C841" t="str">
            <v>SMTSANTANA1a Qualidade</v>
          </cell>
          <cell r="AC841">
            <v>1120</v>
          </cell>
          <cell r="AE841">
            <v>6720</v>
          </cell>
        </row>
        <row r="842">
          <cell r="C842" t="str">
            <v>SMTSANTANA1a Qualidade</v>
          </cell>
          <cell r="AC842">
            <v>15</v>
          </cell>
          <cell r="AE842">
            <v>94.5</v>
          </cell>
        </row>
        <row r="843">
          <cell r="C843" t="str">
            <v>SMTSANTANA1a Qualidade</v>
          </cell>
          <cell r="AC843">
            <v>15</v>
          </cell>
          <cell r="AE843">
            <v>99</v>
          </cell>
        </row>
        <row r="844">
          <cell r="C844" t="str">
            <v>SMTSANTANA1a Qualidade</v>
          </cell>
          <cell r="AC844">
            <v>15</v>
          </cell>
          <cell r="AE844">
            <v>93</v>
          </cell>
        </row>
        <row r="845">
          <cell r="C845" t="str">
            <v>SMTSANTANA1a Qualidade</v>
          </cell>
          <cell r="AC845">
            <v>15</v>
          </cell>
          <cell r="AE845">
            <v>96</v>
          </cell>
        </row>
        <row r="846">
          <cell r="C846" t="str">
            <v>SMTSANTANA1a Qualidade</v>
          </cell>
          <cell r="AC846">
            <v>15</v>
          </cell>
          <cell r="AE846">
            <v>96</v>
          </cell>
        </row>
        <row r="847">
          <cell r="C847" t="str">
            <v>SMTLOCO1a Qualidade</v>
          </cell>
          <cell r="AC847">
            <v>15</v>
          </cell>
          <cell r="AE847">
            <v>102.6</v>
          </cell>
        </row>
        <row r="848">
          <cell r="C848" t="str">
            <v>SMTLOCO1a Qualidade</v>
          </cell>
          <cell r="AC848">
            <v>15</v>
          </cell>
          <cell r="AE848">
            <v>102.6</v>
          </cell>
        </row>
        <row r="849">
          <cell r="C849" t="str">
            <v>SMTLOCO1a Qualidade</v>
          </cell>
          <cell r="AC849">
            <v>15</v>
          </cell>
          <cell r="AE849">
            <v>105.6</v>
          </cell>
        </row>
        <row r="850">
          <cell r="C850" t="str">
            <v>SMTLOCO1a Qualidade</v>
          </cell>
          <cell r="AC850">
            <v>15</v>
          </cell>
          <cell r="AE850">
            <v>105.6</v>
          </cell>
        </row>
        <row r="851">
          <cell r="C851" t="str">
            <v>SMTSANTANA1a Qualidade</v>
          </cell>
          <cell r="AC851">
            <v>10</v>
          </cell>
          <cell r="AE851">
            <v>67</v>
          </cell>
        </row>
        <row r="852">
          <cell r="C852" t="str">
            <v>SMTSANTANA1a Qualidade</v>
          </cell>
          <cell r="AC852">
            <v>10</v>
          </cell>
          <cell r="AE852">
            <v>61</v>
          </cell>
        </row>
        <row r="853">
          <cell r="C853" t="str">
            <v>SMTLOCO1a Qualidade</v>
          </cell>
          <cell r="AC853">
            <v>10</v>
          </cell>
          <cell r="AE853">
            <v>69</v>
          </cell>
        </row>
        <row r="854">
          <cell r="C854" t="str">
            <v>SMTLOCO1a Qualidade</v>
          </cell>
          <cell r="AC854">
            <v>10</v>
          </cell>
          <cell r="AE854">
            <v>69</v>
          </cell>
        </row>
        <row r="855">
          <cell r="C855" t="str">
            <v>SMTLOCO1a Qualidade</v>
          </cell>
          <cell r="AC855">
            <v>984.5</v>
          </cell>
          <cell r="AE855">
            <v>8614.375</v>
          </cell>
        </row>
        <row r="856">
          <cell r="C856" t="str">
            <v>SMTLOCO1a Qualidade</v>
          </cell>
          <cell r="AC856">
            <v>1080</v>
          </cell>
          <cell r="AE856">
            <v>8370</v>
          </cell>
        </row>
        <row r="857">
          <cell r="C857" t="str">
            <v>SMTSANTANA1a Qualidade</v>
          </cell>
          <cell r="AC857">
            <v>524.5</v>
          </cell>
          <cell r="AE857">
            <v>3147</v>
          </cell>
        </row>
        <row r="858">
          <cell r="C858" t="str">
            <v>SMTSANTANA1a Qualidade</v>
          </cell>
          <cell r="AC858">
            <v>387.2</v>
          </cell>
          <cell r="AE858">
            <v>2439.36</v>
          </cell>
        </row>
        <row r="859">
          <cell r="C859" t="str">
            <v>SMTSANTANA1a Qualidade</v>
          </cell>
          <cell r="AC859">
            <v>1065.5</v>
          </cell>
          <cell r="AE859">
            <v>7032.3</v>
          </cell>
        </row>
        <row r="860">
          <cell r="C860" t="str">
            <v>SMTSANTANA1a Qualidade</v>
          </cell>
          <cell r="AC860">
            <v>1074.0999999999999</v>
          </cell>
          <cell r="AE860">
            <v>7089.06</v>
          </cell>
        </row>
        <row r="861">
          <cell r="C861" t="str">
            <v>SMTBEM1a Qualidade</v>
          </cell>
          <cell r="AC861">
            <v>58.7</v>
          </cell>
          <cell r="AE861">
            <v>522.42999999999995</v>
          </cell>
        </row>
        <row r="862">
          <cell r="C862" t="str">
            <v>SMTLOCO1a Qualidade</v>
          </cell>
          <cell r="AC862">
            <v>600</v>
          </cell>
          <cell r="AE862">
            <v>5040</v>
          </cell>
        </row>
        <row r="863">
          <cell r="C863" t="str">
            <v>SMTLOCO1a Qualidade</v>
          </cell>
          <cell r="AC863">
            <v>600</v>
          </cell>
          <cell r="AE863">
            <v>5280</v>
          </cell>
        </row>
        <row r="864">
          <cell r="C864" t="str">
            <v>SMTLOCO1a Qualidade</v>
          </cell>
          <cell r="AC864">
            <v>602.1</v>
          </cell>
          <cell r="AE864">
            <v>4521.7709999999997</v>
          </cell>
        </row>
        <row r="865">
          <cell r="C865" t="str">
            <v>SMTLOCO1a Qualidade</v>
          </cell>
          <cell r="AC865">
            <v>650</v>
          </cell>
          <cell r="AE865">
            <v>5271.5</v>
          </cell>
        </row>
        <row r="866">
          <cell r="C866" t="str">
            <v>SMTLOCO1a Qualidade</v>
          </cell>
          <cell r="AC866">
            <v>650</v>
          </cell>
          <cell r="AE866">
            <v>4433</v>
          </cell>
        </row>
        <row r="867">
          <cell r="C867" t="str">
            <v>SMTLOCO1a Qualidade</v>
          </cell>
          <cell r="AC867">
            <v>605.1</v>
          </cell>
          <cell r="AE867">
            <v>5324.88</v>
          </cell>
        </row>
        <row r="868">
          <cell r="C868" t="str">
            <v>SMTLOCO1a Qualidade</v>
          </cell>
          <cell r="AC868">
            <v>596.5</v>
          </cell>
          <cell r="AE868">
            <v>4658.665</v>
          </cell>
        </row>
        <row r="869">
          <cell r="C869" t="str">
            <v>SMTLOCO1a Qualidade</v>
          </cell>
          <cell r="AC869">
            <v>130</v>
          </cell>
          <cell r="AE869">
            <v>1105</v>
          </cell>
        </row>
        <row r="870">
          <cell r="C870" t="str">
            <v>SMTLOCO1a Qualidade</v>
          </cell>
          <cell r="AC870">
            <v>140</v>
          </cell>
          <cell r="AE870">
            <v>966</v>
          </cell>
        </row>
        <row r="871">
          <cell r="C871" t="str">
            <v>SMTLOCO1a Qualidade</v>
          </cell>
          <cell r="AC871">
            <v>130</v>
          </cell>
          <cell r="AE871">
            <v>1105</v>
          </cell>
        </row>
        <row r="872">
          <cell r="C872" t="str">
            <v>SMTLOCO1a Qualidade</v>
          </cell>
          <cell r="AC872">
            <v>125</v>
          </cell>
          <cell r="AE872">
            <v>897.5</v>
          </cell>
        </row>
        <row r="873">
          <cell r="C873" t="str">
            <v>SMTLOCO1a Qualidade</v>
          </cell>
          <cell r="AC873">
            <v>119</v>
          </cell>
          <cell r="AE873">
            <v>830.62</v>
          </cell>
        </row>
        <row r="874">
          <cell r="C874" t="str">
            <v>SMTSANTANA1a Qualidade</v>
          </cell>
          <cell r="AC874">
            <v>101</v>
          </cell>
          <cell r="AE874">
            <v>626.20000000000005</v>
          </cell>
        </row>
        <row r="875">
          <cell r="C875" t="str">
            <v>SMTSANTANA1a Qualidade</v>
          </cell>
          <cell r="AC875">
            <v>109</v>
          </cell>
          <cell r="AE875">
            <v>675.8</v>
          </cell>
        </row>
        <row r="876">
          <cell r="C876" t="str">
            <v>SMTLOCO1a Qualidade</v>
          </cell>
          <cell r="AC876">
            <v>0</v>
          </cell>
          <cell r="AE876">
            <v>0</v>
          </cell>
        </row>
        <row r="877">
          <cell r="C877" t="str">
            <v>SMTLOCO1a Qualidade</v>
          </cell>
          <cell r="AC877">
            <v>0</v>
          </cell>
          <cell r="AE877">
            <v>0</v>
          </cell>
        </row>
        <row r="878">
          <cell r="C878" t="str">
            <v>SMTLOCO1a Qualidade</v>
          </cell>
          <cell r="AC878">
            <v>0</v>
          </cell>
          <cell r="AE878">
            <v>0</v>
          </cell>
        </row>
        <row r="879">
          <cell r="C879" t="str">
            <v>SMTLOCO1a Qualidade</v>
          </cell>
          <cell r="AC879">
            <v>0</v>
          </cell>
          <cell r="AE879">
            <v>0</v>
          </cell>
        </row>
        <row r="880">
          <cell r="C880" t="str">
            <v>SMTSANTANADirecionado</v>
          </cell>
          <cell r="AC880">
            <v>597</v>
          </cell>
          <cell r="AE880">
            <v>2985</v>
          </cell>
        </row>
        <row r="881">
          <cell r="C881" t="str">
            <v>SMTSANTANADirecionado</v>
          </cell>
          <cell r="AC881">
            <v>452.8</v>
          </cell>
          <cell r="AE881">
            <v>2264</v>
          </cell>
        </row>
        <row r="882">
          <cell r="C882" t="str">
            <v>SMTSANTANADirecionado</v>
          </cell>
          <cell r="AC882">
            <v>580</v>
          </cell>
          <cell r="AE882">
            <v>2900</v>
          </cell>
        </row>
        <row r="883">
          <cell r="C883" t="str">
            <v>SMTSANTANADirecionado</v>
          </cell>
          <cell r="AC883">
            <v>252</v>
          </cell>
          <cell r="AE883">
            <v>1260</v>
          </cell>
        </row>
        <row r="884">
          <cell r="C884" t="str">
            <v>SMTSANTANADirecionado</v>
          </cell>
          <cell r="AC884">
            <v>127</v>
          </cell>
          <cell r="AE884">
            <v>635</v>
          </cell>
        </row>
        <row r="885">
          <cell r="C885" t="str">
            <v>SMTSANTANADirecionado</v>
          </cell>
          <cell r="AC885">
            <v>129.5</v>
          </cell>
          <cell r="AE885">
            <v>647.5</v>
          </cell>
        </row>
        <row r="886">
          <cell r="C886" t="str">
            <v>SMTSANTANADirecionado</v>
          </cell>
          <cell r="AC886">
            <v>4006</v>
          </cell>
          <cell r="AE886">
            <v>20831.2</v>
          </cell>
        </row>
        <row r="887">
          <cell r="C887" t="str">
            <v>SMTSANTANADirecionado</v>
          </cell>
          <cell r="AC887">
            <v>3103</v>
          </cell>
          <cell r="AE887">
            <v>16135.6</v>
          </cell>
        </row>
        <row r="888">
          <cell r="C888" t="str">
            <v>SMTSANTANADirecionado</v>
          </cell>
          <cell r="AC888">
            <v>3025</v>
          </cell>
          <cell r="AE888">
            <v>15730</v>
          </cell>
        </row>
        <row r="889">
          <cell r="C889" t="str">
            <v>SMTSANTANA1a Qualidade</v>
          </cell>
          <cell r="AC889">
            <v>2027.3</v>
          </cell>
          <cell r="AE889">
            <v>13380.18</v>
          </cell>
        </row>
        <row r="890">
          <cell r="C890" t="str">
            <v>SMTSANTANA1a Qualidade</v>
          </cell>
          <cell r="AC890">
            <v>280</v>
          </cell>
          <cell r="AE890">
            <v>1652</v>
          </cell>
        </row>
        <row r="891">
          <cell r="C891" t="str">
            <v>SMTSANTANA1a Qualidade</v>
          </cell>
          <cell r="AC891">
            <v>5100.3</v>
          </cell>
          <cell r="AE891">
            <v>29326.725000000002</v>
          </cell>
        </row>
        <row r="892">
          <cell r="C892" t="str">
            <v>SMTSANTANA1a Qualidade</v>
          </cell>
          <cell r="AC892">
            <v>494</v>
          </cell>
          <cell r="AE892">
            <v>3260.4</v>
          </cell>
        </row>
        <row r="893">
          <cell r="C893" t="str">
            <v>SMTLOCO1a Qualidade</v>
          </cell>
          <cell r="AC893">
            <v>131</v>
          </cell>
          <cell r="AE893">
            <v>1055.8599999999999</v>
          </cell>
        </row>
        <row r="894">
          <cell r="C894" t="str">
            <v>SMTLOCO1a Qualidade</v>
          </cell>
          <cell r="AC894">
            <v>130</v>
          </cell>
          <cell r="AE894">
            <v>1136.2</v>
          </cell>
        </row>
        <row r="895">
          <cell r="C895" t="str">
            <v>SMTLOCO1a Qualidade</v>
          </cell>
          <cell r="AC895">
            <v>134.30000000000001</v>
          </cell>
          <cell r="AE895">
            <v>1219.4440000000002</v>
          </cell>
        </row>
        <row r="896">
          <cell r="C896" t="str">
            <v>SMTSANTANA1a Qualidade</v>
          </cell>
          <cell r="AC896">
            <v>1274.2</v>
          </cell>
          <cell r="AE896">
            <v>8409.7199999999993</v>
          </cell>
        </row>
        <row r="897">
          <cell r="C897" t="str">
            <v>SMTLOCO1a Qualidade</v>
          </cell>
          <cell r="AC897">
            <v>2576.6</v>
          </cell>
          <cell r="AE897">
            <v>21901.1</v>
          </cell>
        </row>
        <row r="898">
          <cell r="C898" t="str">
            <v>SMTLOCO1a Qualidade</v>
          </cell>
          <cell r="AC898">
            <v>2529.9</v>
          </cell>
          <cell r="AE898">
            <v>21504.15</v>
          </cell>
        </row>
        <row r="899">
          <cell r="C899" t="str">
            <v>SMTLOCO1a Qualidade</v>
          </cell>
          <cell r="AC899">
            <v>1019</v>
          </cell>
          <cell r="AE899">
            <v>8661.5</v>
          </cell>
        </row>
        <row r="900">
          <cell r="C900" t="str">
            <v>SMTSANTANADirecionado</v>
          </cell>
          <cell r="AC900">
            <v>1165.7</v>
          </cell>
          <cell r="AE900">
            <v>6061.64</v>
          </cell>
        </row>
        <row r="901">
          <cell r="C901" t="str">
            <v>SMTSANTANADirecionado</v>
          </cell>
          <cell r="AC901">
            <v>556.5</v>
          </cell>
          <cell r="AE901">
            <v>2893.8</v>
          </cell>
        </row>
        <row r="902">
          <cell r="C902" t="str">
            <v>SMTSANTANADirecionado</v>
          </cell>
          <cell r="AC902">
            <v>343</v>
          </cell>
          <cell r="AE902">
            <v>1783.6</v>
          </cell>
        </row>
        <row r="903">
          <cell r="C903" t="str">
            <v>SMTSANTANADirecionado</v>
          </cell>
          <cell r="AC903">
            <v>2685.6</v>
          </cell>
          <cell r="AE903">
            <v>13965.12</v>
          </cell>
        </row>
        <row r="904">
          <cell r="C904" t="str">
            <v>SMTSANTANADirecionado</v>
          </cell>
          <cell r="AC904">
            <v>1045</v>
          </cell>
          <cell r="AE904">
            <v>5434</v>
          </cell>
        </row>
        <row r="905">
          <cell r="C905" t="str">
            <v>SMTSANTANADirecionado</v>
          </cell>
          <cell r="AC905">
            <v>524.29999999999995</v>
          </cell>
          <cell r="AE905">
            <v>2726.36</v>
          </cell>
        </row>
        <row r="906">
          <cell r="C906" t="str">
            <v>SMTSANTANA1a Qualidade</v>
          </cell>
          <cell r="AC906">
            <v>3028.5</v>
          </cell>
          <cell r="AE906">
            <v>17262.45</v>
          </cell>
        </row>
        <row r="907">
          <cell r="C907" t="str">
            <v>SMTSANTANA1a Qualidade</v>
          </cell>
          <cell r="AC907">
            <v>3048</v>
          </cell>
          <cell r="AE907">
            <v>17373.599999999999</v>
          </cell>
        </row>
        <row r="908">
          <cell r="C908" t="str">
            <v>SMTSANTANA1a Qualidade</v>
          </cell>
          <cell r="AC908">
            <v>300</v>
          </cell>
          <cell r="AE908">
            <v>1956</v>
          </cell>
        </row>
        <row r="909">
          <cell r="C909" t="str">
            <v>SMTSANTANADirecionado</v>
          </cell>
          <cell r="AC909">
            <v>995</v>
          </cell>
          <cell r="AE909">
            <v>5373</v>
          </cell>
        </row>
        <row r="910">
          <cell r="C910" t="str">
            <v>SMTSANTANADirecionado</v>
          </cell>
          <cell r="AC910">
            <v>2054</v>
          </cell>
          <cell r="AE910">
            <v>11091.6</v>
          </cell>
        </row>
        <row r="911">
          <cell r="C911" t="str">
            <v>SMTLOCO1a Qualidade</v>
          </cell>
          <cell r="AC911">
            <v>346.3</v>
          </cell>
          <cell r="AE911">
            <v>2735.77</v>
          </cell>
        </row>
        <row r="912">
          <cell r="C912" t="str">
            <v>SMTSANTANA1a Qualidade</v>
          </cell>
          <cell r="AC912">
            <v>320</v>
          </cell>
          <cell r="AE912">
            <v>2131.1999999999998</v>
          </cell>
        </row>
        <row r="913">
          <cell r="C913" t="str">
            <v>SMTSANTANA1a Qualidade</v>
          </cell>
          <cell r="AC913">
            <v>322.5</v>
          </cell>
          <cell r="AE913">
            <v>2147.85</v>
          </cell>
        </row>
        <row r="914">
          <cell r="C914" t="str">
            <v>SMTLOCO1a Qualidade</v>
          </cell>
          <cell r="AC914">
            <v>978</v>
          </cell>
          <cell r="AE914">
            <v>6748.2</v>
          </cell>
        </row>
        <row r="915">
          <cell r="C915" t="str">
            <v>SMTSANTANA1a Qualidade</v>
          </cell>
          <cell r="AC915">
            <v>812</v>
          </cell>
          <cell r="AE915">
            <v>5245.52</v>
          </cell>
        </row>
        <row r="916">
          <cell r="C916" t="str">
            <v>SMTLOCO1a Qualidade</v>
          </cell>
          <cell r="AC916">
            <v>800.5</v>
          </cell>
          <cell r="AE916">
            <v>7084.4249999999993</v>
          </cell>
        </row>
        <row r="917">
          <cell r="C917" t="str">
            <v>SMTSANTANA1a Qualidade</v>
          </cell>
          <cell r="AC917">
            <v>3225</v>
          </cell>
          <cell r="AE917">
            <v>20640</v>
          </cell>
        </row>
        <row r="918">
          <cell r="C918" t="str">
            <v>SMTLOCO1a Qualidade</v>
          </cell>
          <cell r="AC918">
            <v>314.39999999999998</v>
          </cell>
          <cell r="AE918">
            <v>2798.16</v>
          </cell>
        </row>
        <row r="919">
          <cell r="C919" t="str">
            <v>SMTBEM1a Qualidade</v>
          </cell>
          <cell r="AC919">
            <v>280</v>
          </cell>
          <cell r="AE919">
            <v>2492</v>
          </cell>
        </row>
        <row r="920">
          <cell r="C920" t="str">
            <v>SMTLOCO1a Qualidade</v>
          </cell>
          <cell r="AC920">
            <v>329</v>
          </cell>
          <cell r="AE920">
            <v>2500.4</v>
          </cell>
        </row>
        <row r="921">
          <cell r="C921" t="str">
            <v>SMTLOCO1a Qualidade</v>
          </cell>
          <cell r="AC921">
            <v>10415</v>
          </cell>
          <cell r="AE921">
            <v>82278.5</v>
          </cell>
        </row>
        <row r="922">
          <cell r="C922" t="str">
            <v>SMTLOCO1a Qualidade</v>
          </cell>
          <cell r="AC922">
            <v>803.8</v>
          </cell>
          <cell r="AE922">
            <v>6028.5</v>
          </cell>
        </row>
        <row r="923">
          <cell r="C923" t="str">
            <v>SMTSANTANA1a Qualidade</v>
          </cell>
          <cell r="AC923">
            <v>9592.7000000000007</v>
          </cell>
          <cell r="AE923">
            <v>61393.279999999999</v>
          </cell>
        </row>
        <row r="924">
          <cell r="C924" t="str">
            <v>SMTSANTANA1a Qualidade</v>
          </cell>
          <cell r="AC924">
            <v>1835.1</v>
          </cell>
          <cell r="AE924">
            <v>11928.15</v>
          </cell>
        </row>
        <row r="925">
          <cell r="C925" t="str">
            <v>SMTLOCO1a Qualidade</v>
          </cell>
          <cell r="AC925">
            <v>380.1</v>
          </cell>
          <cell r="AE925">
            <v>3002.79</v>
          </cell>
        </row>
        <row r="926">
          <cell r="C926" t="str">
            <v>SMTLOCO1a Qualidade</v>
          </cell>
          <cell r="AC926">
            <v>96.6</v>
          </cell>
          <cell r="AE926">
            <v>666.54</v>
          </cell>
        </row>
        <row r="927">
          <cell r="C927" t="str">
            <v>SMTLOCO1a Qualidade</v>
          </cell>
          <cell r="AC927">
            <v>118</v>
          </cell>
          <cell r="AE927">
            <v>814.2</v>
          </cell>
        </row>
        <row r="928">
          <cell r="C928" t="str">
            <v>SMTSANTANA1a Qualidade</v>
          </cell>
          <cell r="AC928">
            <v>3068</v>
          </cell>
          <cell r="AE928">
            <v>17487.599999999999</v>
          </cell>
        </row>
        <row r="929">
          <cell r="C929" t="str">
            <v>SMTSANTANA1a Qualidade</v>
          </cell>
          <cell r="AC929">
            <v>1533.3</v>
          </cell>
          <cell r="AE929">
            <v>9199.7999999999993</v>
          </cell>
        </row>
        <row r="930">
          <cell r="C930" t="str">
            <v>SMTLOCO1a Qualidade</v>
          </cell>
          <cell r="AC930">
            <v>629.5</v>
          </cell>
          <cell r="AE930">
            <v>4211.3550000000005</v>
          </cell>
        </row>
        <row r="931">
          <cell r="C931" t="str">
            <v>SMTSANTANA1a Qualidade</v>
          </cell>
          <cell r="AC931">
            <v>2586</v>
          </cell>
          <cell r="AE931">
            <v>14740.2</v>
          </cell>
        </row>
        <row r="932">
          <cell r="C932" t="str">
            <v>SMTLOCO1a Qualidade</v>
          </cell>
          <cell r="AC932">
            <v>515</v>
          </cell>
          <cell r="AE932">
            <v>3502</v>
          </cell>
        </row>
        <row r="933">
          <cell r="C933" t="str">
            <v>SMTLOCO1a Qualidade</v>
          </cell>
          <cell r="AC933">
            <v>115</v>
          </cell>
          <cell r="AE933">
            <v>862.5</v>
          </cell>
        </row>
        <row r="934">
          <cell r="C934" t="str">
            <v>SMTSANTANA1a Qualidade</v>
          </cell>
          <cell r="AC934">
            <v>104.2</v>
          </cell>
          <cell r="AE934">
            <v>698.14</v>
          </cell>
        </row>
        <row r="935">
          <cell r="C935" t="str">
            <v>SMTOE - 100% Algodão1a Qualidade</v>
          </cell>
          <cell r="AC935">
            <v>11191.2</v>
          </cell>
          <cell r="AE935">
            <v>74981.039999999994</v>
          </cell>
        </row>
        <row r="936">
          <cell r="C936" t="str">
            <v>SMTLOCO1a Qualidade</v>
          </cell>
          <cell r="AC936">
            <v>280</v>
          </cell>
          <cell r="AE936">
            <v>1960</v>
          </cell>
        </row>
        <row r="937">
          <cell r="C937" t="str">
            <v>SMTOE - 100% Algodão1a Qualidade</v>
          </cell>
          <cell r="AC937">
            <v>22506.75</v>
          </cell>
          <cell r="AE937">
            <v>162048.6</v>
          </cell>
        </row>
        <row r="938">
          <cell r="C938" t="str">
            <v>SMTBEM1a Qualidade</v>
          </cell>
          <cell r="AC938">
            <v>218.3</v>
          </cell>
          <cell r="AE938">
            <v>2023.6410000000001</v>
          </cell>
        </row>
        <row r="939">
          <cell r="C939" t="str">
            <v>SMTLOCO1a Qualidade</v>
          </cell>
          <cell r="AC939">
            <v>188.6</v>
          </cell>
          <cell r="AE939">
            <v>1552.1780000000001</v>
          </cell>
        </row>
        <row r="940">
          <cell r="C940" t="str">
            <v>SMTSANTANA1a Qualidade</v>
          </cell>
          <cell r="AC940">
            <v>282</v>
          </cell>
          <cell r="AE940">
            <v>1748.4</v>
          </cell>
        </row>
        <row r="941">
          <cell r="C941" t="str">
            <v>SMTSANTANA1a Qualidade</v>
          </cell>
          <cell r="AC941">
            <v>320</v>
          </cell>
          <cell r="AE941">
            <v>1952</v>
          </cell>
        </row>
        <row r="942">
          <cell r="C942" t="str">
            <v>SMTLOCO1a Qualidade</v>
          </cell>
          <cell r="AC942">
            <v>289</v>
          </cell>
          <cell r="AE942">
            <v>1907.4</v>
          </cell>
        </row>
        <row r="943">
          <cell r="C943" t="str">
            <v>SMTSANTANA2a Qualidade</v>
          </cell>
          <cell r="AC943">
            <v>81.5</v>
          </cell>
          <cell r="AE943">
            <v>443.36</v>
          </cell>
        </row>
        <row r="944">
          <cell r="C944" t="str">
            <v>SMTSANTANA2a Qualidade</v>
          </cell>
          <cell r="AC944">
            <v>81.099999999999994</v>
          </cell>
          <cell r="AE944">
            <v>427.39699999999993</v>
          </cell>
        </row>
        <row r="945">
          <cell r="C945" t="str">
            <v>SMTSANTANA2a Qualidade</v>
          </cell>
          <cell r="AC945">
            <v>75.8</v>
          </cell>
          <cell r="AE945">
            <v>399.46599999999995</v>
          </cell>
        </row>
        <row r="946">
          <cell r="C946" t="str">
            <v>SMTLOCO1a Qualidade</v>
          </cell>
          <cell r="AC946">
            <v>1187.5</v>
          </cell>
          <cell r="AE946">
            <v>7481.25</v>
          </cell>
        </row>
        <row r="947">
          <cell r="C947" t="str">
            <v>SMTLOCO1a Qualidade</v>
          </cell>
          <cell r="AC947">
            <v>668.6</v>
          </cell>
          <cell r="AE947">
            <v>4212.18</v>
          </cell>
        </row>
        <row r="948">
          <cell r="C948" t="str">
            <v>SMTLOCO1a Qualidade</v>
          </cell>
          <cell r="AC948">
            <v>1871.1</v>
          </cell>
          <cell r="AE948">
            <v>11787.93</v>
          </cell>
        </row>
        <row r="949">
          <cell r="C949" t="str">
            <v>SMTLOCO1a Qualidade</v>
          </cell>
          <cell r="AC949">
            <v>875.8</v>
          </cell>
          <cell r="AE949">
            <v>5517.54</v>
          </cell>
        </row>
        <row r="950">
          <cell r="C950" t="str">
            <v>SMTLOCO1a Qualidade</v>
          </cell>
          <cell r="AC950">
            <v>632.79999999999995</v>
          </cell>
          <cell r="AE950">
            <v>3986.64</v>
          </cell>
        </row>
        <row r="951">
          <cell r="C951" t="str">
            <v>SMTSANTANA1a Qualidade</v>
          </cell>
          <cell r="AC951">
            <v>736.2</v>
          </cell>
          <cell r="AE951">
            <v>4785.3</v>
          </cell>
        </row>
        <row r="952">
          <cell r="C952" t="str">
            <v>SMTSANTANA1a Qualidade</v>
          </cell>
          <cell r="AC952">
            <v>462.7</v>
          </cell>
          <cell r="AE952">
            <v>3007.55</v>
          </cell>
        </row>
        <row r="953">
          <cell r="C953" t="str">
            <v>SMTOE - 100% Algodão1a Qualidade</v>
          </cell>
          <cell r="AC953">
            <v>22507.39</v>
          </cell>
          <cell r="AE953">
            <v>158677.09949999998</v>
          </cell>
        </row>
        <row r="954">
          <cell r="C954" t="str">
            <v>SMTSANTANADirecionado</v>
          </cell>
          <cell r="AC954">
            <v>560</v>
          </cell>
          <cell r="AE954">
            <v>2968</v>
          </cell>
        </row>
        <row r="955">
          <cell r="C955" t="str">
            <v>SMTSANTANADirecionado</v>
          </cell>
          <cell r="AC955">
            <v>296.3</v>
          </cell>
          <cell r="AE955">
            <v>1570.39</v>
          </cell>
        </row>
        <row r="956">
          <cell r="C956" t="str">
            <v>SMTSANTANADirecionado</v>
          </cell>
          <cell r="AC956">
            <v>456.4</v>
          </cell>
          <cell r="AE956">
            <v>2373.2800000000002</v>
          </cell>
        </row>
        <row r="957">
          <cell r="C957" t="str">
            <v>SMTSANTANADirecionado</v>
          </cell>
          <cell r="AC957">
            <v>353</v>
          </cell>
          <cell r="AE957">
            <v>1835.6</v>
          </cell>
        </row>
        <row r="958">
          <cell r="C958" t="str">
            <v>SMTSANTANADirecionado</v>
          </cell>
          <cell r="AC958">
            <v>167</v>
          </cell>
          <cell r="AE958">
            <v>868.4</v>
          </cell>
        </row>
        <row r="959">
          <cell r="C959" t="str">
            <v>SMTLOCO1a Qualidade</v>
          </cell>
          <cell r="AC959">
            <v>1063</v>
          </cell>
          <cell r="AE959">
            <v>7334.7</v>
          </cell>
        </row>
        <row r="960">
          <cell r="C960" t="str">
            <v>SMTSANTANA1a Qualidade</v>
          </cell>
          <cell r="AC960">
            <v>2054.4</v>
          </cell>
          <cell r="AE960">
            <v>13559.04</v>
          </cell>
        </row>
        <row r="961">
          <cell r="C961" t="str">
            <v>SMTSANTANA1a Qualidade</v>
          </cell>
          <cell r="AC961">
            <v>1081</v>
          </cell>
          <cell r="AE961">
            <v>6475.19</v>
          </cell>
        </row>
        <row r="962">
          <cell r="C962" t="str">
            <v>SMTLOCO1a Qualidade</v>
          </cell>
          <cell r="AC962">
            <v>15743.3</v>
          </cell>
          <cell r="AE962">
            <v>108471.33699999998</v>
          </cell>
        </row>
        <row r="963">
          <cell r="C963" t="str">
            <v>SMTSANTANA1a Qualidade</v>
          </cell>
          <cell r="AC963">
            <v>623.5</v>
          </cell>
          <cell r="AE963">
            <v>3366.9</v>
          </cell>
        </row>
        <row r="964">
          <cell r="C964" t="str">
            <v>SMTSANTANA1a Qualidade</v>
          </cell>
          <cell r="AC964">
            <v>209</v>
          </cell>
          <cell r="AE964">
            <v>1128.5999999999999</v>
          </cell>
        </row>
        <row r="965">
          <cell r="C965" t="str">
            <v>SMTLOCO1a Qualidade</v>
          </cell>
          <cell r="AC965">
            <v>438</v>
          </cell>
          <cell r="AE965">
            <v>3022.2</v>
          </cell>
        </row>
        <row r="966">
          <cell r="C966" t="str">
            <v>SMTSANTANA1a Qualidade</v>
          </cell>
          <cell r="AC966">
            <v>382.6</v>
          </cell>
          <cell r="AE966">
            <v>2563.42</v>
          </cell>
        </row>
        <row r="967">
          <cell r="C967" t="str">
            <v>SMTSANTANA1a Qualidade</v>
          </cell>
          <cell r="AC967">
            <v>380</v>
          </cell>
          <cell r="AE967">
            <v>2508</v>
          </cell>
        </row>
        <row r="968">
          <cell r="C968" t="str">
            <v>SMTBEM1a Qualidade</v>
          </cell>
          <cell r="AC968">
            <v>394.9</v>
          </cell>
          <cell r="AE968">
            <v>3396.14</v>
          </cell>
        </row>
        <row r="969">
          <cell r="C969" t="str">
            <v>SMTLOCO1a Qualidade</v>
          </cell>
          <cell r="AC969">
            <v>481.1</v>
          </cell>
          <cell r="AE969">
            <v>2646.05</v>
          </cell>
        </row>
        <row r="970">
          <cell r="C970" t="str">
            <v>SMTLOCO1a Qualidade</v>
          </cell>
          <cell r="AC970">
            <v>1196</v>
          </cell>
          <cell r="AE970">
            <v>6578</v>
          </cell>
        </row>
        <row r="971">
          <cell r="C971" t="str">
            <v>SMTLOCO1a Qualidade</v>
          </cell>
          <cell r="AC971">
            <v>854</v>
          </cell>
          <cell r="AE971">
            <v>4697</v>
          </cell>
        </row>
        <row r="972">
          <cell r="C972" t="str">
            <v>SMTBEM2a Qualidade</v>
          </cell>
          <cell r="AC972">
            <v>505</v>
          </cell>
          <cell r="AE972">
            <v>2777.5</v>
          </cell>
        </row>
        <row r="973">
          <cell r="C973" t="str">
            <v>SMTLOCO2a Qualidade</v>
          </cell>
          <cell r="AC973">
            <v>583.9</v>
          </cell>
          <cell r="AE973">
            <v>3211.45</v>
          </cell>
        </row>
        <row r="974">
          <cell r="C974" t="str">
            <v>SMTLOCO2a Qualidade</v>
          </cell>
          <cell r="AC974">
            <v>520.4</v>
          </cell>
          <cell r="AE974">
            <v>2862.2</v>
          </cell>
        </row>
        <row r="975">
          <cell r="C975" t="str">
            <v>SMTSANTANA1a Qualidade</v>
          </cell>
          <cell r="AC975">
            <v>1060.2</v>
          </cell>
          <cell r="AE975">
            <v>6361.2</v>
          </cell>
        </row>
        <row r="976">
          <cell r="C976" t="str">
            <v>SMTSANTANA1a Qualidade</v>
          </cell>
          <cell r="AC976">
            <v>600</v>
          </cell>
          <cell r="AE976">
            <v>4026</v>
          </cell>
        </row>
        <row r="977">
          <cell r="C977" t="str">
            <v>SMTSANTANA1a Qualidade</v>
          </cell>
          <cell r="AC977">
            <v>1160.5</v>
          </cell>
          <cell r="AE977">
            <v>8332.39</v>
          </cell>
        </row>
        <row r="978">
          <cell r="C978" t="str">
            <v>SMTSANTANA1a Qualidade</v>
          </cell>
          <cell r="AC978">
            <v>1955.5</v>
          </cell>
          <cell r="AE978">
            <v>14040.49</v>
          </cell>
        </row>
        <row r="979">
          <cell r="C979" t="str">
            <v>SMTSANTANA1a Qualidade</v>
          </cell>
          <cell r="AC979">
            <v>106</v>
          </cell>
          <cell r="AE979">
            <v>742</v>
          </cell>
        </row>
        <row r="980">
          <cell r="C980" t="str">
            <v>SMTLOCO1a Qualidade</v>
          </cell>
          <cell r="AC980">
            <v>218.3</v>
          </cell>
          <cell r="AE980">
            <v>1746.4</v>
          </cell>
        </row>
        <row r="981">
          <cell r="C981" t="str">
            <v>SMTLOCO1a Qualidade</v>
          </cell>
          <cell r="AC981">
            <v>189.5</v>
          </cell>
          <cell r="AE981">
            <v>1269.6500000000001</v>
          </cell>
        </row>
        <row r="982">
          <cell r="C982" t="str">
            <v>SMTLOCO1a Qualidade</v>
          </cell>
          <cell r="AC982">
            <v>21</v>
          </cell>
          <cell r="AE982">
            <v>173.25</v>
          </cell>
        </row>
        <row r="983">
          <cell r="C983" t="str">
            <v>SMTLOCO1a Qualidade</v>
          </cell>
          <cell r="AC983">
            <v>26.5</v>
          </cell>
          <cell r="AE983">
            <v>202.99</v>
          </cell>
        </row>
        <row r="984">
          <cell r="C984" t="str">
            <v>SMTLOCO1a Qualidade</v>
          </cell>
          <cell r="AC984">
            <v>26</v>
          </cell>
          <cell r="AE984">
            <v>208</v>
          </cell>
        </row>
        <row r="985">
          <cell r="C985" t="str">
            <v>SMTSANTANA2a Qualidade</v>
          </cell>
          <cell r="AC985">
            <v>33</v>
          </cell>
          <cell r="AE985">
            <v>145.19999999999999</v>
          </cell>
        </row>
        <row r="986">
          <cell r="C986" t="str">
            <v>SMTSANTANA2a Qualidade</v>
          </cell>
          <cell r="AC986">
            <v>10</v>
          </cell>
          <cell r="AE986">
            <v>44</v>
          </cell>
        </row>
        <row r="987">
          <cell r="C987" t="str">
            <v>SMTSANTANA2a Qualidade</v>
          </cell>
          <cell r="AC987">
            <v>276</v>
          </cell>
          <cell r="AE987">
            <v>1214.4000000000001</v>
          </cell>
        </row>
        <row r="988">
          <cell r="C988" t="str">
            <v>SMTSANTANA2a Qualidade</v>
          </cell>
          <cell r="AC988">
            <v>23</v>
          </cell>
          <cell r="AE988">
            <v>101.2</v>
          </cell>
        </row>
        <row r="989">
          <cell r="C989" t="str">
            <v>SMTSANTANA2a Qualidade</v>
          </cell>
          <cell r="AC989">
            <v>313.7</v>
          </cell>
          <cell r="AE989">
            <v>1380.28</v>
          </cell>
        </row>
        <row r="990">
          <cell r="C990" t="str">
            <v>SMTSANTANA2a Qualidade</v>
          </cell>
          <cell r="AC990">
            <v>89</v>
          </cell>
          <cell r="AE990">
            <v>391.6</v>
          </cell>
        </row>
        <row r="991">
          <cell r="C991" t="str">
            <v>SMTSANTANA2a Qualidade</v>
          </cell>
          <cell r="AC991">
            <v>47</v>
          </cell>
          <cell r="AE991">
            <v>206.8</v>
          </cell>
        </row>
        <row r="992">
          <cell r="C992" t="str">
            <v>SMTSANTANA2a Qualidade</v>
          </cell>
          <cell r="AC992">
            <v>35.700000000000003</v>
          </cell>
          <cell r="AE992">
            <v>157.08000000000001</v>
          </cell>
        </row>
        <row r="993">
          <cell r="C993" t="str">
            <v>SMTSANTANA2a Qualidade</v>
          </cell>
          <cell r="AC993">
            <v>8378.4</v>
          </cell>
          <cell r="AE993">
            <v>36864.959999999999</v>
          </cell>
        </row>
        <row r="994">
          <cell r="C994" t="str">
            <v>SMTSANTANA2a Qualidade</v>
          </cell>
          <cell r="AC994">
            <v>105.5</v>
          </cell>
          <cell r="AE994">
            <v>464.2</v>
          </cell>
        </row>
        <row r="995">
          <cell r="C995" t="str">
            <v>SMTSANTANA2a Qualidade</v>
          </cell>
          <cell r="AC995">
            <v>59</v>
          </cell>
          <cell r="AE995">
            <v>259.60000000000002</v>
          </cell>
        </row>
        <row r="996">
          <cell r="C996" t="str">
            <v>SMTSANTANA2a Qualidade</v>
          </cell>
          <cell r="AC996">
            <v>51.5</v>
          </cell>
          <cell r="AE996">
            <v>226.6</v>
          </cell>
        </row>
        <row r="997">
          <cell r="C997" t="str">
            <v>SMTSANTANA2a Qualidade</v>
          </cell>
          <cell r="AC997">
            <v>1572.4</v>
          </cell>
          <cell r="AE997">
            <v>6918.56</v>
          </cell>
        </row>
        <row r="998">
          <cell r="C998" t="str">
            <v>SMTSANTANA2a Qualidade</v>
          </cell>
          <cell r="AC998">
            <v>6940</v>
          </cell>
          <cell r="AE998">
            <v>30536</v>
          </cell>
        </row>
        <row r="999">
          <cell r="C999" t="str">
            <v>SMTSANTANA2a Qualidade</v>
          </cell>
          <cell r="AC999">
            <v>443</v>
          </cell>
          <cell r="AE999">
            <v>1949.2</v>
          </cell>
        </row>
        <row r="1000">
          <cell r="C1000" t="str">
            <v>SMTSANTANA2a Qualidade</v>
          </cell>
          <cell r="AC1000">
            <v>88</v>
          </cell>
          <cell r="AE1000">
            <v>387.2</v>
          </cell>
        </row>
        <row r="1001">
          <cell r="C1001" t="str">
            <v>SMTSANTANA2a Qualidade</v>
          </cell>
          <cell r="AC1001">
            <v>1284.7</v>
          </cell>
          <cell r="AE1001">
            <v>5652.68</v>
          </cell>
        </row>
        <row r="1002">
          <cell r="C1002" t="str">
            <v>SMTSANTANA2a Qualidade</v>
          </cell>
          <cell r="AC1002">
            <v>10231.9</v>
          </cell>
          <cell r="AE1002">
            <v>45020.36</v>
          </cell>
        </row>
        <row r="1003">
          <cell r="C1003" t="str">
            <v>SMTSANTANA2a Qualidade</v>
          </cell>
          <cell r="AC1003">
            <v>4642.8</v>
          </cell>
          <cell r="AE1003">
            <v>20428.32</v>
          </cell>
        </row>
        <row r="1004">
          <cell r="C1004" t="str">
            <v>SMTSANTANA2a Qualidade</v>
          </cell>
          <cell r="AC1004">
            <v>41</v>
          </cell>
          <cell r="AE1004">
            <v>180.4</v>
          </cell>
        </row>
        <row r="1005">
          <cell r="C1005" t="str">
            <v>SMTSANTANA2a Qualidade</v>
          </cell>
          <cell r="AC1005">
            <v>1733.8</v>
          </cell>
          <cell r="AE1005">
            <v>7628.72</v>
          </cell>
        </row>
        <row r="1006">
          <cell r="C1006" t="str">
            <v>SMTSANTANA2a Qualidade</v>
          </cell>
          <cell r="AC1006">
            <v>45.5</v>
          </cell>
          <cell r="AE1006">
            <v>200.2</v>
          </cell>
        </row>
        <row r="1007">
          <cell r="C1007" t="str">
            <v>SMTSANTANA2a Qualidade</v>
          </cell>
          <cell r="AC1007">
            <v>202.5</v>
          </cell>
          <cell r="AE1007">
            <v>891</v>
          </cell>
        </row>
        <row r="1008">
          <cell r="C1008" t="str">
            <v>SMTSANTANA2a Qualidade</v>
          </cell>
          <cell r="AC1008">
            <v>1874.1</v>
          </cell>
          <cell r="AE1008">
            <v>8246.0400000000009</v>
          </cell>
        </row>
        <row r="1009">
          <cell r="C1009" t="str">
            <v>SMTSANTANA2a Qualidade</v>
          </cell>
          <cell r="AC1009">
            <v>1128.5999999999999</v>
          </cell>
          <cell r="AE1009">
            <v>4965.84</v>
          </cell>
        </row>
        <row r="1010">
          <cell r="C1010" t="str">
            <v>SMTLOCO1a Qualidade</v>
          </cell>
          <cell r="AC1010">
            <v>321</v>
          </cell>
          <cell r="AE1010">
            <v>2304.7800000000002</v>
          </cell>
        </row>
        <row r="1011">
          <cell r="C1011" t="str">
            <v>SMTLOCO1a Qualidade</v>
          </cell>
          <cell r="AC1011">
            <v>11261.1</v>
          </cell>
          <cell r="AE1011">
            <v>73197.149999999994</v>
          </cell>
        </row>
        <row r="1012">
          <cell r="C1012" t="str">
            <v>SMTLOCO1a Qualidade</v>
          </cell>
          <cell r="AC1012">
            <v>5051.3</v>
          </cell>
          <cell r="AE1012">
            <v>32833.449999999997</v>
          </cell>
        </row>
        <row r="1013">
          <cell r="C1013" t="str">
            <v>SMTSANTANA1a Qualidade</v>
          </cell>
          <cell r="AC1013">
            <v>328.5</v>
          </cell>
          <cell r="AE1013">
            <v>2187.81</v>
          </cell>
        </row>
        <row r="1014">
          <cell r="C1014" t="str">
            <v>SMTLOCO1a Qualidade</v>
          </cell>
          <cell r="AC1014">
            <v>51</v>
          </cell>
          <cell r="AE1014">
            <v>453.9</v>
          </cell>
        </row>
        <row r="1015">
          <cell r="C1015" t="str">
            <v>SMTLOCO1a Qualidade</v>
          </cell>
          <cell r="AC1015">
            <v>77.5</v>
          </cell>
          <cell r="AE1015">
            <v>689.75</v>
          </cell>
        </row>
        <row r="1016">
          <cell r="C1016" t="str">
            <v>SMTLOCO1a Qualidade</v>
          </cell>
          <cell r="AC1016">
            <v>34</v>
          </cell>
          <cell r="AE1016">
            <v>255</v>
          </cell>
        </row>
        <row r="1017">
          <cell r="C1017" t="str">
            <v>SMTLOCO1a Qualidade</v>
          </cell>
          <cell r="AC1017">
            <v>29</v>
          </cell>
          <cell r="AE1017">
            <v>243.6</v>
          </cell>
        </row>
        <row r="1018">
          <cell r="C1018" t="str">
            <v>SMTSANTANADirecionado</v>
          </cell>
          <cell r="AC1018">
            <v>3025</v>
          </cell>
          <cell r="AE1018">
            <v>16637.5</v>
          </cell>
        </row>
        <row r="1019">
          <cell r="C1019" t="str">
            <v>SMTLOCODirecionado</v>
          </cell>
          <cell r="AC1019">
            <v>1028.7</v>
          </cell>
          <cell r="AE1019">
            <v>6172.2</v>
          </cell>
        </row>
        <row r="1020">
          <cell r="C1020" t="str">
            <v>SMTSANTANA1a Qualidade</v>
          </cell>
          <cell r="AC1020">
            <v>5575.3</v>
          </cell>
          <cell r="AE1020">
            <v>35124.39</v>
          </cell>
        </row>
        <row r="1021">
          <cell r="C1021" t="str">
            <v>SMTSANTANA1a Qualidade</v>
          </cell>
          <cell r="AC1021">
            <v>20103.8</v>
          </cell>
          <cell r="AE1021">
            <v>114591.66</v>
          </cell>
        </row>
        <row r="1022">
          <cell r="C1022" t="str">
            <v>SMTOE - 100% Algodão1a Qualidade</v>
          </cell>
          <cell r="AC1022">
            <v>2014.58</v>
          </cell>
          <cell r="AE1022">
            <v>15008.620999999999</v>
          </cell>
        </row>
        <row r="1023">
          <cell r="C1023" t="str">
            <v>SMTSANTANA1a Qualidade</v>
          </cell>
          <cell r="AC1023">
            <v>3617</v>
          </cell>
          <cell r="AE1023">
            <v>24053.05</v>
          </cell>
        </row>
        <row r="1024">
          <cell r="C1024" t="str">
            <v>SMTOE - 100% Algodão1a Qualidade</v>
          </cell>
          <cell r="AC1024">
            <v>3004.55</v>
          </cell>
          <cell r="AE1024">
            <v>21933.215</v>
          </cell>
        </row>
        <row r="1025">
          <cell r="C1025" t="str">
            <v>SMTSANTANA1a Qualidade</v>
          </cell>
          <cell r="AC1025">
            <v>220</v>
          </cell>
          <cell r="AE1025">
            <v>1625.8</v>
          </cell>
        </row>
        <row r="1026">
          <cell r="C1026" t="str">
            <v>SMTOE - 100% Algodão1a Qualidade</v>
          </cell>
          <cell r="AC1026">
            <v>3004.6</v>
          </cell>
          <cell r="AE1026">
            <v>21933.58</v>
          </cell>
        </row>
        <row r="1027">
          <cell r="C1027" t="str">
            <v>SMTSANTANA1a Qualidade</v>
          </cell>
          <cell r="AC1027">
            <v>2073.5</v>
          </cell>
          <cell r="AE1027">
            <v>11818.95</v>
          </cell>
        </row>
        <row r="1028">
          <cell r="C1028" t="str">
            <v>SMTLOCO1a Qualidade</v>
          </cell>
          <cell r="AC1028">
            <v>130</v>
          </cell>
          <cell r="AE1028">
            <v>1047.8</v>
          </cell>
        </row>
        <row r="1029">
          <cell r="C1029" t="str">
            <v>SMTSANTANA1a Qualidade</v>
          </cell>
          <cell r="AC1029">
            <v>1630.2</v>
          </cell>
          <cell r="AE1029">
            <v>10270.26</v>
          </cell>
        </row>
        <row r="1030">
          <cell r="C1030" t="str">
            <v>SMTSANTANADirecionado</v>
          </cell>
          <cell r="AC1030">
            <v>856.5</v>
          </cell>
          <cell r="AE1030">
            <v>4539.45</v>
          </cell>
        </row>
        <row r="1031">
          <cell r="C1031" t="str">
            <v>SMTSANTANADirecionado</v>
          </cell>
          <cell r="AC1031">
            <v>1637</v>
          </cell>
          <cell r="AE1031">
            <v>8676.1</v>
          </cell>
        </row>
        <row r="1032">
          <cell r="C1032" t="str">
            <v>SMTLOCO1a Qualidade</v>
          </cell>
          <cell r="AC1032">
            <v>608</v>
          </cell>
          <cell r="AE1032">
            <v>5350.4</v>
          </cell>
        </row>
        <row r="1033">
          <cell r="C1033" t="str">
            <v>SMTLOCO1a Qualidade</v>
          </cell>
          <cell r="AC1033">
            <v>659.5</v>
          </cell>
          <cell r="AE1033">
            <v>5150.6949999999997</v>
          </cell>
        </row>
        <row r="1034">
          <cell r="C1034" t="str">
            <v>SMTLOCO1a Qualidade</v>
          </cell>
          <cell r="AC1034">
            <v>645.29999999999995</v>
          </cell>
          <cell r="AE1034">
            <v>5420.52</v>
          </cell>
        </row>
        <row r="1035">
          <cell r="C1035" t="str">
            <v>SMTSANTANA1a Qualidade</v>
          </cell>
          <cell r="AC1035">
            <v>480</v>
          </cell>
          <cell r="AE1035">
            <v>2880</v>
          </cell>
        </row>
        <row r="1036">
          <cell r="C1036" t="str">
            <v>SMTLOCO1a Qualidade</v>
          </cell>
          <cell r="AC1036">
            <v>534.29999999999995</v>
          </cell>
          <cell r="AE1036">
            <v>3953.82</v>
          </cell>
        </row>
        <row r="1037">
          <cell r="C1037" t="str">
            <v>SMTSANTANA1a Qualidade</v>
          </cell>
          <cell r="AC1037">
            <v>209</v>
          </cell>
          <cell r="AE1037">
            <v>1201.75</v>
          </cell>
        </row>
        <row r="1038">
          <cell r="C1038" t="str">
            <v>SMTLOCO1a Qualidade</v>
          </cell>
          <cell r="AC1038">
            <v>1538.2</v>
          </cell>
          <cell r="AE1038">
            <v>12459.42</v>
          </cell>
        </row>
        <row r="1039">
          <cell r="C1039" t="str">
            <v>SMTSANTANA1a Qualidade</v>
          </cell>
          <cell r="AC1039">
            <v>1073</v>
          </cell>
          <cell r="AE1039">
            <v>6427.27</v>
          </cell>
        </row>
        <row r="1040">
          <cell r="C1040" t="str">
            <v>SMTLOCO1a Qualidade</v>
          </cell>
          <cell r="AC1040">
            <v>295</v>
          </cell>
          <cell r="AE1040">
            <v>1622.5</v>
          </cell>
        </row>
        <row r="1041">
          <cell r="C1041" t="str">
            <v>SMTSANTANA1a Qualidade</v>
          </cell>
          <cell r="AC1041">
            <v>610.5</v>
          </cell>
          <cell r="AE1041">
            <v>3357.75</v>
          </cell>
        </row>
        <row r="1042">
          <cell r="C1042" t="str">
            <v>SMTLOCO1a Qualidade</v>
          </cell>
          <cell r="AC1042">
            <v>224.8</v>
          </cell>
          <cell r="AE1042">
            <v>1236.4000000000001</v>
          </cell>
        </row>
        <row r="1043">
          <cell r="C1043" t="str">
            <v>SMTSANTANA1a Qualidade</v>
          </cell>
          <cell r="AC1043">
            <v>304</v>
          </cell>
          <cell r="AE1043">
            <v>1672</v>
          </cell>
        </row>
        <row r="1044">
          <cell r="C1044" t="str">
            <v>SMTSANTANA1a Qualidade</v>
          </cell>
          <cell r="AC1044">
            <v>218.9</v>
          </cell>
          <cell r="AE1044">
            <v>1203.95</v>
          </cell>
        </row>
        <row r="1045">
          <cell r="C1045" t="str">
            <v>SMTLOCO1a Qualidade</v>
          </cell>
          <cell r="AC1045">
            <v>514.4</v>
          </cell>
          <cell r="AE1045">
            <v>2829.2</v>
          </cell>
        </row>
        <row r="1046">
          <cell r="C1046" t="str">
            <v>SMTLOCO1a Qualidade</v>
          </cell>
          <cell r="AC1046">
            <v>284.8</v>
          </cell>
          <cell r="AE1046">
            <v>1566.4</v>
          </cell>
        </row>
        <row r="1047">
          <cell r="C1047" t="str">
            <v>SMTLOCO1a Qualidade</v>
          </cell>
          <cell r="AC1047">
            <v>174.9</v>
          </cell>
          <cell r="AE1047">
            <v>961.95</v>
          </cell>
        </row>
        <row r="1048">
          <cell r="C1048" t="str">
            <v>SMTSANTANA1a Qualidade</v>
          </cell>
          <cell r="AC1048">
            <v>869</v>
          </cell>
          <cell r="AE1048">
            <v>4779.5</v>
          </cell>
        </row>
        <row r="1049">
          <cell r="C1049" t="str">
            <v>SMTLOCO1a Qualidade</v>
          </cell>
          <cell r="AC1049">
            <v>285</v>
          </cell>
          <cell r="AE1049">
            <v>1567.5</v>
          </cell>
        </row>
        <row r="1050">
          <cell r="C1050" t="str">
            <v>SMTSANTANADirecionado</v>
          </cell>
          <cell r="AC1050">
            <v>1313</v>
          </cell>
          <cell r="AE1050">
            <v>6827.6</v>
          </cell>
        </row>
        <row r="1051">
          <cell r="C1051" t="str">
            <v>SMTSANTANA1a Qualidade</v>
          </cell>
          <cell r="AC1051">
            <v>999</v>
          </cell>
          <cell r="AE1051">
            <v>6493.5</v>
          </cell>
        </row>
        <row r="1052">
          <cell r="C1052" t="str">
            <v>SMTSANTANA1a Qualidade</v>
          </cell>
          <cell r="AC1052">
            <v>1509.7</v>
          </cell>
          <cell r="AE1052">
            <v>10567.9</v>
          </cell>
        </row>
        <row r="1053">
          <cell r="C1053" t="str">
            <v>SMTLOCO1a Qualidade</v>
          </cell>
          <cell r="AC1053">
            <v>65.900000000000006</v>
          </cell>
          <cell r="AE1053">
            <v>395.4</v>
          </cell>
        </row>
        <row r="1054">
          <cell r="C1054" t="str">
            <v>SMTLOCO1a Qualidade</v>
          </cell>
          <cell r="AC1054">
            <v>133.9</v>
          </cell>
          <cell r="AE1054">
            <v>803.4</v>
          </cell>
        </row>
        <row r="1055">
          <cell r="C1055" t="str">
            <v>SMTSANTANA1a Qualidade</v>
          </cell>
          <cell r="AC1055">
            <v>1425.8</v>
          </cell>
          <cell r="AE1055">
            <v>8554.7999999999993</v>
          </cell>
        </row>
        <row r="1056">
          <cell r="C1056" t="str">
            <v>SMTRETALHORetalho</v>
          </cell>
          <cell r="AC1056">
            <v>5121.5411558669011</v>
          </cell>
          <cell r="AE1056">
            <v>10235.4</v>
          </cell>
        </row>
        <row r="1057">
          <cell r="C1057" t="str">
            <v>SMTLOCO1a Qualidade</v>
          </cell>
          <cell r="AC1057">
            <v>480</v>
          </cell>
          <cell r="AE1057">
            <v>4032</v>
          </cell>
        </row>
        <row r="1058">
          <cell r="C1058" t="str">
            <v>SMTLOCO1a Qualidade</v>
          </cell>
          <cell r="AC1058">
            <v>3036.1</v>
          </cell>
          <cell r="AE1058">
            <v>22770.75</v>
          </cell>
        </row>
        <row r="1059">
          <cell r="C1059" t="str">
            <v>SMTSANTANA1a Qualidade</v>
          </cell>
          <cell r="AC1059">
            <v>322</v>
          </cell>
          <cell r="AE1059">
            <v>2093</v>
          </cell>
        </row>
        <row r="1060">
          <cell r="C1060" t="str">
            <v>SMTBEM1a Qualidade</v>
          </cell>
          <cell r="AC1060">
            <v>432.2</v>
          </cell>
          <cell r="AE1060">
            <v>3544.04</v>
          </cell>
        </row>
        <row r="1061">
          <cell r="C1061" t="str">
            <v>SMTSANTANA1a Qualidade</v>
          </cell>
          <cell r="AC1061">
            <v>2043</v>
          </cell>
          <cell r="AE1061">
            <v>12258</v>
          </cell>
        </row>
        <row r="1062">
          <cell r="C1062" t="str">
            <v>SMTLOCO1a Qualidade</v>
          </cell>
          <cell r="AC1062">
            <v>15122.8</v>
          </cell>
          <cell r="AE1062">
            <v>104196.09199999999</v>
          </cell>
        </row>
        <row r="1063">
          <cell r="C1063" t="str">
            <v>SMTLOCO1a Qualidade</v>
          </cell>
          <cell r="AC1063">
            <v>1808</v>
          </cell>
          <cell r="AE1063">
            <v>13324.96</v>
          </cell>
        </row>
        <row r="1064">
          <cell r="C1064" t="str">
            <v>SMTSANTANA1a Qualidade</v>
          </cell>
          <cell r="AC1064">
            <v>1042.5</v>
          </cell>
          <cell r="AE1064">
            <v>5733.75</v>
          </cell>
        </row>
        <row r="1065">
          <cell r="C1065" t="str">
            <v>SMTSANTANA1a Qualidade</v>
          </cell>
          <cell r="AC1065">
            <v>1082</v>
          </cell>
          <cell r="AE1065">
            <v>7357.6</v>
          </cell>
        </row>
        <row r="1066">
          <cell r="C1066" t="str">
            <v>SMTSANTANA1a Qualidade</v>
          </cell>
          <cell r="AC1066">
            <v>480</v>
          </cell>
          <cell r="AE1066">
            <v>3196.8</v>
          </cell>
        </row>
        <row r="1067">
          <cell r="C1067" t="str">
            <v>SMTLOCO1a Qualidade</v>
          </cell>
          <cell r="AC1067">
            <v>2634.2</v>
          </cell>
          <cell r="AE1067">
            <v>19229.66</v>
          </cell>
        </row>
        <row r="1068">
          <cell r="C1068" t="str">
            <v>SMTSANTANA1a Qualidade</v>
          </cell>
          <cell r="AC1068">
            <v>460.8</v>
          </cell>
          <cell r="AE1068">
            <v>3216.3840000000005</v>
          </cell>
        </row>
        <row r="1069">
          <cell r="C1069" t="str">
            <v>SMTLOCO1a Qualidade</v>
          </cell>
          <cell r="AC1069">
            <v>146</v>
          </cell>
          <cell r="AE1069">
            <v>1201.58</v>
          </cell>
        </row>
        <row r="1070">
          <cell r="C1070" t="str">
            <v>SMTSANTANA1a Qualidade</v>
          </cell>
          <cell r="AC1070">
            <v>1004</v>
          </cell>
          <cell r="AE1070">
            <v>6074.2</v>
          </cell>
        </row>
        <row r="1071">
          <cell r="C1071" t="str">
            <v>SMTSANTANA1a Qualidade</v>
          </cell>
          <cell r="AC1071">
            <v>492.8</v>
          </cell>
          <cell r="AE1071">
            <v>3060.288</v>
          </cell>
        </row>
        <row r="1072">
          <cell r="C1072" t="str">
            <v>SMTLOCO1a Qualidade</v>
          </cell>
          <cell r="AC1072">
            <v>1008</v>
          </cell>
          <cell r="AE1072">
            <v>8699.0400000000009</v>
          </cell>
        </row>
        <row r="1073">
          <cell r="C1073" t="str">
            <v>SMTSANTANA1a Qualidade</v>
          </cell>
          <cell r="AC1073">
            <v>607</v>
          </cell>
          <cell r="AE1073">
            <v>4006.2</v>
          </cell>
        </row>
        <row r="1074">
          <cell r="C1074" t="str">
            <v>SMTSANTANA1a Qualidade</v>
          </cell>
          <cell r="AC1074">
            <v>107</v>
          </cell>
          <cell r="AE1074">
            <v>735.09</v>
          </cell>
        </row>
        <row r="1075">
          <cell r="C1075" t="str">
            <v>SMTSANTANA1a Qualidade</v>
          </cell>
          <cell r="AC1075">
            <v>821</v>
          </cell>
          <cell r="AE1075">
            <v>5336.5</v>
          </cell>
        </row>
        <row r="1076">
          <cell r="C1076" t="str">
            <v>SMTSANTANA1a Qualidade</v>
          </cell>
          <cell r="AC1076">
            <v>5072</v>
          </cell>
          <cell r="AE1076">
            <v>29164</v>
          </cell>
        </row>
        <row r="1077">
          <cell r="C1077" t="str">
            <v>SMTSANTANA1a Qualidade</v>
          </cell>
          <cell r="AC1077">
            <v>2628</v>
          </cell>
          <cell r="AE1077">
            <v>13140</v>
          </cell>
        </row>
        <row r="1078">
          <cell r="C1078" t="str">
            <v>SMTSANTANA1a Qualidade</v>
          </cell>
          <cell r="AC1078">
            <v>2070.6999999999998</v>
          </cell>
          <cell r="AE1078">
            <v>10353.5</v>
          </cell>
        </row>
        <row r="1079">
          <cell r="C1079" t="str">
            <v>SMTSANTANA1a Qualidade</v>
          </cell>
          <cell r="AC1079">
            <v>1067.4000000000001</v>
          </cell>
          <cell r="AE1079">
            <v>5337</v>
          </cell>
        </row>
        <row r="1080">
          <cell r="C1080" t="str">
            <v>SMTSANTANA1a Qualidade</v>
          </cell>
          <cell r="AC1080">
            <v>1054.5999999999999</v>
          </cell>
          <cell r="AE1080">
            <v>5273</v>
          </cell>
        </row>
        <row r="1081">
          <cell r="C1081" t="str">
            <v>SMTSANTANA1a Qualidade</v>
          </cell>
          <cell r="AC1081">
            <v>2236.9</v>
          </cell>
          <cell r="AE1081">
            <v>11184.5</v>
          </cell>
        </row>
        <row r="1082">
          <cell r="C1082" t="str">
            <v>SMTSANTANA1a Qualidade</v>
          </cell>
          <cell r="AC1082">
            <v>874.1</v>
          </cell>
          <cell r="AE1082">
            <v>4370.5</v>
          </cell>
        </row>
        <row r="1083">
          <cell r="C1083" t="str">
            <v>SMTSANTANA1a Qualidade</v>
          </cell>
          <cell r="AC1083">
            <v>2744.7</v>
          </cell>
          <cell r="AE1083">
            <v>13723.5</v>
          </cell>
        </row>
        <row r="1084">
          <cell r="C1084" t="str">
            <v>SMTSANTANA1a Qualidade</v>
          </cell>
          <cell r="AC1084">
            <v>607</v>
          </cell>
          <cell r="AE1084">
            <v>3035</v>
          </cell>
        </row>
        <row r="1085">
          <cell r="C1085" t="str">
            <v>SMTSANTANA1a Qualidade</v>
          </cell>
          <cell r="AC1085">
            <v>998.2</v>
          </cell>
          <cell r="AE1085">
            <v>4991</v>
          </cell>
        </row>
        <row r="1086">
          <cell r="C1086" t="str">
            <v>SMTSANTANA1a Qualidade</v>
          </cell>
          <cell r="AC1086">
            <v>3102</v>
          </cell>
          <cell r="AE1086">
            <v>19852.8</v>
          </cell>
        </row>
        <row r="1087">
          <cell r="C1087" t="str">
            <v>SMTSANTANA1a Qualidade</v>
          </cell>
          <cell r="AC1087">
            <v>3092.5</v>
          </cell>
          <cell r="AE1087">
            <v>19792</v>
          </cell>
        </row>
        <row r="1088">
          <cell r="C1088" t="str">
            <v>SMTSANTANA1a Qualidade</v>
          </cell>
          <cell r="AC1088">
            <v>957.2</v>
          </cell>
          <cell r="AE1088">
            <v>5456.04</v>
          </cell>
        </row>
        <row r="1089">
          <cell r="C1089" t="str">
            <v>SMTSANTANA1a Qualidade</v>
          </cell>
          <cell r="AC1089">
            <v>1014.5</v>
          </cell>
          <cell r="AE1089">
            <v>5782.65</v>
          </cell>
        </row>
        <row r="1090">
          <cell r="C1090" t="str">
            <v>SMTLOCO1a Qualidade</v>
          </cell>
          <cell r="AC1090">
            <v>12117.7</v>
          </cell>
          <cell r="AE1090">
            <v>83975.661000000007</v>
          </cell>
        </row>
        <row r="1091">
          <cell r="C1091" t="str">
            <v>SMTLOCO1a Qualidade</v>
          </cell>
          <cell r="AC1091">
            <v>7929.9</v>
          </cell>
          <cell r="AE1091">
            <v>61060.23</v>
          </cell>
        </row>
        <row r="1092">
          <cell r="C1092" t="str">
            <v>SMTSANTANA1a Qualidade</v>
          </cell>
          <cell r="AC1092">
            <v>93</v>
          </cell>
          <cell r="AE1092">
            <v>576.6</v>
          </cell>
        </row>
        <row r="1093">
          <cell r="C1093" t="str">
            <v>SMTSANTANA1a Qualidade</v>
          </cell>
          <cell r="AC1093">
            <v>6081.7</v>
          </cell>
          <cell r="AE1093">
            <v>38922.879999999997</v>
          </cell>
        </row>
        <row r="1094">
          <cell r="C1094" t="str">
            <v>SMTSANTANA1a Qualidade</v>
          </cell>
          <cell r="AC1094">
            <v>100</v>
          </cell>
          <cell r="AE1094">
            <v>700</v>
          </cell>
        </row>
        <row r="1095">
          <cell r="C1095" t="str">
            <v>SMTSANTANA1a Qualidade</v>
          </cell>
          <cell r="AC1095">
            <v>548.4</v>
          </cell>
          <cell r="AE1095">
            <v>3367.1759999999995</v>
          </cell>
        </row>
        <row r="1096">
          <cell r="C1096" t="str">
            <v>SMTLOCO1a Qualidade</v>
          </cell>
          <cell r="AC1096">
            <v>520.20000000000005</v>
          </cell>
          <cell r="AE1096">
            <v>4244.8320000000003</v>
          </cell>
        </row>
        <row r="1097">
          <cell r="C1097" t="str">
            <v>SMTLOCO1a Qualidade</v>
          </cell>
          <cell r="AC1097">
            <v>506.3</v>
          </cell>
          <cell r="AE1097">
            <v>3351.7060000000001</v>
          </cell>
        </row>
        <row r="1098">
          <cell r="C1098" t="str">
            <v>SMTLOCO1a Qualidade</v>
          </cell>
          <cell r="AC1098">
            <v>110</v>
          </cell>
          <cell r="AE1098">
            <v>759</v>
          </cell>
        </row>
        <row r="1099">
          <cell r="C1099" t="str">
            <v>SMTSANTANA1a Qualidade</v>
          </cell>
          <cell r="AC1099">
            <v>1992.1</v>
          </cell>
          <cell r="AE1099">
            <v>12749.44</v>
          </cell>
        </row>
        <row r="1100">
          <cell r="C1100" t="str">
            <v>SMTLOCO1a Qualidade</v>
          </cell>
          <cell r="AC1100">
            <v>257.39999999999998</v>
          </cell>
          <cell r="AE1100">
            <v>1698.84</v>
          </cell>
        </row>
        <row r="1101">
          <cell r="C1101" t="str">
            <v>SMTSANTANA1a Qualidade</v>
          </cell>
          <cell r="AC1101">
            <v>5065.7</v>
          </cell>
          <cell r="AE1101">
            <v>28874.49</v>
          </cell>
        </row>
        <row r="1102">
          <cell r="C1102" t="str">
            <v>SMTOE - 100% Algodão1a Qualidade</v>
          </cell>
          <cell r="AC1102">
            <v>7012.46</v>
          </cell>
          <cell r="AE1102">
            <v>44178.498</v>
          </cell>
        </row>
        <row r="1103">
          <cell r="C1103" t="str">
            <v>SMTLOCO1a Qualidade</v>
          </cell>
          <cell r="AC1103">
            <v>1753</v>
          </cell>
          <cell r="AE1103">
            <v>11394.5</v>
          </cell>
        </row>
        <row r="1104">
          <cell r="C1104" t="str">
            <v>SMTOE - 100% Algodão1a Qualidade</v>
          </cell>
          <cell r="AC1104">
            <v>22529.65</v>
          </cell>
          <cell r="AE1104">
            <v>158834.0325</v>
          </cell>
        </row>
        <row r="1105">
          <cell r="C1105" t="str">
            <v>SMTOE - 100% Algodão1a Qualidade</v>
          </cell>
          <cell r="AC1105">
            <v>22514.95</v>
          </cell>
          <cell r="AE1105">
            <v>158730.39749999999</v>
          </cell>
        </row>
        <row r="1106">
          <cell r="C1106" t="str">
            <v>SMTLOCO1a Qualidade</v>
          </cell>
          <cell r="AC1106">
            <v>2126.5</v>
          </cell>
          <cell r="AE1106">
            <v>16799.349999999999</v>
          </cell>
        </row>
        <row r="1107">
          <cell r="C1107" t="str">
            <v>SMTLOCO1a Qualidade</v>
          </cell>
          <cell r="AC1107">
            <v>139.69999999999999</v>
          </cell>
          <cell r="AE1107">
            <v>1095.2479999999998</v>
          </cell>
        </row>
        <row r="1108">
          <cell r="C1108" t="str">
            <v>SMTLOCO1a Qualidade</v>
          </cell>
          <cell r="AC1108">
            <v>117</v>
          </cell>
          <cell r="AE1108">
            <v>800.28</v>
          </cell>
        </row>
        <row r="1109">
          <cell r="C1109" t="str">
            <v>SMTLOCO1a Qualidade</v>
          </cell>
          <cell r="AC1109">
            <v>140.5</v>
          </cell>
          <cell r="AE1109">
            <v>961.02</v>
          </cell>
        </row>
        <row r="1110">
          <cell r="C1110" t="str">
            <v>SMTLOCO1a Qualidade</v>
          </cell>
          <cell r="AC1110">
            <v>140</v>
          </cell>
          <cell r="AE1110">
            <v>957.6</v>
          </cell>
        </row>
        <row r="1111">
          <cell r="C1111" t="str">
            <v>SMTLOCO1a Qualidade</v>
          </cell>
          <cell r="AC1111">
            <v>130</v>
          </cell>
          <cell r="AE1111">
            <v>1047.8</v>
          </cell>
        </row>
        <row r="1112">
          <cell r="C1112" t="str">
            <v>SMTLOCO1a Qualidade</v>
          </cell>
          <cell r="AC1112">
            <v>682.8</v>
          </cell>
          <cell r="AE1112">
            <v>5332.6679999999997</v>
          </cell>
        </row>
        <row r="1113">
          <cell r="C1113" t="str">
            <v>SMTSANTANA1a Qualidade</v>
          </cell>
          <cell r="AC1113">
            <v>2002.9</v>
          </cell>
          <cell r="AE1113">
            <v>12317.835000000001</v>
          </cell>
        </row>
        <row r="1114">
          <cell r="C1114" t="str">
            <v>SMTSANTANA1a Qualidade</v>
          </cell>
          <cell r="AC1114">
            <v>560</v>
          </cell>
          <cell r="AE1114">
            <v>3393.6</v>
          </cell>
        </row>
        <row r="1115">
          <cell r="C1115" t="str">
            <v>SMTSANTANA1a Qualidade</v>
          </cell>
          <cell r="AC1115">
            <v>560</v>
          </cell>
          <cell r="AE1115">
            <v>3292.8</v>
          </cell>
        </row>
        <row r="1116">
          <cell r="C1116" t="str">
            <v>SMTSANTANA1a Qualidade</v>
          </cell>
          <cell r="AC1116">
            <v>470.3</v>
          </cell>
          <cell r="AE1116">
            <v>2939.375</v>
          </cell>
        </row>
        <row r="1117">
          <cell r="C1117" t="str">
            <v>SMTSANTANA1a Qualidade</v>
          </cell>
          <cell r="AC1117">
            <v>487</v>
          </cell>
          <cell r="AE1117">
            <v>3175.24</v>
          </cell>
        </row>
        <row r="1118">
          <cell r="C1118" t="str">
            <v>SMTLOCO1a Qualidade</v>
          </cell>
          <cell r="AC1118">
            <v>520</v>
          </cell>
          <cell r="AE1118">
            <v>3692</v>
          </cell>
        </row>
        <row r="1119">
          <cell r="C1119" t="str">
            <v>SMTLOCO1a Qualidade</v>
          </cell>
          <cell r="AC1119">
            <v>495.2</v>
          </cell>
          <cell r="AE1119">
            <v>2936.5359999999996</v>
          </cell>
        </row>
        <row r="1120">
          <cell r="C1120" t="str">
            <v>SMTLOCO1a Qualidade</v>
          </cell>
          <cell r="AC1120">
            <v>2560.5</v>
          </cell>
          <cell r="AE1120">
            <v>21764.25</v>
          </cell>
        </row>
        <row r="1121">
          <cell r="C1121" t="str">
            <v>SMTSANTANA1a Qualidade</v>
          </cell>
          <cell r="AC1121">
            <v>219</v>
          </cell>
          <cell r="AE1121">
            <v>1445.4</v>
          </cell>
        </row>
        <row r="1122">
          <cell r="C1122" t="str">
            <v>SMTLOCO1a Qualidade</v>
          </cell>
          <cell r="AC1122">
            <v>124</v>
          </cell>
          <cell r="AE1122">
            <v>979.6</v>
          </cell>
        </row>
        <row r="1123">
          <cell r="C1123" t="str">
            <v>SMTLOCO1a Qualidade</v>
          </cell>
          <cell r="AC1123">
            <v>122</v>
          </cell>
          <cell r="AE1123">
            <v>864.98</v>
          </cell>
        </row>
        <row r="1124">
          <cell r="C1124" t="str">
            <v>SMTLOCO1a Qualidade</v>
          </cell>
          <cell r="AC1124">
            <v>128</v>
          </cell>
          <cell r="AE1124">
            <v>1203.2</v>
          </cell>
        </row>
        <row r="1125">
          <cell r="C1125" t="str">
            <v>SMTLOCO1a Qualidade</v>
          </cell>
          <cell r="AC1125">
            <v>321.3</v>
          </cell>
          <cell r="AE1125">
            <v>2242.6740000000004</v>
          </cell>
        </row>
        <row r="1126">
          <cell r="C1126" t="str">
            <v>SMTLOCO1a Qualidade</v>
          </cell>
          <cell r="AC1126">
            <v>321</v>
          </cell>
          <cell r="AE1126">
            <v>2240.58</v>
          </cell>
        </row>
        <row r="1127">
          <cell r="C1127" t="str">
            <v>SMTLOCO1a Qualidade</v>
          </cell>
          <cell r="AC1127">
            <v>200.7</v>
          </cell>
          <cell r="AE1127">
            <v>1585.53</v>
          </cell>
        </row>
        <row r="1128">
          <cell r="C1128" t="str">
            <v>SMTLOCO1a Qualidade</v>
          </cell>
          <cell r="AC1128">
            <v>225.9</v>
          </cell>
          <cell r="AE1128">
            <v>2094.0929999999998</v>
          </cell>
        </row>
        <row r="1129">
          <cell r="C1129" t="str">
            <v>SMTLOCO1a Qualidade</v>
          </cell>
          <cell r="AC1129">
            <v>194</v>
          </cell>
          <cell r="AE1129">
            <v>1798.38</v>
          </cell>
        </row>
        <row r="1130">
          <cell r="C1130" t="str">
            <v>SMTLOCO1a Qualidade</v>
          </cell>
          <cell r="AC1130">
            <v>327.60000000000002</v>
          </cell>
          <cell r="AE1130">
            <v>2696.1480000000001</v>
          </cell>
        </row>
        <row r="1131">
          <cell r="C1131" t="str">
            <v>SMTLOCO1a Qualidade</v>
          </cell>
          <cell r="AC1131">
            <v>300</v>
          </cell>
          <cell r="AE1131">
            <v>2100</v>
          </cell>
        </row>
        <row r="1132">
          <cell r="C1132" t="str">
            <v>SMTBEM1a Qualidade</v>
          </cell>
          <cell r="AC1132">
            <v>21.5</v>
          </cell>
          <cell r="AE1132">
            <v>191.35</v>
          </cell>
        </row>
        <row r="1133">
          <cell r="C1133" t="str">
            <v>SMTLOCO1a Qualidade</v>
          </cell>
          <cell r="AC1133">
            <v>29.7</v>
          </cell>
          <cell r="AE1133">
            <v>204.93</v>
          </cell>
        </row>
        <row r="1134">
          <cell r="C1134" t="str">
            <v>SMTLOCO1a Qualidade</v>
          </cell>
          <cell r="AC1134">
            <v>1409.7</v>
          </cell>
          <cell r="AE1134">
            <v>10854.69</v>
          </cell>
        </row>
        <row r="1135">
          <cell r="C1135" t="str">
            <v>SMTLOCO1a Qualidade</v>
          </cell>
          <cell r="AC1135">
            <v>106.3</v>
          </cell>
          <cell r="AE1135">
            <v>839.77</v>
          </cell>
        </row>
        <row r="1136">
          <cell r="C1136" t="str">
            <v>SMTSANTANA1a Qualidade</v>
          </cell>
          <cell r="AC1136">
            <v>111.2</v>
          </cell>
          <cell r="AE1136">
            <v>678.32</v>
          </cell>
        </row>
        <row r="1137">
          <cell r="C1137" t="str">
            <v>SMTLOCO1a Qualidade</v>
          </cell>
          <cell r="AC1137">
            <v>114</v>
          </cell>
          <cell r="AE1137">
            <v>900.6</v>
          </cell>
        </row>
        <row r="1138">
          <cell r="C1138" t="str">
            <v>SMTSANTANA1a Qualidade</v>
          </cell>
          <cell r="AC1138">
            <v>1050</v>
          </cell>
          <cell r="AE1138">
            <v>6720</v>
          </cell>
        </row>
        <row r="1139">
          <cell r="C1139" t="str">
            <v>SMTSANTANA1a Qualidade</v>
          </cell>
          <cell r="AC1139">
            <v>529</v>
          </cell>
          <cell r="AE1139">
            <v>3184.58</v>
          </cell>
        </row>
        <row r="1140">
          <cell r="C1140" t="str">
            <v>SMTSANTANA1a Qualidade</v>
          </cell>
          <cell r="AC1140">
            <v>525</v>
          </cell>
          <cell r="AE1140">
            <v>3097.5</v>
          </cell>
        </row>
        <row r="1141">
          <cell r="C1141" t="str">
            <v>SMTOE - 100% Algodão1a Qualidade</v>
          </cell>
          <cell r="AC1141">
            <v>9035.24</v>
          </cell>
          <cell r="AE1141">
            <v>67673.9476</v>
          </cell>
        </row>
        <row r="1142">
          <cell r="C1142" t="str">
            <v>SMTOE - 100% Algodão1a Qualidade</v>
          </cell>
          <cell r="AC1142">
            <v>8515.25</v>
          </cell>
          <cell r="AE1142">
            <v>63779.222500000003</v>
          </cell>
        </row>
        <row r="1143">
          <cell r="C1143" t="str">
            <v>SMTOE - 100% Algodão1a Qualidade</v>
          </cell>
          <cell r="AC1143">
            <v>3477</v>
          </cell>
          <cell r="AE1143">
            <v>26042.73</v>
          </cell>
        </row>
        <row r="1144">
          <cell r="C1144" t="str">
            <v>SMTLOCO1a Qualidade</v>
          </cell>
          <cell r="AC1144">
            <v>51.3</v>
          </cell>
          <cell r="AE1144">
            <v>338.58</v>
          </cell>
        </row>
        <row r="1145">
          <cell r="C1145" t="str">
            <v>SMTSANTANA1a Qualidade</v>
          </cell>
          <cell r="AC1145">
            <v>53</v>
          </cell>
          <cell r="AE1145">
            <v>339.2</v>
          </cell>
        </row>
        <row r="1146">
          <cell r="C1146" t="str">
            <v>SMTSANTANA1a Qualidade</v>
          </cell>
          <cell r="AC1146">
            <v>134.1</v>
          </cell>
          <cell r="AE1146">
            <v>878.35500000000002</v>
          </cell>
        </row>
        <row r="1147">
          <cell r="C1147" t="str">
            <v>SMTSANTANA1a Qualidade</v>
          </cell>
          <cell r="AC1147">
            <v>0</v>
          </cell>
          <cell r="AE1147">
            <v>0</v>
          </cell>
        </row>
        <row r="1148">
          <cell r="C1148" t="str">
            <v>SMTSANTANA1a Qualidade</v>
          </cell>
          <cell r="AC1148">
            <v>0</v>
          </cell>
          <cell r="AE1148">
            <v>0</v>
          </cell>
        </row>
        <row r="1149">
          <cell r="C1149" t="str">
            <v>SMTSANTANA1a Qualidade</v>
          </cell>
          <cell r="AC1149">
            <v>0</v>
          </cell>
          <cell r="AE1149">
            <v>0</v>
          </cell>
        </row>
        <row r="1150">
          <cell r="C1150" t="str">
            <v>SMTSANTANA1a Qualidade</v>
          </cell>
          <cell r="AC1150">
            <v>115.1</v>
          </cell>
          <cell r="AE1150">
            <v>736.64</v>
          </cell>
        </row>
        <row r="1151">
          <cell r="C1151" t="str">
            <v>SMTOE - 100% Algodão1a Qualidade</v>
          </cell>
          <cell r="AC1151">
            <v>2514.6999999999998</v>
          </cell>
          <cell r="AE1151">
            <v>18483.044999999998</v>
          </cell>
        </row>
        <row r="1152">
          <cell r="C1152" t="str">
            <v>SMTOE - 100% Algodão1a Qualidade</v>
          </cell>
          <cell r="AC1152">
            <v>2501.3000000000002</v>
          </cell>
          <cell r="AE1152">
            <v>18384.555</v>
          </cell>
        </row>
        <row r="1153">
          <cell r="C1153" t="str">
            <v>SMTOE - 100% Algodão1a Qualidade</v>
          </cell>
          <cell r="AC1153">
            <v>21008.36</v>
          </cell>
          <cell r="AE1153">
            <v>150209.774</v>
          </cell>
        </row>
        <row r="1154">
          <cell r="C1154" t="str">
            <v>SMTOE - 100% Algodão1a Qualidade</v>
          </cell>
          <cell r="AC1154">
            <v>1507.8</v>
          </cell>
          <cell r="AE1154">
            <v>10780.77</v>
          </cell>
        </row>
        <row r="1155">
          <cell r="C1155" t="str">
            <v>SMTOE - 100% Algodão1a Qualidade</v>
          </cell>
          <cell r="AC1155">
            <v>1010.7</v>
          </cell>
          <cell r="AE1155">
            <v>7671.2130000000006</v>
          </cell>
        </row>
        <row r="1156">
          <cell r="C1156" t="str">
            <v>SMTOE - 100% Algodão1a Qualidade</v>
          </cell>
          <cell r="AC1156">
            <v>1510.2</v>
          </cell>
          <cell r="AE1156">
            <v>11311.398000000001</v>
          </cell>
        </row>
        <row r="1157">
          <cell r="C1157" t="str">
            <v>SMTSANTANA1a Qualidade</v>
          </cell>
          <cell r="AC1157">
            <v>2076</v>
          </cell>
          <cell r="AE1157">
            <v>12248.4</v>
          </cell>
        </row>
        <row r="1158">
          <cell r="C1158" t="str">
            <v>SMTSANTANA1a Qualidade</v>
          </cell>
          <cell r="AC1158">
            <v>365.5</v>
          </cell>
          <cell r="AE1158">
            <v>2266.1</v>
          </cell>
        </row>
        <row r="1159">
          <cell r="C1159" t="str">
            <v>SMTSANTANA1a Qualidade</v>
          </cell>
          <cell r="AC1159">
            <v>1015.5</v>
          </cell>
          <cell r="AE1159">
            <v>6600.75</v>
          </cell>
        </row>
        <row r="1160">
          <cell r="C1160" t="str">
            <v>SMTSANTANA1a Qualidade</v>
          </cell>
          <cell r="AC1160">
            <v>500</v>
          </cell>
          <cell r="AE1160">
            <v>3300</v>
          </cell>
        </row>
        <row r="1161">
          <cell r="C1161" t="str">
            <v>SMTSANTANA1a Qualidade</v>
          </cell>
          <cell r="AC1161">
            <v>1081</v>
          </cell>
          <cell r="AE1161">
            <v>7653.48</v>
          </cell>
        </row>
        <row r="1162">
          <cell r="C1162" t="str">
            <v>SMTSANTANA1a Qualidade</v>
          </cell>
          <cell r="AC1162">
            <v>307</v>
          </cell>
          <cell r="AE1162">
            <v>2099.88</v>
          </cell>
        </row>
        <row r="1163">
          <cell r="C1163" t="str">
            <v>SMTSANTANA1a Qualidade</v>
          </cell>
          <cell r="AC1163">
            <v>0</v>
          </cell>
          <cell r="AE1163">
            <v>0</v>
          </cell>
        </row>
        <row r="1164">
          <cell r="C1164" t="str">
            <v>SMTSANTANA1a Qualidade</v>
          </cell>
          <cell r="AC1164">
            <v>210</v>
          </cell>
          <cell r="AE1164">
            <v>1407</v>
          </cell>
        </row>
        <row r="1165">
          <cell r="C1165" t="str">
            <v>SMTSANTANA1a Qualidade</v>
          </cell>
          <cell r="AC1165">
            <v>538</v>
          </cell>
          <cell r="AE1165">
            <v>3583.08</v>
          </cell>
        </row>
        <row r="1166">
          <cell r="C1166" t="str">
            <v>SMTSANTANA1a Qualidade</v>
          </cell>
          <cell r="AC1166">
            <v>1041</v>
          </cell>
          <cell r="AE1166">
            <v>6246</v>
          </cell>
        </row>
        <row r="1167">
          <cell r="C1167" t="str">
            <v>SMTLOCO1a Qualidade</v>
          </cell>
          <cell r="AC1167">
            <v>110</v>
          </cell>
          <cell r="AE1167">
            <v>1019.7</v>
          </cell>
        </row>
        <row r="1168">
          <cell r="C1168" t="str">
            <v>SMTLOCO1a Qualidade</v>
          </cell>
          <cell r="AC1168">
            <v>105.5</v>
          </cell>
          <cell r="AE1168">
            <v>933.67499999999995</v>
          </cell>
        </row>
        <row r="1169">
          <cell r="C1169" t="str">
            <v>SMTLOCO1a Qualidade</v>
          </cell>
          <cell r="AC1169">
            <v>105</v>
          </cell>
          <cell r="AE1169">
            <v>973.35</v>
          </cell>
        </row>
        <row r="1170">
          <cell r="C1170" t="str">
            <v>SMTLOCO1a Qualidade</v>
          </cell>
          <cell r="AC1170">
            <v>116.3</v>
          </cell>
          <cell r="AE1170">
            <v>993.20199999999988</v>
          </cell>
        </row>
        <row r="1171">
          <cell r="C1171" t="str">
            <v>SMTLOCO1a Qualidade</v>
          </cell>
          <cell r="AC1171">
            <v>108.9</v>
          </cell>
          <cell r="AE1171">
            <v>1009.503</v>
          </cell>
        </row>
        <row r="1172">
          <cell r="C1172" t="str">
            <v>SMTLOCO1a Qualidade</v>
          </cell>
          <cell r="AC1172">
            <v>94</v>
          </cell>
          <cell r="AE1172">
            <v>831.9</v>
          </cell>
        </row>
        <row r="1173">
          <cell r="C1173" t="str">
            <v>SMTLOCO1a Qualidade</v>
          </cell>
          <cell r="AC1173">
            <v>109.6</v>
          </cell>
          <cell r="AE1173">
            <v>786.92799999999988</v>
          </cell>
        </row>
        <row r="1174">
          <cell r="C1174" t="str">
            <v>SMTLOCO1a Qualidade</v>
          </cell>
          <cell r="AC1174">
            <v>970</v>
          </cell>
          <cell r="AE1174">
            <v>7983.1</v>
          </cell>
        </row>
        <row r="1175">
          <cell r="C1175" t="str">
            <v>SMTSANTANA1a Qualidade</v>
          </cell>
          <cell r="AC1175">
            <v>4751.1000000000004</v>
          </cell>
          <cell r="AE1175">
            <v>31262.238000000001</v>
          </cell>
        </row>
        <row r="1176">
          <cell r="C1176" t="str">
            <v>SMTSANTANA1a Qualidade</v>
          </cell>
          <cell r="AC1176">
            <v>19310.3</v>
          </cell>
          <cell r="AE1176">
            <v>122427.302</v>
          </cell>
        </row>
        <row r="1177">
          <cell r="C1177" t="str">
            <v>SMTSANTANA1a Qualidade</v>
          </cell>
          <cell r="AC1177">
            <v>1520</v>
          </cell>
          <cell r="AE1177">
            <v>9576</v>
          </cell>
        </row>
        <row r="1178">
          <cell r="C1178" t="str">
            <v>SMTSANTANA1a Qualidade</v>
          </cell>
          <cell r="AC1178">
            <v>851</v>
          </cell>
          <cell r="AE1178">
            <v>5361.3</v>
          </cell>
        </row>
        <row r="1179">
          <cell r="C1179" t="str">
            <v>SMTSANTANA1a Qualidade</v>
          </cell>
          <cell r="AC1179">
            <v>1977.1</v>
          </cell>
          <cell r="AE1179">
            <v>12159.165000000001</v>
          </cell>
        </row>
        <row r="1180">
          <cell r="C1180" t="str">
            <v>SMTLOCO1a Qualidade</v>
          </cell>
          <cell r="AC1180">
            <v>107.7</v>
          </cell>
          <cell r="AE1180">
            <v>922.98900000000003</v>
          </cell>
        </row>
        <row r="1181">
          <cell r="C1181" t="str">
            <v>SMTLOCO1a Qualidade</v>
          </cell>
          <cell r="AC1181">
            <v>101</v>
          </cell>
          <cell r="AE1181">
            <v>917.08</v>
          </cell>
        </row>
        <row r="1182">
          <cell r="C1182" t="str">
            <v>SMTLOCO1a Qualidade</v>
          </cell>
          <cell r="AC1182">
            <v>116.5</v>
          </cell>
          <cell r="AE1182">
            <v>1036.8499999999999</v>
          </cell>
        </row>
        <row r="1183">
          <cell r="C1183" t="str">
            <v>SMTLOCO1a Qualidade</v>
          </cell>
          <cell r="AC1183">
            <v>113</v>
          </cell>
          <cell r="AE1183">
            <v>1003.44</v>
          </cell>
        </row>
        <row r="1184">
          <cell r="C1184" t="str">
            <v>SMTSANTANADirecionado</v>
          </cell>
          <cell r="AC1184">
            <v>5114</v>
          </cell>
          <cell r="AE1184">
            <v>26592.799999999999</v>
          </cell>
        </row>
        <row r="1185">
          <cell r="C1185" t="str">
            <v>SMTSANTANA1a Qualidade</v>
          </cell>
          <cell r="AC1185">
            <v>1068</v>
          </cell>
          <cell r="AE1185">
            <v>6942</v>
          </cell>
        </row>
        <row r="1186">
          <cell r="C1186" t="str">
            <v>SMTSANTANA2a Qualidade</v>
          </cell>
          <cell r="AC1186">
            <v>2759.9</v>
          </cell>
          <cell r="AE1186">
            <v>13109.525</v>
          </cell>
        </row>
        <row r="1187">
          <cell r="C1187" t="str">
            <v>SMTSANTANA2a Qualidade</v>
          </cell>
          <cell r="AC1187">
            <v>7305.3</v>
          </cell>
          <cell r="AE1187">
            <v>34700.175000000003</v>
          </cell>
        </row>
        <row r="1188">
          <cell r="C1188" t="str">
            <v>SMTSANTANA1a Qualidade</v>
          </cell>
          <cell r="AC1188">
            <v>1056.2</v>
          </cell>
          <cell r="AE1188">
            <v>6337.2</v>
          </cell>
        </row>
        <row r="1189">
          <cell r="C1189" t="str">
            <v>SMTSANTANA1a Qualidade</v>
          </cell>
          <cell r="AC1189">
            <v>1085</v>
          </cell>
          <cell r="AE1189">
            <v>6618.5</v>
          </cell>
        </row>
        <row r="1190">
          <cell r="C1190" t="str">
            <v>SMTSANTANA1a Qualidade</v>
          </cell>
          <cell r="AC1190">
            <v>651</v>
          </cell>
          <cell r="AE1190">
            <v>4264.05</v>
          </cell>
        </row>
        <row r="1191">
          <cell r="C1191" t="str">
            <v>SMTSANTANA1a Qualidade</v>
          </cell>
          <cell r="AC1191">
            <v>730.8</v>
          </cell>
          <cell r="AE1191">
            <v>4494.42</v>
          </cell>
        </row>
        <row r="1192">
          <cell r="C1192" t="str">
            <v>SMTLOCO1a Qualidade</v>
          </cell>
          <cell r="AC1192">
            <v>5403</v>
          </cell>
          <cell r="AE1192">
            <v>45925.5</v>
          </cell>
        </row>
        <row r="1193">
          <cell r="C1193" t="str">
            <v>SMTLOCO1a Qualidade</v>
          </cell>
          <cell r="AC1193">
            <v>5426.6</v>
          </cell>
          <cell r="AE1193">
            <v>46126.1</v>
          </cell>
        </row>
        <row r="1194">
          <cell r="C1194" t="str">
            <v>SMTSANTANA1a Qualidade</v>
          </cell>
          <cell r="AC1194">
            <v>807.2</v>
          </cell>
          <cell r="AE1194">
            <v>5271.0160000000005</v>
          </cell>
        </row>
        <row r="1195">
          <cell r="C1195" t="str">
            <v>SMTSANTANA1a Qualidade</v>
          </cell>
          <cell r="AC1195">
            <v>516.79999999999995</v>
          </cell>
          <cell r="AE1195">
            <v>3441.8879999999999</v>
          </cell>
        </row>
        <row r="1196">
          <cell r="C1196" t="str">
            <v>SMTLOCO1a Qualidade</v>
          </cell>
          <cell r="AC1196">
            <v>3968.2</v>
          </cell>
          <cell r="AE1196">
            <v>26983.759999999998</v>
          </cell>
        </row>
        <row r="1197">
          <cell r="C1197" t="str">
            <v>SMTLOCO1a Qualidade</v>
          </cell>
          <cell r="AC1197">
            <v>241.5</v>
          </cell>
          <cell r="AE1197">
            <v>1618.05</v>
          </cell>
        </row>
        <row r="1198">
          <cell r="C1198" t="str">
            <v>SMTLOCODirecionado</v>
          </cell>
          <cell r="AC1198">
            <v>0</v>
          </cell>
          <cell r="AE1198">
            <v>0</v>
          </cell>
        </row>
        <row r="1199">
          <cell r="C1199" t="str">
            <v>SMTLOCO1a Qualidade</v>
          </cell>
          <cell r="AC1199">
            <v>1685.5</v>
          </cell>
          <cell r="AE1199">
            <v>14663.85</v>
          </cell>
        </row>
        <row r="1200">
          <cell r="C1200" t="str">
            <v>SMTSANTANA1a Qualidade</v>
          </cell>
          <cell r="AC1200">
            <v>1871.6</v>
          </cell>
          <cell r="AE1200">
            <v>12764.312</v>
          </cell>
        </row>
        <row r="1201">
          <cell r="C1201" t="str">
            <v>SMTSANTANA1a Qualidade</v>
          </cell>
          <cell r="AC1201">
            <v>2066.6999999999998</v>
          </cell>
          <cell r="AE1201">
            <v>11780.19</v>
          </cell>
        </row>
        <row r="1202">
          <cell r="C1202" t="str">
            <v>SMTSANTANA1a Qualidade</v>
          </cell>
          <cell r="AC1202">
            <v>3054</v>
          </cell>
          <cell r="AE1202">
            <v>20156.400000000001</v>
          </cell>
        </row>
        <row r="1203">
          <cell r="C1203" t="str">
            <v>SMTLOCO1a Qualidade</v>
          </cell>
          <cell r="AC1203">
            <v>1081.2</v>
          </cell>
          <cell r="AE1203">
            <v>8217.1200000000008</v>
          </cell>
        </row>
        <row r="1204">
          <cell r="C1204" t="str">
            <v>SMTSANTANA1a Qualidade</v>
          </cell>
          <cell r="AC1204">
            <v>543.70000000000005</v>
          </cell>
          <cell r="AE1204">
            <v>3441.6210000000005</v>
          </cell>
        </row>
        <row r="1205">
          <cell r="C1205" t="str">
            <v>SMTSANTANA1a Qualidade</v>
          </cell>
          <cell r="AC1205">
            <v>299.7</v>
          </cell>
          <cell r="AE1205">
            <v>2151.846</v>
          </cell>
        </row>
        <row r="1206">
          <cell r="C1206" t="str">
            <v>SMTLOCO1a Qualidade</v>
          </cell>
          <cell r="AC1206">
            <v>1037.9000000000001</v>
          </cell>
          <cell r="AE1206">
            <v>7576.67</v>
          </cell>
        </row>
        <row r="1207">
          <cell r="C1207" t="str">
            <v>SMTLOCO1a Qualidade</v>
          </cell>
          <cell r="AC1207">
            <v>105.1</v>
          </cell>
          <cell r="AE1207">
            <v>935.39</v>
          </cell>
        </row>
        <row r="1208">
          <cell r="C1208" t="str">
            <v>SMTSANTANA1a Qualidade</v>
          </cell>
          <cell r="AC1208">
            <v>19999.900000000001</v>
          </cell>
          <cell r="AE1208">
            <v>115999.42</v>
          </cell>
        </row>
        <row r="1209">
          <cell r="C1209" t="str">
            <v>SMTSANTANA1a Qualidade</v>
          </cell>
          <cell r="AC1209">
            <v>20012.5</v>
          </cell>
          <cell r="AE1209">
            <v>116072.5</v>
          </cell>
        </row>
        <row r="1210">
          <cell r="C1210" t="str">
            <v>SMTSANTANA1a Qualidade</v>
          </cell>
          <cell r="AC1210">
            <v>10086.299999999999</v>
          </cell>
          <cell r="AE1210">
            <v>58500.54</v>
          </cell>
        </row>
        <row r="1211">
          <cell r="C1211" t="str">
            <v>SMTSANTANA1a Qualidade</v>
          </cell>
          <cell r="AC1211">
            <v>10064.5</v>
          </cell>
          <cell r="AE1211">
            <v>58374.1</v>
          </cell>
        </row>
        <row r="1212">
          <cell r="C1212" t="str">
            <v>SMTBRIM1a Qualidade</v>
          </cell>
          <cell r="AC1212">
            <v>1000</v>
          </cell>
          <cell r="AE1212">
            <v>2200</v>
          </cell>
        </row>
        <row r="1213">
          <cell r="C1213" t="str">
            <v>SMTSANTANA1a Qualidade</v>
          </cell>
          <cell r="AC1213">
            <v>4992</v>
          </cell>
          <cell r="AE1213">
            <v>28454.400000000001</v>
          </cell>
        </row>
        <row r="1214">
          <cell r="C1214" t="str">
            <v>SMTSANTANA1a Qualidade</v>
          </cell>
          <cell r="AC1214">
            <v>5334</v>
          </cell>
          <cell r="AE1214">
            <v>30403.8</v>
          </cell>
        </row>
        <row r="1215">
          <cell r="C1215" t="str">
            <v>SMTSANTANA1a Qualidade</v>
          </cell>
          <cell r="AC1215">
            <v>4796</v>
          </cell>
          <cell r="AE1215">
            <v>27337.200000000001</v>
          </cell>
        </row>
        <row r="1216">
          <cell r="C1216" t="str">
            <v>SMTLOCO1a Qualidade</v>
          </cell>
          <cell r="AC1216">
            <v>35</v>
          </cell>
          <cell r="AE1216">
            <v>241.5</v>
          </cell>
        </row>
        <row r="1217">
          <cell r="C1217" t="str">
            <v>SMTLOCO1a Qualidade</v>
          </cell>
          <cell r="AC1217">
            <v>35</v>
          </cell>
          <cell r="AE1217">
            <v>276.5</v>
          </cell>
        </row>
        <row r="1218">
          <cell r="C1218" t="str">
            <v>SMTLOCO1a Qualidade</v>
          </cell>
          <cell r="AC1218">
            <v>35.5</v>
          </cell>
          <cell r="AE1218">
            <v>301.75</v>
          </cell>
        </row>
        <row r="1219">
          <cell r="C1219" t="str">
            <v>SMTSANTANA1a Qualidade</v>
          </cell>
          <cell r="AC1219">
            <v>42</v>
          </cell>
          <cell r="AE1219">
            <v>268.8</v>
          </cell>
        </row>
        <row r="1220">
          <cell r="C1220" t="str">
            <v>SMTSANTANA1a Qualidade</v>
          </cell>
          <cell r="AC1220">
            <v>22</v>
          </cell>
          <cell r="AE1220">
            <v>96.8</v>
          </cell>
        </row>
        <row r="1221">
          <cell r="C1221" t="str">
            <v>SMTSANTANA1a Qualidade</v>
          </cell>
          <cell r="AC1221">
            <v>12</v>
          </cell>
          <cell r="AE1221">
            <v>52.8</v>
          </cell>
        </row>
        <row r="1222">
          <cell r="C1222" t="str">
            <v>SMTSANTANA1a Qualidade</v>
          </cell>
          <cell r="AC1222">
            <v>15.5</v>
          </cell>
          <cell r="AE1222">
            <v>68.2</v>
          </cell>
        </row>
        <row r="1223">
          <cell r="C1223" t="str">
            <v>SMTSANTANA1a Qualidade</v>
          </cell>
          <cell r="AC1223">
            <v>38</v>
          </cell>
          <cell r="AE1223">
            <v>167.2</v>
          </cell>
        </row>
        <row r="1224">
          <cell r="C1224" t="str">
            <v>SMTSANTANA1a Qualidade</v>
          </cell>
          <cell r="AC1224">
            <v>13</v>
          </cell>
          <cell r="AE1224">
            <v>57.2</v>
          </cell>
        </row>
        <row r="1225">
          <cell r="C1225" t="str">
            <v>SMTSANTANA1a Qualidade</v>
          </cell>
          <cell r="AC1225">
            <v>25</v>
          </cell>
          <cell r="AE1225">
            <v>110</v>
          </cell>
        </row>
        <row r="1226">
          <cell r="C1226" t="str">
            <v>SMTSANTANA1a Qualidade</v>
          </cell>
          <cell r="AC1226">
            <v>60</v>
          </cell>
          <cell r="AE1226">
            <v>264</v>
          </cell>
        </row>
        <row r="1227">
          <cell r="C1227" t="str">
            <v>SMTSANTANA1a Qualidade</v>
          </cell>
          <cell r="AC1227">
            <v>3652.7</v>
          </cell>
          <cell r="AE1227">
            <v>16071.88</v>
          </cell>
        </row>
        <row r="1228">
          <cell r="C1228" t="str">
            <v>SMTSANTANA1a Qualidade</v>
          </cell>
          <cell r="AC1228">
            <v>1400</v>
          </cell>
          <cell r="AE1228">
            <v>6160</v>
          </cell>
        </row>
        <row r="1229">
          <cell r="C1229" t="str">
            <v>SMTSANTANA1a Qualidade</v>
          </cell>
          <cell r="AC1229">
            <v>358.8</v>
          </cell>
          <cell r="AE1229">
            <v>1578.72</v>
          </cell>
        </row>
        <row r="1230">
          <cell r="C1230" t="str">
            <v>SMTSANTANA1a Qualidade</v>
          </cell>
          <cell r="AC1230">
            <v>207.5</v>
          </cell>
          <cell r="AE1230">
            <v>913</v>
          </cell>
        </row>
        <row r="1231">
          <cell r="C1231" t="str">
            <v>SMTSANTANA1a Qualidade</v>
          </cell>
          <cell r="AC1231">
            <v>65</v>
          </cell>
          <cell r="AE1231">
            <v>286</v>
          </cell>
        </row>
        <row r="1232">
          <cell r="C1232" t="str">
            <v>SMTSANTANA1a Qualidade</v>
          </cell>
          <cell r="AC1232">
            <v>40.5</v>
          </cell>
          <cell r="AE1232">
            <v>178.2</v>
          </cell>
        </row>
        <row r="1233">
          <cell r="C1233" t="str">
            <v>SMTSANTANA1a Qualidade</v>
          </cell>
          <cell r="AC1233">
            <v>698</v>
          </cell>
          <cell r="AE1233">
            <v>3071.2</v>
          </cell>
        </row>
        <row r="1234">
          <cell r="C1234" t="str">
            <v>SMTSANTANA1a Qualidade</v>
          </cell>
          <cell r="AC1234">
            <v>1698.6</v>
          </cell>
          <cell r="AE1234">
            <v>7473.84</v>
          </cell>
        </row>
        <row r="1235">
          <cell r="C1235" t="str">
            <v>SMTSANTANA1a Qualidade</v>
          </cell>
          <cell r="AC1235">
            <v>26</v>
          </cell>
          <cell r="AE1235">
            <v>114.4</v>
          </cell>
        </row>
        <row r="1236">
          <cell r="C1236" t="str">
            <v>SMTSANTANA1a Qualidade</v>
          </cell>
          <cell r="AC1236">
            <v>318.5</v>
          </cell>
          <cell r="AE1236">
            <v>1401.4</v>
          </cell>
        </row>
        <row r="1237">
          <cell r="C1237" t="str">
            <v>SMTSANTANA1a Qualidade</v>
          </cell>
          <cell r="AC1237">
            <v>180.5</v>
          </cell>
          <cell r="AE1237">
            <v>794.2</v>
          </cell>
        </row>
        <row r="1238">
          <cell r="C1238" t="str">
            <v>SMTSANTANA1a Qualidade</v>
          </cell>
          <cell r="AC1238">
            <v>94.5</v>
          </cell>
          <cell r="AE1238">
            <v>415.8</v>
          </cell>
        </row>
        <row r="1239">
          <cell r="C1239" t="str">
            <v>SMTSANTANA1a Qualidade</v>
          </cell>
          <cell r="AC1239">
            <v>28.5</v>
          </cell>
          <cell r="AE1239">
            <v>125.4</v>
          </cell>
        </row>
        <row r="1240">
          <cell r="C1240" t="str">
            <v>SMTSANTANA1a Qualidade</v>
          </cell>
          <cell r="AC1240">
            <v>12.5</v>
          </cell>
          <cell r="AE1240">
            <v>55</v>
          </cell>
        </row>
        <row r="1241">
          <cell r="C1241" t="str">
            <v>SMTSANTANA1a Qualidade</v>
          </cell>
          <cell r="AC1241">
            <v>867.5</v>
          </cell>
          <cell r="AE1241">
            <v>3817</v>
          </cell>
        </row>
        <row r="1242">
          <cell r="C1242" t="str">
            <v>SMTSANTANA1a Qualidade</v>
          </cell>
          <cell r="AC1242">
            <v>865.5</v>
          </cell>
          <cell r="AE1242">
            <v>3808.2</v>
          </cell>
        </row>
        <row r="1243">
          <cell r="C1243" t="str">
            <v>SMTSANTANA1a Qualidade</v>
          </cell>
          <cell r="AC1243">
            <v>71.5</v>
          </cell>
          <cell r="AE1243">
            <v>314.60000000000002</v>
          </cell>
        </row>
        <row r="1244">
          <cell r="C1244" t="str">
            <v>SMTSANTANA1a Qualidade</v>
          </cell>
          <cell r="AC1244">
            <v>260</v>
          </cell>
          <cell r="AE1244">
            <v>1544.4</v>
          </cell>
        </row>
        <row r="1245">
          <cell r="C1245" t="str">
            <v>SMTSANTANA2a Qualidade</v>
          </cell>
          <cell r="AC1245">
            <v>1586.1</v>
          </cell>
          <cell r="AE1245">
            <v>7137.45</v>
          </cell>
        </row>
        <row r="1246">
          <cell r="C1246" t="str">
            <v>SMTSANTANA2a Qualidade</v>
          </cell>
          <cell r="AC1246">
            <v>151.19999999999999</v>
          </cell>
          <cell r="AE1246">
            <v>680.4</v>
          </cell>
        </row>
        <row r="1247">
          <cell r="C1247" t="str">
            <v>SMTSANTANA2a Qualidade</v>
          </cell>
          <cell r="AC1247">
            <v>323.3</v>
          </cell>
          <cell r="AE1247">
            <v>1454.85</v>
          </cell>
        </row>
        <row r="1248">
          <cell r="C1248" t="str">
            <v>SMTSANTANA2a Qualidade</v>
          </cell>
          <cell r="AC1248">
            <v>275.3</v>
          </cell>
          <cell r="AE1248">
            <v>1238.8499999999999</v>
          </cell>
        </row>
        <row r="1249">
          <cell r="C1249" t="str">
            <v>SMTSANTANA2a Qualidade</v>
          </cell>
          <cell r="AC1249">
            <v>290</v>
          </cell>
          <cell r="AE1249">
            <v>1305</v>
          </cell>
        </row>
        <row r="1250">
          <cell r="C1250" t="str">
            <v>SMTSANTANA2a Qualidade</v>
          </cell>
          <cell r="AC1250">
            <v>5782.5</v>
          </cell>
          <cell r="AE1250">
            <v>26021.25</v>
          </cell>
        </row>
        <row r="1251">
          <cell r="C1251" t="str">
            <v>SMTSANTANA2a Qualidade</v>
          </cell>
          <cell r="AC1251">
            <v>1811.2</v>
          </cell>
          <cell r="AE1251">
            <v>8150.4</v>
          </cell>
        </row>
        <row r="1252">
          <cell r="C1252" t="str">
            <v>SMTLOCO2a Qualidade</v>
          </cell>
          <cell r="AC1252">
            <v>876</v>
          </cell>
          <cell r="AE1252">
            <v>3942</v>
          </cell>
        </row>
        <row r="1253">
          <cell r="C1253" t="str">
            <v>SMTLOCO2a Qualidade</v>
          </cell>
          <cell r="AC1253">
            <v>55.6</v>
          </cell>
          <cell r="AE1253">
            <v>250.2</v>
          </cell>
        </row>
        <row r="1254">
          <cell r="C1254" t="str">
            <v>SMTLOCO2a Qualidade</v>
          </cell>
          <cell r="AC1254">
            <v>397.4</v>
          </cell>
          <cell r="AE1254">
            <v>1788.3</v>
          </cell>
        </row>
        <row r="1255">
          <cell r="C1255" t="str">
            <v>SMTLOCO2a Qualidade</v>
          </cell>
          <cell r="AC1255">
            <v>12.2</v>
          </cell>
          <cell r="AE1255">
            <v>54.9</v>
          </cell>
        </row>
        <row r="1256">
          <cell r="C1256" t="str">
            <v>SMTLOCO2a Qualidade</v>
          </cell>
          <cell r="AC1256">
            <v>99.6</v>
          </cell>
          <cell r="AE1256">
            <v>448.2</v>
          </cell>
        </row>
        <row r="1257">
          <cell r="C1257" t="str">
            <v>SMTLOCO2a Qualidade</v>
          </cell>
          <cell r="AC1257">
            <v>23.4</v>
          </cell>
          <cell r="AE1257">
            <v>105.3</v>
          </cell>
        </row>
        <row r="1258">
          <cell r="C1258" t="str">
            <v>SMTLOCO2a Qualidade</v>
          </cell>
          <cell r="AC1258">
            <v>5255.1</v>
          </cell>
          <cell r="AE1258">
            <v>23647.95</v>
          </cell>
        </row>
        <row r="1259">
          <cell r="C1259" t="str">
            <v>SMTLOCO2a Qualidade</v>
          </cell>
          <cell r="AC1259">
            <v>7822.2</v>
          </cell>
          <cell r="AE1259">
            <v>35199.9</v>
          </cell>
        </row>
        <row r="1260">
          <cell r="C1260" t="str">
            <v>SMTLOCO2a Qualidade</v>
          </cell>
          <cell r="AC1260">
            <v>2527</v>
          </cell>
          <cell r="AE1260">
            <v>11371.5</v>
          </cell>
        </row>
        <row r="1261">
          <cell r="C1261" t="str">
            <v>SMTLOCO2a Qualidade</v>
          </cell>
          <cell r="AC1261">
            <v>194.1</v>
          </cell>
          <cell r="AE1261">
            <v>873.45</v>
          </cell>
        </row>
        <row r="1262">
          <cell r="C1262" t="str">
            <v>SMTLOCO2a Qualidade</v>
          </cell>
          <cell r="AC1262">
            <v>646.29999999999995</v>
          </cell>
          <cell r="AE1262">
            <v>2908.35</v>
          </cell>
        </row>
        <row r="1263">
          <cell r="C1263" t="str">
            <v>SMTLOCO2a Qualidade</v>
          </cell>
          <cell r="AC1263">
            <v>1230.2</v>
          </cell>
          <cell r="AE1263">
            <v>5535.9</v>
          </cell>
        </row>
        <row r="1264">
          <cell r="C1264" t="str">
            <v>SMTLOCO2a Qualidade</v>
          </cell>
          <cell r="AC1264">
            <v>343</v>
          </cell>
          <cell r="AE1264">
            <v>1543.5</v>
          </cell>
        </row>
        <row r="1265">
          <cell r="C1265" t="str">
            <v>SMTLOCO2a Qualidade</v>
          </cell>
          <cell r="AC1265">
            <v>125.2</v>
          </cell>
          <cell r="AE1265">
            <v>563.4</v>
          </cell>
        </row>
        <row r="1266">
          <cell r="C1266" t="str">
            <v>SMTLOCO2a Qualidade</v>
          </cell>
          <cell r="AC1266">
            <v>660.9</v>
          </cell>
          <cell r="AE1266">
            <v>2974.05</v>
          </cell>
        </row>
        <row r="1267">
          <cell r="C1267" t="str">
            <v>SMTLOCO2a Qualidade</v>
          </cell>
          <cell r="AC1267">
            <v>10.7</v>
          </cell>
          <cell r="AE1267">
            <v>48.15</v>
          </cell>
        </row>
        <row r="1268">
          <cell r="C1268" t="str">
            <v>SMTLOCO2a Qualidade</v>
          </cell>
          <cell r="AC1268">
            <v>1245.2</v>
          </cell>
          <cell r="AE1268">
            <v>5603.4</v>
          </cell>
        </row>
        <row r="1269">
          <cell r="C1269" t="str">
            <v>SMTSANTANA2a Qualidade</v>
          </cell>
          <cell r="AC1269">
            <v>138</v>
          </cell>
          <cell r="AE1269">
            <v>621</v>
          </cell>
        </row>
        <row r="1270">
          <cell r="C1270" t="str">
            <v>SMTLOCO2a Qualidade</v>
          </cell>
          <cell r="AC1270">
            <v>347.5</v>
          </cell>
          <cell r="AE1270">
            <v>1563.75</v>
          </cell>
        </row>
        <row r="1271">
          <cell r="C1271" t="str">
            <v>SMTLOCO2a Qualidade</v>
          </cell>
          <cell r="AC1271">
            <v>149.69999999999999</v>
          </cell>
          <cell r="AE1271">
            <v>673.65</v>
          </cell>
        </row>
        <row r="1272">
          <cell r="C1272" t="str">
            <v>SMTSANTANA2a Qualidade</v>
          </cell>
          <cell r="AC1272">
            <v>1107.7</v>
          </cell>
          <cell r="AE1272">
            <v>4984.6499999999996</v>
          </cell>
        </row>
        <row r="1273">
          <cell r="C1273" t="str">
            <v>SMTSANTANA2a Qualidade</v>
          </cell>
          <cell r="AC1273">
            <v>372.1</v>
          </cell>
          <cell r="AE1273">
            <v>1674.45</v>
          </cell>
        </row>
        <row r="1274">
          <cell r="C1274" t="str">
            <v>SMTSANTANA2a Qualidade</v>
          </cell>
          <cell r="AC1274">
            <v>41.1</v>
          </cell>
          <cell r="AE1274">
            <v>184.95</v>
          </cell>
        </row>
        <row r="1275">
          <cell r="C1275" t="str">
            <v>SMTSANTANA2a Qualidade</v>
          </cell>
          <cell r="AC1275">
            <v>876.7</v>
          </cell>
          <cell r="AE1275">
            <v>3945.15</v>
          </cell>
        </row>
        <row r="1276">
          <cell r="C1276" t="str">
            <v>SMTSANTANA2a Qualidade</v>
          </cell>
          <cell r="AC1276">
            <v>255.7</v>
          </cell>
          <cell r="AE1276">
            <v>1150.6500000000001</v>
          </cell>
        </row>
        <row r="1277">
          <cell r="C1277" t="str">
            <v>SMTSANTANA2a Qualidade</v>
          </cell>
          <cell r="AC1277">
            <v>120.6</v>
          </cell>
          <cell r="AE1277">
            <v>542.70000000000005</v>
          </cell>
        </row>
        <row r="1278">
          <cell r="C1278" t="str">
            <v>SMTSANTANA2a Qualidade</v>
          </cell>
          <cell r="AC1278">
            <v>1845.2</v>
          </cell>
          <cell r="AE1278">
            <v>8303.4</v>
          </cell>
        </row>
        <row r="1279">
          <cell r="C1279" t="str">
            <v>SMTSANTANA2a Qualidade</v>
          </cell>
          <cell r="AC1279">
            <v>1501.3</v>
          </cell>
          <cell r="AE1279">
            <v>6755.85</v>
          </cell>
        </row>
        <row r="1280">
          <cell r="C1280" t="str">
            <v>SMTSANTANA2a Qualidade</v>
          </cell>
          <cell r="AC1280">
            <v>402.5</v>
          </cell>
          <cell r="AE1280">
            <v>1811.25</v>
          </cell>
        </row>
        <row r="1281">
          <cell r="C1281" t="str">
            <v>SMTSANTANA2a Qualidade</v>
          </cell>
          <cell r="AC1281">
            <v>191.6</v>
          </cell>
          <cell r="AE1281">
            <v>862.2</v>
          </cell>
        </row>
        <row r="1282">
          <cell r="C1282" t="str">
            <v>SMTSANTANA2a Qualidade</v>
          </cell>
          <cell r="AC1282">
            <v>213.1</v>
          </cell>
          <cell r="AE1282">
            <v>958.95</v>
          </cell>
        </row>
        <row r="1283">
          <cell r="C1283" t="str">
            <v>SMTOE - 100% Algodão1a Qualidade</v>
          </cell>
          <cell r="AC1283">
            <v>1307.05</v>
          </cell>
          <cell r="AE1283">
            <v>9541.4650000000001</v>
          </cell>
        </row>
        <row r="1284">
          <cell r="C1284" t="str">
            <v>SMTSANTANA1a Qualidade</v>
          </cell>
          <cell r="AC1284">
            <v>479.5</v>
          </cell>
          <cell r="AE1284">
            <v>2397.5</v>
          </cell>
        </row>
        <row r="1285">
          <cell r="C1285" t="str">
            <v>SMTSANTANA1a Qualidade</v>
          </cell>
          <cell r="AC1285">
            <v>707.9</v>
          </cell>
          <cell r="AE1285">
            <v>3751.87</v>
          </cell>
        </row>
        <row r="1286">
          <cell r="C1286" t="str">
            <v>SMTSANTANA1a Qualidade</v>
          </cell>
          <cell r="AC1286">
            <v>373.1</v>
          </cell>
          <cell r="AE1286">
            <v>1977.43</v>
          </cell>
        </row>
        <row r="1287">
          <cell r="C1287" t="str">
            <v>SMTSANTANA1a Qualidade</v>
          </cell>
          <cell r="AC1287">
            <v>360</v>
          </cell>
          <cell r="AE1287">
            <v>2613.6</v>
          </cell>
        </row>
        <row r="1288">
          <cell r="C1288" t="str">
            <v>SMTSANTANADirecionado</v>
          </cell>
          <cell r="AC1288">
            <v>4504.3999999999996</v>
          </cell>
          <cell r="AE1288">
            <v>23422.880000000001</v>
          </cell>
        </row>
        <row r="1289">
          <cell r="C1289" t="str">
            <v>SMTSANTANADirecionado</v>
          </cell>
          <cell r="AC1289">
            <v>1736</v>
          </cell>
          <cell r="AE1289">
            <v>9027.2000000000007</v>
          </cell>
        </row>
        <row r="1290">
          <cell r="C1290" t="str">
            <v>SMTSANTANADirecionado</v>
          </cell>
          <cell r="AC1290">
            <v>660</v>
          </cell>
          <cell r="AE1290">
            <v>3432</v>
          </cell>
        </row>
        <row r="1291">
          <cell r="C1291" t="str">
            <v>SMTLOCO1a Qualidade</v>
          </cell>
          <cell r="AC1291">
            <v>191.8</v>
          </cell>
          <cell r="AE1291">
            <v>1457.68</v>
          </cell>
        </row>
        <row r="1292">
          <cell r="C1292" t="str">
            <v>SMTLOCO1a Qualidade</v>
          </cell>
          <cell r="AC1292">
            <v>196</v>
          </cell>
          <cell r="AE1292">
            <v>1842.4</v>
          </cell>
        </row>
        <row r="1293">
          <cell r="C1293" t="str">
            <v>SMTLOCO1a Qualidade</v>
          </cell>
          <cell r="AC1293">
            <v>5208.7</v>
          </cell>
          <cell r="AE1293">
            <v>36460.9</v>
          </cell>
        </row>
        <row r="1294">
          <cell r="C1294" t="str">
            <v>SMTLOCO1a Qualidade</v>
          </cell>
          <cell r="AC1294">
            <v>220</v>
          </cell>
          <cell r="AE1294">
            <v>1727</v>
          </cell>
        </row>
        <row r="1295">
          <cell r="C1295" t="str">
            <v>SMTSANTANADirecionado</v>
          </cell>
          <cell r="AC1295">
            <v>37089.300000000003</v>
          </cell>
          <cell r="AE1295">
            <v>196573.29</v>
          </cell>
        </row>
        <row r="1296">
          <cell r="C1296" t="str">
            <v>SMTSANTANADirecionado</v>
          </cell>
          <cell r="AC1296">
            <v>4008.8</v>
          </cell>
          <cell r="AE1296">
            <v>21246.639999999999</v>
          </cell>
        </row>
        <row r="1297">
          <cell r="C1297" t="str">
            <v>SMTSANTANADirecionado</v>
          </cell>
          <cell r="AC1297">
            <v>6017.3</v>
          </cell>
          <cell r="AE1297">
            <v>31891.69</v>
          </cell>
        </row>
        <row r="1298">
          <cell r="C1298" t="str">
            <v>SMTSANTANADirecionado</v>
          </cell>
          <cell r="AC1298">
            <v>623.5</v>
          </cell>
          <cell r="AE1298">
            <v>3304.55</v>
          </cell>
        </row>
        <row r="1299">
          <cell r="C1299" t="str">
            <v>SMTLOCO1a Qualidade</v>
          </cell>
          <cell r="AC1299">
            <v>400.7</v>
          </cell>
          <cell r="AE1299">
            <v>2644.62</v>
          </cell>
        </row>
        <row r="1300">
          <cell r="C1300" t="str">
            <v>SMTLOCO1a Qualidade</v>
          </cell>
          <cell r="AC1300">
            <v>672</v>
          </cell>
          <cell r="AE1300">
            <v>4435.2</v>
          </cell>
        </row>
        <row r="1301">
          <cell r="C1301" t="str">
            <v>SMTSANTANA2a Qualidade</v>
          </cell>
          <cell r="AC1301">
            <v>2754</v>
          </cell>
          <cell r="AE1301">
            <v>12117.6</v>
          </cell>
        </row>
        <row r="1302">
          <cell r="C1302" t="str">
            <v>SMTSANTANA2a Qualidade</v>
          </cell>
          <cell r="AC1302">
            <v>187.5</v>
          </cell>
          <cell r="AE1302">
            <v>825</v>
          </cell>
        </row>
        <row r="1303">
          <cell r="C1303" t="str">
            <v>SMTSANTANA2a Qualidade</v>
          </cell>
          <cell r="AC1303">
            <v>1559.5</v>
          </cell>
          <cell r="AE1303">
            <v>6861.8</v>
          </cell>
        </row>
        <row r="1304">
          <cell r="C1304" t="str">
            <v>SMTSANTANA2a Qualidade</v>
          </cell>
          <cell r="AC1304">
            <v>1226.4000000000001</v>
          </cell>
          <cell r="AE1304">
            <v>5396.16</v>
          </cell>
        </row>
        <row r="1305">
          <cell r="C1305" t="str">
            <v>SMTSANTANA2a Qualidade</v>
          </cell>
          <cell r="AC1305">
            <v>248.3</v>
          </cell>
          <cell r="AE1305">
            <v>1092.52</v>
          </cell>
        </row>
        <row r="1306">
          <cell r="C1306" t="str">
            <v>SMTSANTANA2a Qualidade</v>
          </cell>
          <cell r="AC1306">
            <v>338</v>
          </cell>
          <cell r="AE1306">
            <v>1487.2</v>
          </cell>
        </row>
        <row r="1307">
          <cell r="C1307" t="str">
            <v>SMTSANTANA2a Qualidade</v>
          </cell>
          <cell r="AC1307">
            <v>6829.6</v>
          </cell>
          <cell r="AE1307">
            <v>30050.240000000002</v>
          </cell>
        </row>
        <row r="1308">
          <cell r="C1308" t="str">
            <v>SMTSANTANA2a Qualidade</v>
          </cell>
          <cell r="AC1308">
            <v>2136.6</v>
          </cell>
          <cell r="AE1308">
            <v>9401.0400000000009</v>
          </cell>
        </row>
        <row r="1309">
          <cell r="C1309" t="str">
            <v>SMTSANTANA2a Qualidade</v>
          </cell>
          <cell r="AC1309">
            <v>736.6</v>
          </cell>
          <cell r="AE1309">
            <v>3241.04</v>
          </cell>
        </row>
        <row r="1310">
          <cell r="C1310" t="str">
            <v>SMTSANTANA2a Qualidade</v>
          </cell>
          <cell r="AC1310">
            <v>1135.2</v>
          </cell>
          <cell r="AE1310">
            <v>4994.88</v>
          </cell>
        </row>
        <row r="1311">
          <cell r="C1311" t="str">
            <v>SMTSANTANA2a Qualidade</v>
          </cell>
          <cell r="AC1311">
            <v>1283</v>
          </cell>
          <cell r="AE1311">
            <v>5645.2</v>
          </cell>
        </row>
        <row r="1312">
          <cell r="C1312" t="str">
            <v>SMTSANTANA2a Qualidade</v>
          </cell>
          <cell r="AC1312">
            <v>1560.6</v>
          </cell>
          <cell r="AE1312">
            <v>6866.64</v>
          </cell>
        </row>
        <row r="1313">
          <cell r="C1313" t="str">
            <v>SMTSANTANA1a Qualidade</v>
          </cell>
          <cell r="AC1313">
            <v>1526</v>
          </cell>
          <cell r="AE1313">
            <v>9934.26</v>
          </cell>
        </row>
        <row r="1314">
          <cell r="C1314" t="str">
            <v>SMTSANTANA1a Qualidade</v>
          </cell>
          <cell r="AC1314">
            <v>19871.8</v>
          </cell>
          <cell r="AE1314">
            <v>121217.98</v>
          </cell>
        </row>
        <row r="1315">
          <cell r="C1315" t="str">
            <v>SMTSANTANA1a Qualidade</v>
          </cell>
          <cell r="AC1315">
            <v>19960.5</v>
          </cell>
          <cell r="AE1315">
            <v>109782.75</v>
          </cell>
        </row>
        <row r="1316">
          <cell r="C1316" t="str">
            <v>SMTSANTANA1a Qualidade</v>
          </cell>
          <cell r="AC1316">
            <v>30901.599999999999</v>
          </cell>
          <cell r="AE1316">
            <v>169958.8</v>
          </cell>
        </row>
        <row r="1317">
          <cell r="C1317" t="str">
            <v>SMTSANTANA1a Qualidade</v>
          </cell>
          <cell r="AC1317">
            <v>2153</v>
          </cell>
          <cell r="AE1317">
            <v>11841.5</v>
          </cell>
        </row>
        <row r="1318">
          <cell r="C1318" t="str">
            <v>SMTSANTANA1a Qualidade</v>
          </cell>
          <cell r="AC1318">
            <v>5057.1000000000004</v>
          </cell>
          <cell r="AE1318">
            <v>32365.439999999999</v>
          </cell>
        </row>
        <row r="1319">
          <cell r="C1319" t="str">
            <v>SMTLOCO1a Qualidade</v>
          </cell>
          <cell r="AC1319">
            <v>321.5</v>
          </cell>
          <cell r="AE1319">
            <v>2861.35</v>
          </cell>
        </row>
        <row r="1320">
          <cell r="C1320" t="str">
            <v>SMTSANTANA1a Qualidade</v>
          </cell>
          <cell r="AC1320">
            <v>3561.8</v>
          </cell>
          <cell r="AE1320">
            <v>24362.712</v>
          </cell>
        </row>
        <row r="1321">
          <cell r="C1321" t="str">
            <v>SMTSANTANA1a Qualidade</v>
          </cell>
          <cell r="AC1321">
            <v>523.5</v>
          </cell>
          <cell r="AE1321">
            <v>3088.65</v>
          </cell>
        </row>
        <row r="1322">
          <cell r="C1322" t="str">
            <v>SMTOE - 100% Algodão1a Qualidade</v>
          </cell>
          <cell r="AC1322">
            <v>4023.58</v>
          </cell>
          <cell r="AE1322">
            <v>26555.627999999997</v>
          </cell>
        </row>
        <row r="1323">
          <cell r="C1323" t="str">
            <v>SMTOE - 100% Algodão1a Qualidade</v>
          </cell>
          <cell r="AC1323">
            <v>4023.4</v>
          </cell>
          <cell r="AE1323">
            <v>26554.44</v>
          </cell>
        </row>
        <row r="1324">
          <cell r="C1324" t="str">
            <v>SMTOE - 100% Algodão1a Qualidade</v>
          </cell>
          <cell r="AC1324">
            <v>1005.65</v>
          </cell>
          <cell r="AE1324">
            <v>6335.5949999999993</v>
          </cell>
        </row>
        <row r="1325">
          <cell r="C1325" t="str">
            <v>SMTLOCO1a Qualidade</v>
          </cell>
          <cell r="AC1325">
            <v>5053.3</v>
          </cell>
          <cell r="AE1325">
            <v>34867.769999999997</v>
          </cell>
        </row>
        <row r="1326">
          <cell r="C1326" t="str">
            <v>SMTSANTANA1a Qualidade</v>
          </cell>
          <cell r="AC1326">
            <v>3046</v>
          </cell>
          <cell r="AE1326">
            <v>18885.2</v>
          </cell>
        </row>
        <row r="1327">
          <cell r="C1327" t="str">
            <v>SMTSANTANA1a Qualidade</v>
          </cell>
          <cell r="AC1327">
            <v>9934.9</v>
          </cell>
          <cell r="AE1327">
            <v>62291.822999999997</v>
          </cell>
        </row>
        <row r="1328">
          <cell r="C1328" t="str">
            <v>SMTSANTANA1a Qualidade</v>
          </cell>
          <cell r="AC1328">
            <v>15103.7</v>
          </cell>
          <cell r="AE1328">
            <v>93642.94</v>
          </cell>
        </row>
        <row r="1329">
          <cell r="C1329" t="str">
            <v>SMTSANTANA1a Qualidade</v>
          </cell>
          <cell r="AC1329">
            <v>15</v>
          </cell>
          <cell r="AE1329">
            <v>81</v>
          </cell>
        </row>
        <row r="1330">
          <cell r="C1330" t="str">
            <v>SMTOE - 100% Algodão1a Qualidade</v>
          </cell>
          <cell r="AC1330">
            <v>514.1</v>
          </cell>
          <cell r="AE1330">
            <v>3752.93</v>
          </cell>
        </row>
        <row r="1331">
          <cell r="C1331" t="str">
            <v>SMTLOCO1a Qualidade</v>
          </cell>
          <cell r="AC1331">
            <v>290.2</v>
          </cell>
          <cell r="AE1331">
            <v>1944.34</v>
          </cell>
        </row>
        <row r="1332">
          <cell r="C1332" t="str">
            <v>SMTSANTANA1a Qualidade</v>
          </cell>
          <cell r="AC1332">
            <v>1058.2</v>
          </cell>
          <cell r="AE1332">
            <v>6772.48</v>
          </cell>
        </row>
        <row r="1333">
          <cell r="C1333" t="str">
            <v>SMTSANTANA1a Qualidade</v>
          </cell>
          <cell r="AC1333">
            <v>1051</v>
          </cell>
          <cell r="AE1333">
            <v>6652.83</v>
          </cell>
        </row>
        <row r="1334">
          <cell r="C1334" t="str">
            <v>SMTLOCO1a Qualidade</v>
          </cell>
          <cell r="AC1334">
            <v>6</v>
          </cell>
          <cell r="AE1334">
            <v>44.76</v>
          </cell>
        </row>
        <row r="1335">
          <cell r="C1335" t="str">
            <v>SMTLOCO1a Qualidade</v>
          </cell>
          <cell r="AC1335">
            <v>6</v>
          </cell>
          <cell r="AE1335">
            <v>42.54</v>
          </cell>
        </row>
        <row r="1336">
          <cell r="C1336" t="str">
            <v>SMTLOCO1a Qualidade</v>
          </cell>
          <cell r="AC1336">
            <v>650</v>
          </cell>
          <cell r="AE1336">
            <v>5460</v>
          </cell>
        </row>
        <row r="1337">
          <cell r="C1337" t="str">
            <v>SMTLOCO1a Qualidade</v>
          </cell>
          <cell r="AC1337">
            <v>455</v>
          </cell>
          <cell r="AE1337">
            <v>3043.95</v>
          </cell>
        </row>
        <row r="1338">
          <cell r="C1338" t="str">
            <v>SMTSANTANA1a Qualidade</v>
          </cell>
          <cell r="AC1338">
            <v>475.2</v>
          </cell>
          <cell r="AE1338">
            <v>2950.9919999999997</v>
          </cell>
        </row>
        <row r="1339">
          <cell r="C1339" t="str">
            <v>SMTLOCO1a Qualidade</v>
          </cell>
          <cell r="AC1339">
            <v>321</v>
          </cell>
          <cell r="AE1339">
            <v>2147.4899999999998</v>
          </cell>
        </row>
        <row r="1340">
          <cell r="C1340" t="str">
            <v>SMTLOCO1a Qualidade</v>
          </cell>
          <cell r="AC1340">
            <v>650</v>
          </cell>
          <cell r="AE1340">
            <v>5635.5</v>
          </cell>
        </row>
        <row r="1341">
          <cell r="C1341" t="str">
            <v>SMTLOCO1a Qualidade</v>
          </cell>
          <cell r="AC1341">
            <v>505.8</v>
          </cell>
          <cell r="AE1341">
            <v>4592.6639999999998</v>
          </cell>
        </row>
        <row r="1342">
          <cell r="C1342" t="str">
            <v>SMTLOCO1a Qualidade</v>
          </cell>
          <cell r="AC1342">
            <v>510</v>
          </cell>
          <cell r="AE1342">
            <v>4110.6000000000004</v>
          </cell>
        </row>
        <row r="1343">
          <cell r="C1343" t="str">
            <v>SMTLOCO1a Qualidade</v>
          </cell>
          <cell r="AC1343">
            <v>2131.6</v>
          </cell>
          <cell r="AE1343">
            <v>16839.64</v>
          </cell>
        </row>
        <row r="1344">
          <cell r="C1344" t="str">
            <v>SMTLOCO1a Qualidade</v>
          </cell>
          <cell r="AC1344">
            <v>1912.3</v>
          </cell>
          <cell r="AE1344">
            <v>15107.17</v>
          </cell>
        </row>
        <row r="1345">
          <cell r="C1345" t="str">
            <v>SMTLOCO1a Qualidade</v>
          </cell>
          <cell r="AC1345">
            <v>206</v>
          </cell>
          <cell r="AE1345">
            <v>1380.2</v>
          </cell>
        </row>
        <row r="1346">
          <cell r="C1346" t="str">
            <v>SMTSANTANADirecionado</v>
          </cell>
          <cell r="AC1346">
            <v>0</v>
          </cell>
          <cell r="AE1346">
            <v>0</v>
          </cell>
        </row>
        <row r="1347">
          <cell r="C1347" t="str">
            <v>SMTSANTANA1a Qualidade</v>
          </cell>
          <cell r="AC1347">
            <v>1040</v>
          </cell>
          <cell r="AE1347">
            <v>6864</v>
          </cell>
        </row>
        <row r="1348">
          <cell r="C1348" t="str">
            <v>SMTLOCO1a Qualidade</v>
          </cell>
          <cell r="AC1348">
            <v>1914.5</v>
          </cell>
          <cell r="AE1348">
            <v>13210.05</v>
          </cell>
        </row>
        <row r="1349">
          <cell r="C1349" t="str">
            <v>SMTLOCO1a Qualidade</v>
          </cell>
          <cell r="AC1349">
            <v>5</v>
          </cell>
          <cell r="AE1349">
            <v>33</v>
          </cell>
        </row>
        <row r="1350">
          <cell r="C1350" t="str">
            <v>SMTLOCO1a Qualidade</v>
          </cell>
          <cell r="AC1350">
            <v>5</v>
          </cell>
          <cell r="AE1350">
            <v>39.5</v>
          </cell>
        </row>
        <row r="1351">
          <cell r="C1351" t="str">
            <v>SMTLOCO1a Qualidade</v>
          </cell>
          <cell r="AC1351">
            <v>5</v>
          </cell>
          <cell r="AE1351">
            <v>42.5</v>
          </cell>
        </row>
        <row r="1352">
          <cell r="C1352" t="str">
            <v>SMTLOCO1a Qualidade</v>
          </cell>
          <cell r="AC1352">
            <v>5</v>
          </cell>
          <cell r="AE1352">
            <v>33.5</v>
          </cell>
        </row>
        <row r="1353">
          <cell r="C1353" t="str">
            <v>SMTLOCO1a Qualidade</v>
          </cell>
          <cell r="AC1353">
            <v>5</v>
          </cell>
          <cell r="AE1353">
            <v>34.5</v>
          </cell>
        </row>
        <row r="1354">
          <cell r="C1354" t="str">
            <v>SMTLOCO1a Qualidade</v>
          </cell>
          <cell r="AC1354">
            <v>5</v>
          </cell>
          <cell r="AE1354">
            <v>34.5</v>
          </cell>
        </row>
        <row r="1355">
          <cell r="C1355" t="str">
            <v>SMTLOCO1a Qualidade</v>
          </cell>
          <cell r="AC1355">
            <v>1038.5</v>
          </cell>
          <cell r="AE1355">
            <v>10187.685000000001</v>
          </cell>
        </row>
        <row r="1356">
          <cell r="C1356" t="str">
            <v>SMTLOCO1a Qualidade</v>
          </cell>
          <cell r="AC1356">
            <v>503</v>
          </cell>
          <cell r="AE1356">
            <v>4934.43</v>
          </cell>
        </row>
        <row r="1357">
          <cell r="C1357" t="str">
            <v>SMTSANTANA1a Qualidade</v>
          </cell>
          <cell r="AC1357">
            <v>1540.2</v>
          </cell>
          <cell r="AE1357">
            <v>11212.656000000001</v>
          </cell>
        </row>
        <row r="1358">
          <cell r="C1358" t="str">
            <v>SMTLOCODirecionado</v>
          </cell>
          <cell r="AC1358">
            <v>203</v>
          </cell>
          <cell r="AE1358">
            <v>1218</v>
          </cell>
        </row>
        <row r="1359">
          <cell r="C1359" t="str">
            <v>SMTSANTANA1a Qualidade</v>
          </cell>
          <cell r="AC1359">
            <v>11923.9</v>
          </cell>
          <cell r="AE1359">
            <v>71543.399999999994</v>
          </cell>
        </row>
        <row r="1360">
          <cell r="C1360" t="str">
            <v>SMTSANTANA1a Qualidade</v>
          </cell>
          <cell r="AC1360">
            <v>10104.6</v>
          </cell>
          <cell r="AE1360">
            <v>60627.6</v>
          </cell>
        </row>
        <row r="1361">
          <cell r="C1361" t="str">
            <v>SMTSANTANA1a Qualidade</v>
          </cell>
          <cell r="AC1361">
            <v>10168.799999999999</v>
          </cell>
          <cell r="AE1361">
            <v>61012.800000000003</v>
          </cell>
        </row>
        <row r="1362">
          <cell r="C1362" t="str">
            <v>SMTSANTANA1a Qualidade</v>
          </cell>
          <cell r="AC1362">
            <v>9563.4</v>
          </cell>
          <cell r="AE1362">
            <v>57380.4</v>
          </cell>
        </row>
        <row r="1363">
          <cell r="C1363" t="str">
            <v>SMTSANTANA1a Qualidade</v>
          </cell>
          <cell r="AC1363">
            <v>2585.5</v>
          </cell>
          <cell r="AE1363">
            <v>16547.2</v>
          </cell>
        </row>
        <row r="1364">
          <cell r="C1364" t="str">
            <v>SMTSANTANA1a Qualidade</v>
          </cell>
          <cell r="AC1364">
            <v>3126.5</v>
          </cell>
          <cell r="AE1364">
            <v>18759</v>
          </cell>
        </row>
        <row r="1365">
          <cell r="C1365" t="str">
            <v>SMTSANTANA1a Qualidade</v>
          </cell>
          <cell r="AC1365">
            <v>15302</v>
          </cell>
          <cell r="AE1365">
            <v>91812</v>
          </cell>
        </row>
        <row r="1366">
          <cell r="C1366" t="str">
            <v>SMTSANTANA1a Qualidade</v>
          </cell>
          <cell r="AC1366">
            <v>14900.1</v>
          </cell>
          <cell r="AE1366">
            <v>86420.58</v>
          </cell>
        </row>
        <row r="1367">
          <cell r="C1367" t="str">
            <v>SMTSANTANA1a Qualidade</v>
          </cell>
          <cell r="AC1367">
            <v>10092.5</v>
          </cell>
          <cell r="AE1367">
            <v>58536.5</v>
          </cell>
        </row>
        <row r="1368">
          <cell r="C1368" t="str">
            <v>SMTSANTANA1a Qualidade</v>
          </cell>
          <cell r="AC1368">
            <v>6020.3</v>
          </cell>
          <cell r="AE1368">
            <v>36121.800000000003</v>
          </cell>
        </row>
        <row r="1369">
          <cell r="C1369" t="str">
            <v>SMTSANTANA1a Qualidade</v>
          </cell>
          <cell r="AC1369">
            <v>25696.799999999999</v>
          </cell>
          <cell r="AE1369">
            <v>164459.51999999999</v>
          </cell>
        </row>
        <row r="1370">
          <cell r="C1370" t="str">
            <v>SMTSANTANA1a Qualidade</v>
          </cell>
          <cell r="AC1370">
            <v>107</v>
          </cell>
          <cell r="AE1370">
            <v>663.4</v>
          </cell>
        </row>
        <row r="1371">
          <cell r="C1371" t="str">
            <v>SMTSANTANA1a Qualidade</v>
          </cell>
          <cell r="AC1371">
            <v>306.39999999999998</v>
          </cell>
          <cell r="AE1371">
            <v>1991.6</v>
          </cell>
        </row>
        <row r="1372">
          <cell r="C1372" t="str">
            <v>SMTSANTANA1a Qualidade</v>
          </cell>
          <cell r="AC1372">
            <v>705</v>
          </cell>
          <cell r="AE1372">
            <v>4159.5</v>
          </cell>
        </row>
        <row r="1373">
          <cell r="C1373" t="str">
            <v>SMTSANTANADirecionado</v>
          </cell>
          <cell r="AC1373">
            <v>820</v>
          </cell>
          <cell r="AE1373">
            <v>4264</v>
          </cell>
        </row>
        <row r="1374">
          <cell r="C1374" t="str">
            <v>SMTLOCO1a Qualidade</v>
          </cell>
          <cell r="AC1374">
            <v>497.6</v>
          </cell>
          <cell r="AE1374">
            <v>4428.6400000000003</v>
          </cell>
        </row>
        <row r="1375">
          <cell r="C1375" t="str">
            <v>SMTSANTANA1a Qualidade</v>
          </cell>
          <cell r="AC1375">
            <v>316</v>
          </cell>
          <cell r="AE1375">
            <v>2085.6</v>
          </cell>
        </row>
        <row r="1376">
          <cell r="C1376" t="str">
            <v>SMTLOCO1a Qualidade</v>
          </cell>
          <cell r="AC1376">
            <v>210</v>
          </cell>
          <cell r="AE1376">
            <v>1629.6</v>
          </cell>
        </row>
        <row r="1377">
          <cell r="C1377" t="str">
            <v>SMTSANTANA1a Qualidade</v>
          </cell>
          <cell r="AC1377">
            <v>100</v>
          </cell>
          <cell r="AE1377">
            <v>709</v>
          </cell>
        </row>
        <row r="1378">
          <cell r="C1378" t="str">
            <v>SMTSANTANA1a Qualidade</v>
          </cell>
          <cell r="AC1378">
            <v>110.2</v>
          </cell>
          <cell r="AE1378">
            <v>781.31799999999998</v>
          </cell>
        </row>
        <row r="1379">
          <cell r="C1379" t="str">
            <v>SMTSANTANADirecionado</v>
          </cell>
          <cell r="AC1379">
            <v>991.7</v>
          </cell>
          <cell r="AE1379">
            <v>5156.84</v>
          </cell>
        </row>
        <row r="1380">
          <cell r="C1380" t="str">
            <v>SMTLOCO1a Qualidade</v>
          </cell>
          <cell r="AC1380">
            <v>435.1</v>
          </cell>
          <cell r="AE1380">
            <v>3872.39</v>
          </cell>
        </row>
        <row r="1381">
          <cell r="C1381" t="str">
            <v>SMTSANTANA1a Qualidade</v>
          </cell>
          <cell r="AC1381">
            <v>220.4</v>
          </cell>
          <cell r="AE1381">
            <v>1432.6</v>
          </cell>
        </row>
        <row r="1382">
          <cell r="C1382" t="str">
            <v>SMTLOCODirecionado</v>
          </cell>
          <cell r="AC1382">
            <v>553.4</v>
          </cell>
          <cell r="AE1382">
            <v>3320.4</v>
          </cell>
        </row>
        <row r="1383">
          <cell r="C1383" t="str">
            <v>SMTSANTANADirecionado</v>
          </cell>
          <cell r="AC1383">
            <v>5587.3</v>
          </cell>
          <cell r="AE1383">
            <v>27936.5</v>
          </cell>
        </row>
        <row r="1384">
          <cell r="C1384" t="str">
            <v>SMTLOCO1a Qualidade</v>
          </cell>
          <cell r="AC1384">
            <v>107</v>
          </cell>
          <cell r="AE1384">
            <v>971.56</v>
          </cell>
        </row>
        <row r="1385">
          <cell r="C1385" t="str">
            <v>SMTLOCO1a Qualidade</v>
          </cell>
          <cell r="AC1385">
            <v>102.3</v>
          </cell>
          <cell r="AE1385">
            <v>928.88400000000001</v>
          </cell>
        </row>
        <row r="1386">
          <cell r="C1386" t="str">
            <v>SMTLOCO1a Qualidade</v>
          </cell>
          <cell r="AC1386">
            <v>114</v>
          </cell>
          <cell r="AE1386">
            <v>976.98</v>
          </cell>
        </row>
        <row r="1387">
          <cell r="C1387" t="str">
            <v>SMTLOCO1a Qualidade</v>
          </cell>
          <cell r="AC1387">
            <v>94</v>
          </cell>
          <cell r="AE1387">
            <v>805.58</v>
          </cell>
        </row>
        <row r="1388">
          <cell r="C1388" t="str">
            <v>SMTSANTANA1a Qualidade</v>
          </cell>
          <cell r="AC1388">
            <v>1089.5</v>
          </cell>
          <cell r="AE1388">
            <v>6101.2</v>
          </cell>
        </row>
        <row r="1389">
          <cell r="C1389" t="str">
            <v>SMTLOCO1a Qualidade</v>
          </cell>
          <cell r="AC1389">
            <v>132.69999999999999</v>
          </cell>
          <cell r="AE1389">
            <v>1181.03</v>
          </cell>
        </row>
        <row r="1390">
          <cell r="C1390" t="str">
            <v>SMTLOCO1a Qualidade</v>
          </cell>
          <cell r="AC1390">
            <v>130</v>
          </cell>
          <cell r="AE1390">
            <v>1016.6</v>
          </cell>
        </row>
        <row r="1391">
          <cell r="C1391" t="str">
            <v>SMTLOCO1a Qualidade</v>
          </cell>
          <cell r="AC1391">
            <v>130</v>
          </cell>
          <cell r="AE1391">
            <v>1047.8</v>
          </cell>
        </row>
        <row r="1392">
          <cell r="C1392" t="str">
            <v>SMTLOCO1a Qualidade</v>
          </cell>
          <cell r="AC1392">
            <v>140</v>
          </cell>
          <cell r="AE1392">
            <v>1111.5999999999999</v>
          </cell>
        </row>
        <row r="1393">
          <cell r="C1393" t="str">
            <v>SMTLOCO1a Qualidade</v>
          </cell>
          <cell r="AC1393">
            <v>2117.6</v>
          </cell>
          <cell r="AE1393">
            <v>16729.04</v>
          </cell>
        </row>
        <row r="1394">
          <cell r="C1394" t="str">
            <v>SMTLOCO1a Qualidade</v>
          </cell>
          <cell r="AC1394">
            <v>2040.9</v>
          </cell>
          <cell r="AE1394">
            <v>17347.650000000001</v>
          </cell>
        </row>
        <row r="1395">
          <cell r="C1395" t="str">
            <v>SMTLOCO1a Qualidade</v>
          </cell>
          <cell r="AC1395">
            <v>2181.5</v>
          </cell>
          <cell r="AE1395">
            <v>17233.849999999999</v>
          </cell>
        </row>
        <row r="1396">
          <cell r="C1396" t="str">
            <v>SMTLOCO1a Qualidade</v>
          </cell>
          <cell r="AC1396">
            <v>2143.5</v>
          </cell>
          <cell r="AE1396">
            <v>14361.45</v>
          </cell>
        </row>
        <row r="1397">
          <cell r="C1397" t="str">
            <v>SMTLOCO1a Qualidade</v>
          </cell>
          <cell r="AC1397">
            <v>50.5</v>
          </cell>
          <cell r="AE1397">
            <v>437.83499999999998</v>
          </cell>
        </row>
        <row r="1398">
          <cell r="C1398" t="str">
            <v>SMTLOCO1a Qualidade</v>
          </cell>
          <cell r="AC1398">
            <v>55</v>
          </cell>
          <cell r="AE1398">
            <v>394.9</v>
          </cell>
        </row>
        <row r="1399">
          <cell r="C1399" t="str">
            <v>SMTSANTANA1a Qualidade</v>
          </cell>
          <cell r="AC1399">
            <v>305.7</v>
          </cell>
          <cell r="AE1399">
            <v>2139.9</v>
          </cell>
        </row>
        <row r="1400">
          <cell r="C1400" t="str">
            <v>SMTLOCO1a Qualidade</v>
          </cell>
          <cell r="AC1400">
            <v>1628</v>
          </cell>
          <cell r="AE1400">
            <v>10744.8</v>
          </cell>
        </row>
        <row r="1401">
          <cell r="C1401" t="str">
            <v>SMTOE - 100% Algodão1a Qualidade</v>
          </cell>
          <cell r="AC1401">
            <v>22507.85</v>
          </cell>
          <cell r="AE1401">
            <v>174435.83749999999</v>
          </cell>
        </row>
        <row r="1402">
          <cell r="C1402" t="str">
            <v>SMTSANTANA1a Qualidade</v>
          </cell>
          <cell r="AC1402">
            <v>2028.9</v>
          </cell>
          <cell r="AE1402">
            <v>11158.95</v>
          </cell>
        </row>
        <row r="1403">
          <cell r="C1403" t="str">
            <v>SMTSANTANA1a Qualidade</v>
          </cell>
          <cell r="AC1403">
            <v>1023.5</v>
          </cell>
          <cell r="AE1403">
            <v>6345.7</v>
          </cell>
        </row>
        <row r="1404">
          <cell r="C1404" t="str">
            <v>SMTSANTANA1a Qualidade</v>
          </cell>
          <cell r="AC1404">
            <v>4039.3</v>
          </cell>
          <cell r="AE1404">
            <v>25851.52</v>
          </cell>
        </row>
        <row r="1405">
          <cell r="C1405" t="str">
            <v>SMTOE - 100% Algodão1a Qualidade</v>
          </cell>
          <cell r="AC1405">
            <v>22530.65</v>
          </cell>
          <cell r="AE1405">
            <v>158841.08250000002</v>
          </cell>
        </row>
        <row r="1406">
          <cell r="C1406" t="str">
            <v>SMTLOCO1a Qualidade</v>
          </cell>
          <cell r="AC1406">
            <v>2018.4</v>
          </cell>
          <cell r="AE1406">
            <v>14088.432000000001</v>
          </cell>
        </row>
        <row r="1407">
          <cell r="C1407" t="str">
            <v>SMTLOCO1a Qualidade</v>
          </cell>
          <cell r="AC1407">
            <v>1060</v>
          </cell>
          <cell r="AE1407">
            <v>7610.8</v>
          </cell>
        </row>
        <row r="1408">
          <cell r="C1408" t="str">
            <v>SMTSANTANA1a Qualidade</v>
          </cell>
          <cell r="AC1408">
            <v>10052.9</v>
          </cell>
          <cell r="AE1408">
            <v>57301.53</v>
          </cell>
        </row>
        <row r="1409">
          <cell r="C1409" t="str">
            <v>SMTSANTANA1a Qualidade</v>
          </cell>
          <cell r="AC1409">
            <v>1095.5</v>
          </cell>
          <cell r="AE1409">
            <v>6934.5150000000003</v>
          </cell>
        </row>
        <row r="1410">
          <cell r="C1410" t="str">
            <v>SMTOE - 100% Algodão1a Qualidade</v>
          </cell>
          <cell r="AC1410">
            <v>3015.65</v>
          </cell>
          <cell r="AE1410">
            <v>22014.244999999999</v>
          </cell>
        </row>
        <row r="1411">
          <cell r="C1411" t="str">
            <v>SMTSANTANA1a Qualidade</v>
          </cell>
          <cell r="AC1411">
            <v>980</v>
          </cell>
          <cell r="AE1411">
            <v>6174</v>
          </cell>
        </row>
        <row r="1412">
          <cell r="C1412" t="str">
            <v>SMTSANTANA1a Qualidade</v>
          </cell>
          <cell r="AC1412">
            <v>1940.8</v>
          </cell>
          <cell r="AE1412">
            <v>11838.88</v>
          </cell>
        </row>
        <row r="1413">
          <cell r="C1413" t="str">
            <v>SMTSANTANA1a Qualidade</v>
          </cell>
          <cell r="AC1413">
            <v>759.4</v>
          </cell>
          <cell r="AE1413">
            <v>4958.8819999999996</v>
          </cell>
        </row>
        <row r="1414">
          <cell r="C1414" t="str">
            <v>SMTSANTANA1a Qualidade</v>
          </cell>
          <cell r="AC1414">
            <v>1636</v>
          </cell>
          <cell r="AE1414">
            <v>9325.2000000000007</v>
          </cell>
        </row>
        <row r="1415">
          <cell r="C1415" t="str">
            <v>SMTSANTANA1a Qualidade</v>
          </cell>
          <cell r="AC1415">
            <v>1757.8</v>
          </cell>
          <cell r="AE1415">
            <v>10019.459999999999</v>
          </cell>
        </row>
        <row r="1416">
          <cell r="C1416" t="str">
            <v>SMTLOCO1a Qualidade</v>
          </cell>
          <cell r="AC1416">
            <v>96.4</v>
          </cell>
          <cell r="AE1416">
            <v>510.92</v>
          </cell>
        </row>
        <row r="1417">
          <cell r="C1417" t="str">
            <v>SMTLOCO1a Qualidade</v>
          </cell>
          <cell r="AC1417">
            <v>118.8</v>
          </cell>
          <cell r="AE1417">
            <v>855.36</v>
          </cell>
        </row>
        <row r="1418">
          <cell r="C1418" t="str">
            <v>SMTSANTANA1a Qualidade</v>
          </cell>
          <cell r="AC1418">
            <v>50.7</v>
          </cell>
          <cell r="AE1418">
            <v>268.70999999999998</v>
          </cell>
        </row>
        <row r="1419">
          <cell r="C1419" t="str">
            <v>SMTLOCO1a Qualidade</v>
          </cell>
          <cell r="AC1419">
            <v>103.9</v>
          </cell>
          <cell r="AE1419">
            <v>837.43400000000008</v>
          </cell>
        </row>
        <row r="1420">
          <cell r="C1420" t="str">
            <v>SMTSANTANA1a Qualidade</v>
          </cell>
          <cell r="AC1420">
            <v>2066.8000000000002</v>
          </cell>
          <cell r="AE1420">
            <v>10334</v>
          </cell>
        </row>
        <row r="1421">
          <cell r="C1421" t="str">
            <v>SMTLOCO1a Qualidade</v>
          </cell>
          <cell r="AC1421">
            <v>51.6</v>
          </cell>
          <cell r="AE1421">
            <v>370.488</v>
          </cell>
        </row>
        <row r="1422">
          <cell r="C1422" t="str">
            <v>SMTOE - 100% Algodão1a Qualidade</v>
          </cell>
          <cell r="AC1422">
            <v>11522.96</v>
          </cell>
          <cell r="AE1422">
            <v>87459.266399999993</v>
          </cell>
        </row>
        <row r="1423">
          <cell r="C1423" t="str">
            <v>SMTOE - 100% Algodão1a Qualidade</v>
          </cell>
          <cell r="AC1423">
            <v>11526.65</v>
          </cell>
          <cell r="AE1423">
            <v>87487.273499999996</v>
          </cell>
        </row>
        <row r="1424">
          <cell r="C1424" t="str">
            <v>SMTOE - 100% Algodão1a Qualidade</v>
          </cell>
          <cell r="AC1424">
            <v>5014.25</v>
          </cell>
          <cell r="AE1424">
            <v>36604.025000000001</v>
          </cell>
        </row>
        <row r="1425">
          <cell r="C1425" t="str">
            <v>SMTSANTANA1a Qualidade</v>
          </cell>
          <cell r="AC1425">
            <v>380</v>
          </cell>
          <cell r="AE1425">
            <v>2470</v>
          </cell>
        </row>
        <row r="1426">
          <cell r="C1426" t="str">
            <v>SMTLOCO1a Qualidade</v>
          </cell>
          <cell r="AC1426">
            <v>10071.1</v>
          </cell>
          <cell r="AE1426">
            <v>66469.259999999995</v>
          </cell>
        </row>
        <row r="1427">
          <cell r="C1427" t="str">
            <v>SMTLOCO1a Qualidade</v>
          </cell>
          <cell r="AC1427">
            <v>3773</v>
          </cell>
          <cell r="AE1427">
            <v>29806.7</v>
          </cell>
        </row>
        <row r="1428">
          <cell r="C1428" t="str">
            <v>SMTLOCO1a Qualidade</v>
          </cell>
          <cell r="AC1428">
            <v>1999.9</v>
          </cell>
          <cell r="AE1428">
            <v>13799.31</v>
          </cell>
        </row>
        <row r="1429">
          <cell r="C1429" t="str">
            <v>SMTLOCO1a Qualidade</v>
          </cell>
          <cell r="AC1429">
            <v>224.9</v>
          </cell>
          <cell r="AE1429">
            <v>1776.71</v>
          </cell>
        </row>
        <row r="1430">
          <cell r="C1430" t="str">
            <v>SMTSANTANA1a Qualidade</v>
          </cell>
          <cell r="AC1430">
            <v>2097.6999999999998</v>
          </cell>
          <cell r="AE1430">
            <v>13425.28</v>
          </cell>
        </row>
        <row r="1431">
          <cell r="C1431" t="str">
            <v>SMTLOCO1a Qualidade</v>
          </cell>
          <cell r="AC1431">
            <v>1960.5</v>
          </cell>
          <cell r="AE1431">
            <v>15487.95</v>
          </cell>
        </row>
        <row r="1432">
          <cell r="C1432" t="str">
            <v>SMTSANTANA1a Qualidade</v>
          </cell>
          <cell r="AC1432">
            <v>480</v>
          </cell>
          <cell r="AE1432">
            <v>3072</v>
          </cell>
        </row>
        <row r="1433">
          <cell r="C1433" t="str">
            <v>SMTLOCO1a Qualidade</v>
          </cell>
          <cell r="AC1433">
            <v>573.1</v>
          </cell>
          <cell r="AE1433">
            <v>4475.9110000000001</v>
          </cell>
        </row>
        <row r="1434">
          <cell r="C1434" t="str">
            <v>SMTSANTANA1a Qualidade</v>
          </cell>
          <cell r="AC1434">
            <v>650</v>
          </cell>
          <cell r="AE1434">
            <v>4160</v>
          </cell>
        </row>
        <row r="1435">
          <cell r="C1435" t="str">
            <v>SMTSANTANA1a Qualidade</v>
          </cell>
          <cell r="AC1435">
            <v>95.8</v>
          </cell>
          <cell r="AE1435">
            <v>665.81</v>
          </cell>
        </row>
        <row r="1436">
          <cell r="C1436" t="str">
            <v>SMTSANTANA1a Qualidade</v>
          </cell>
          <cell r="AC1436">
            <v>455.9</v>
          </cell>
          <cell r="AE1436">
            <v>2416.27</v>
          </cell>
        </row>
        <row r="1437">
          <cell r="C1437" t="str">
            <v>SMTSANTANADirecionado</v>
          </cell>
          <cell r="AC1437">
            <v>1043.8</v>
          </cell>
          <cell r="AE1437">
            <v>5427.76</v>
          </cell>
        </row>
        <row r="1438">
          <cell r="C1438" t="str">
            <v>SMTSANTANA1a Qualidade</v>
          </cell>
          <cell r="AC1438">
            <v>1995</v>
          </cell>
          <cell r="AE1438">
            <v>11970</v>
          </cell>
        </row>
        <row r="1439">
          <cell r="C1439" t="str">
            <v>SMTSANTANA1a Qualidade</v>
          </cell>
          <cell r="AC1439">
            <v>2075</v>
          </cell>
          <cell r="AE1439">
            <v>12450</v>
          </cell>
        </row>
        <row r="1440">
          <cell r="C1440" t="str">
            <v>SMTSANTANA1a Qualidade</v>
          </cell>
          <cell r="AC1440">
            <v>409.2</v>
          </cell>
          <cell r="AE1440">
            <v>2496.12</v>
          </cell>
        </row>
        <row r="1441">
          <cell r="C1441" t="str">
            <v>SMTSANTANA1a Qualidade</v>
          </cell>
          <cell r="AC1441">
            <v>405</v>
          </cell>
          <cell r="AE1441">
            <v>2511</v>
          </cell>
        </row>
        <row r="1442">
          <cell r="C1442" t="str">
            <v>SMTSANTANA1a Qualidade</v>
          </cell>
          <cell r="AC1442">
            <v>227</v>
          </cell>
          <cell r="AE1442">
            <v>1452.8</v>
          </cell>
        </row>
        <row r="1443">
          <cell r="C1443" t="str">
            <v>SMTSANTANA1a Qualidade</v>
          </cell>
          <cell r="AC1443">
            <v>228</v>
          </cell>
          <cell r="AE1443">
            <v>1459.2</v>
          </cell>
        </row>
        <row r="1444">
          <cell r="C1444" t="str">
            <v>SMTSANTANA1a Qualidade</v>
          </cell>
          <cell r="AC1444">
            <v>1040</v>
          </cell>
          <cell r="AE1444">
            <v>6084</v>
          </cell>
        </row>
        <row r="1445">
          <cell r="C1445" t="str">
            <v>SMTSANTANA1a Qualidade</v>
          </cell>
          <cell r="AC1445">
            <v>1010.2</v>
          </cell>
          <cell r="AE1445">
            <v>6263.24</v>
          </cell>
        </row>
        <row r="1446">
          <cell r="C1446" t="str">
            <v>SMTSANTANA1a Qualidade</v>
          </cell>
          <cell r="AC1446">
            <v>137</v>
          </cell>
          <cell r="AE1446">
            <v>890.5</v>
          </cell>
        </row>
        <row r="1447">
          <cell r="C1447" t="str">
            <v>SMTSANTANA1a Qualidade</v>
          </cell>
          <cell r="AC1447">
            <v>140</v>
          </cell>
          <cell r="AE1447">
            <v>980</v>
          </cell>
        </row>
        <row r="1448">
          <cell r="C1448" t="str">
            <v>SMTBRIM1a Qualidade</v>
          </cell>
          <cell r="AC1448">
            <v>600</v>
          </cell>
          <cell r="AE1448">
            <v>1320</v>
          </cell>
        </row>
        <row r="1449">
          <cell r="C1449" t="str">
            <v>SMTLOCO1a Qualidade</v>
          </cell>
          <cell r="AC1449">
            <v>301.3</v>
          </cell>
          <cell r="AE1449">
            <v>1807.8</v>
          </cell>
        </row>
        <row r="1450">
          <cell r="C1450" t="str">
            <v>SMTLOCO1a Qualidade</v>
          </cell>
          <cell r="AC1450">
            <v>299.10000000000002</v>
          </cell>
          <cell r="AE1450">
            <v>1794.6</v>
          </cell>
        </row>
        <row r="1451">
          <cell r="C1451" t="str">
            <v>SMTLOCO1a Qualidade</v>
          </cell>
          <cell r="AC1451">
            <v>427.3</v>
          </cell>
          <cell r="AE1451">
            <v>2563.8000000000002</v>
          </cell>
        </row>
        <row r="1452">
          <cell r="C1452" t="str">
            <v>SMTLOCO1a Qualidade</v>
          </cell>
          <cell r="AC1452">
            <v>3047.5</v>
          </cell>
          <cell r="AE1452">
            <v>21881.05</v>
          </cell>
        </row>
        <row r="1453">
          <cell r="C1453" t="str">
            <v>SMTSANTANA1a Qualidade</v>
          </cell>
          <cell r="AC1453">
            <v>2519.4</v>
          </cell>
          <cell r="AE1453">
            <v>13856.7</v>
          </cell>
        </row>
        <row r="1454">
          <cell r="C1454" t="str">
            <v>SMTSANTANA1a Qualidade</v>
          </cell>
          <cell r="AC1454">
            <v>2533</v>
          </cell>
          <cell r="AE1454">
            <v>13931.5</v>
          </cell>
        </row>
        <row r="1455">
          <cell r="C1455" t="str">
            <v>SMTSANTANA1a Qualidade</v>
          </cell>
          <cell r="AC1455">
            <v>2559.6999999999998</v>
          </cell>
          <cell r="AE1455">
            <v>14078.35</v>
          </cell>
        </row>
        <row r="1456">
          <cell r="C1456" t="str">
            <v>SMTSANTANA1a Qualidade</v>
          </cell>
          <cell r="AC1456">
            <v>2608.4</v>
          </cell>
          <cell r="AE1456">
            <v>14346.2</v>
          </cell>
        </row>
        <row r="1457">
          <cell r="C1457" t="str">
            <v>SMTSANTANA1a Qualidade</v>
          </cell>
          <cell r="AC1457">
            <v>260</v>
          </cell>
          <cell r="AE1457">
            <v>1664</v>
          </cell>
        </row>
        <row r="1458">
          <cell r="C1458" t="str">
            <v>SMTSANTANA1a Qualidade</v>
          </cell>
          <cell r="AC1458">
            <v>9849.7999999999993</v>
          </cell>
          <cell r="AE1458">
            <v>56143.86</v>
          </cell>
        </row>
        <row r="1459">
          <cell r="C1459" t="str">
            <v>SMTSANTANA1a Qualidade</v>
          </cell>
          <cell r="AC1459">
            <v>40948.9</v>
          </cell>
          <cell r="AE1459">
            <v>233408.73</v>
          </cell>
        </row>
        <row r="1460">
          <cell r="C1460" t="str">
            <v>SMTSANTANA1a Qualidade</v>
          </cell>
          <cell r="AC1460">
            <v>20441.2</v>
          </cell>
          <cell r="AE1460">
            <v>116514.84</v>
          </cell>
        </row>
        <row r="1461">
          <cell r="C1461" t="str">
            <v>SMTSANTANA1a Qualidade</v>
          </cell>
          <cell r="AC1461">
            <v>2012.5</v>
          </cell>
          <cell r="AE1461">
            <v>10867.5</v>
          </cell>
        </row>
        <row r="1462">
          <cell r="C1462" t="str">
            <v>SMTSANTANA1a Qualidade</v>
          </cell>
          <cell r="AC1462">
            <v>2628.1</v>
          </cell>
          <cell r="AE1462">
            <v>14454.55</v>
          </cell>
        </row>
        <row r="1463">
          <cell r="C1463" t="str">
            <v>SMTSANTANA1a Qualidade</v>
          </cell>
          <cell r="AC1463">
            <v>2412.6999999999998</v>
          </cell>
          <cell r="AE1463">
            <v>13269.85</v>
          </cell>
        </row>
        <row r="1464">
          <cell r="C1464" t="str">
            <v>SMTSANTANA1a Qualidade</v>
          </cell>
          <cell r="AC1464">
            <v>1581</v>
          </cell>
          <cell r="AE1464">
            <v>11351.58</v>
          </cell>
        </row>
        <row r="1465">
          <cell r="C1465" t="str">
            <v>SMTSANTANA1a Qualidade</v>
          </cell>
          <cell r="AC1465">
            <v>100</v>
          </cell>
          <cell r="AE1465">
            <v>640</v>
          </cell>
        </row>
        <row r="1466">
          <cell r="C1466" t="str">
            <v>SMTOE - 100% Algodão1a Qualidade</v>
          </cell>
          <cell r="AC1466">
            <v>3031.3</v>
          </cell>
          <cell r="AE1466">
            <v>20309.71</v>
          </cell>
        </row>
        <row r="1467">
          <cell r="C1467" t="str">
            <v>SMTLOCO1a Qualidade</v>
          </cell>
          <cell r="AC1467">
            <v>949.9</v>
          </cell>
          <cell r="AE1467">
            <v>6459.32</v>
          </cell>
        </row>
        <row r="1468">
          <cell r="C1468" t="str">
            <v>SMTLOCO1a Qualidade</v>
          </cell>
          <cell r="AC1468">
            <v>1535.8</v>
          </cell>
          <cell r="AE1468">
            <v>11057.76</v>
          </cell>
        </row>
        <row r="1469">
          <cell r="C1469" t="str">
            <v>SMTLOCO1a Qualidade</v>
          </cell>
          <cell r="AC1469">
            <v>2117</v>
          </cell>
          <cell r="AE1469">
            <v>14183.9</v>
          </cell>
        </row>
        <row r="1470">
          <cell r="C1470" t="str">
            <v>SMTSANTANA1a Qualidade</v>
          </cell>
          <cell r="AC1470">
            <v>481.7</v>
          </cell>
          <cell r="AE1470">
            <v>2890.2</v>
          </cell>
        </row>
        <row r="1471">
          <cell r="C1471" t="str">
            <v>SMTSANTANA1a Qualidade</v>
          </cell>
          <cell r="AC1471">
            <v>439</v>
          </cell>
          <cell r="AE1471">
            <v>2853.5</v>
          </cell>
        </row>
        <row r="1472">
          <cell r="C1472" t="str">
            <v>SMTLOCO1a Qualidade</v>
          </cell>
          <cell r="AC1472">
            <v>152</v>
          </cell>
          <cell r="AE1472">
            <v>1188.6400000000001</v>
          </cell>
        </row>
        <row r="1473">
          <cell r="C1473" t="str">
            <v>SMTSANTANA1a Qualidade</v>
          </cell>
          <cell r="AC1473">
            <v>1091.4000000000001</v>
          </cell>
          <cell r="AE1473">
            <v>7105.0140000000001</v>
          </cell>
        </row>
        <row r="1474">
          <cell r="C1474" t="str">
            <v>SMTLOCO1a Qualidade</v>
          </cell>
          <cell r="AC1474">
            <v>25.2</v>
          </cell>
          <cell r="AE1474">
            <v>183.96</v>
          </cell>
        </row>
        <row r="1475">
          <cell r="C1475" t="str">
            <v>SMTLOCO1a Qualidade</v>
          </cell>
          <cell r="AC1475">
            <v>1964.7</v>
          </cell>
          <cell r="AE1475">
            <v>13163.49</v>
          </cell>
        </row>
        <row r="1476">
          <cell r="C1476" t="str">
            <v>SMTSANTANA1a Qualidade</v>
          </cell>
          <cell r="AC1476">
            <v>106.5</v>
          </cell>
          <cell r="AE1476">
            <v>734.85</v>
          </cell>
        </row>
        <row r="1477">
          <cell r="C1477" t="str">
            <v>SMTLOCO1a Qualidade</v>
          </cell>
          <cell r="AC1477">
            <v>30</v>
          </cell>
          <cell r="AE1477">
            <v>255</v>
          </cell>
        </row>
        <row r="1478">
          <cell r="C1478" t="str">
            <v>SMTSANTANA1a Qualidade</v>
          </cell>
          <cell r="AC1478">
            <v>30</v>
          </cell>
          <cell r="AE1478">
            <v>198.3</v>
          </cell>
        </row>
        <row r="1479">
          <cell r="C1479" t="str">
            <v>SMTOE - 100% Algodão1a Qualidade</v>
          </cell>
          <cell r="AC1479">
            <v>1022.95</v>
          </cell>
          <cell r="AE1479">
            <v>7467.5349999999999</v>
          </cell>
        </row>
        <row r="1480">
          <cell r="C1480" t="str">
            <v>SMTLOCO1a Qualidade</v>
          </cell>
          <cell r="AC1480">
            <v>20</v>
          </cell>
          <cell r="AE1480">
            <v>140</v>
          </cell>
        </row>
        <row r="1481">
          <cell r="C1481" t="str">
            <v>SMTLOCO1a Qualidade</v>
          </cell>
          <cell r="AC1481">
            <v>280</v>
          </cell>
          <cell r="AE1481">
            <v>2083.1999999999998</v>
          </cell>
        </row>
        <row r="1482">
          <cell r="C1482" t="str">
            <v>SMTSANTANA1a Qualidade</v>
          </cell>
          <cell r="AC1482">
            <v>1036.4000000000001</v>
          </cell>
          <cell r="AE1482">
            <v>6425.68</v>
          </cell>
        </row>
        <row r="1483">
          <cell r="C1483" t="str">
            <v>SMTSANTANA1a Qualidade</v>
          </cell>
          <cell r="AC1483">
            <v>1038.4000000000001</v>
          </cell>
          <cell r="AE1483">
            <v>6438.08</v>
          </cell>
        </row>
        <row r="1484">
          <cell r="C1484" t="str">
            <v>SMTSANTANA1a Qualidade</v>
          </cell>
          <cell r="AC1484">
            <v>114.6</v>
          </cell>
          <cell r="AE1484">
            <v>618.84</v>
          </cell>
        </row>
        <row r="1485">
          <cell r="C1485" t="str">
            <v>SMTSANTANA1a Qualidade</v>
          </cell>
          <cell r="AC1485">
            <v>1390.6</v>
          </cell>
          <cell r="AE1485">
            <v>7231.12</v>
          </cell>
        </row>
        <row r="1486">
          <cell r="C1486" t="str">
            <v>SMTLOCO1a Qualidade</v>
          </cell>
          <cell r="AC1486">
            <v>482.2</v>
          </cell>
          <cell r="AE1486">
            <v>4180.674</v>
          </cell>
        </row>
        <row r="1487">
          <cell r="C1487" t="str">
            <v>SMTLOCO1a Qualidade</v>
          </cell>
          <cell r="AC1487">
            <v>360</v>
          </cell>
          <cell r="AE1487">
            <v>2584.8000000000002</v>
          </cell>
        </row>
        <row r="1488">
          <cell r="C1488" t="str">
            <v>SMTLOCO1a Qualidade</v>
          </cell>
          <cell r="AC1488">
            <v>5089.7</v>
          </cell>
          <cell r="AE1488">
            <v>35118.93</v>
          </cell>
        </row>
        <row r="1489">
          <cell r="C1489" t="str">
            <v>SMTLOCO1a Qualidade</v>
          </cell>
          <cell r="AC1489">
            <v>143.9</v>
          </cell>
          <cell r="AE1489">
            <v>1223.1500000000001</v>
          </cell>
        </row>
        <row r="1490">
          <cell r="C1490" t="str">
            <v>SMTSANTANA1a Qualidade</v>
          </cell>
          <cell r="AC1490">
            <v>513</v>
          </cell>
          <cell r="AE1490">
            <v>3231.9</v>
          </cell>
        </row>
        <row r="1491">
          <cell r="C1491" t="str">
            <v>SMTLOCO1a Qualidade</v>
          </cell>
          <cell r="AC1491">
            <v>16.100000000000001</v>
          </cell>
          <cell r="AE1491">
            <v>101.43</v>
          </cell>
        </row>
        <row r="1492">
          <cell r="C1492" t="str">
            <v>SMTSANTANA1a Qualidade</v>
          </cell>
          <cell r="AC1492">
            <v>52</v>
          </cell>
          <cell r="AE1492">
            <v>307.83999999999997</v>
          </cell>
        </row>
        <row r="1493">
          <cell r="C1493" t="str">
            <v>SMTSANTANA1a Qualidade</v>
          </cell>
          <cell r="AC1493">
            <v>637.4</v>
          </cell>
          <cell r="AE1493">
            <v>4079.36</v>
          </cell>
        </row>
        <row r="1494">
          <cell r="C1494" t="str">
            <v>SMTSANTANA1a Qualidade</v>
          </cell>
          <cell r="AC1494">
            <v>541</v>
          </cell>
          <cell r="AE1494">
            <v>2829.43</v>
          </cell>
        </row>
        <row r="1495">
          <cell r="C1495" t="str">
            <v>SMTLOCO1a Qualidade</v>
          </cell>
          <cell r="AC1495">
            <v>140</v>
          </cell>
          <cell r="AE1495">
            <v>1061.2</v>
          </cell>
        </row>
        <row r="1496">
          <cell r="C1496" t="str">
            <v>SMTLOCO1a Qualidade</v>
          </cell>
          <cell r="AC1496">
            <v>206</v>
          </cell>
          <cell r="AE1496">
            <v>1479.08</v>
          </cell>
        </row>
        <row r="1497">
          <cell r="C1497" t="str">
            <v>SMTLOCO1a Qualidade</v>
          </cell>
          <cell r="AC1497">
            <v>261.60000000000002</v>
          </cell>
          <cell r="AE1497">
            <v>2129.4240000000004</v>
          </cell>
        </row>
        <row r="1498">
          <cell r="C1498" t="str">
            <v>SMTLOCO1a Qualidade</v>
          </cell>
          <cell r="AC1498">
            <v>140</v>
          </cell>
          <cell r="AE1498">
            <v>1061.2</v>
          </cell>
        </row>
        <row r="1499">
          <cell r="C1499" t="str">
            <v>SMTLOCO1a Qualidade</v>
          </cell>
          <cell r="AC1499">
            <v>132.30000000000001</v>
          </cell>
          <cell r="AE1499">
            <v>908.90100000000007</v>
          </cell>
        </row>
        <row r="1500">
          <cell r="C1500" t="str">
            <v>SMTSANTANA1a Qualidade</v>
          </cell>
          <cell r="AC1500">
            <v>10506.3</v>
          </cell>
          <cell r="AE1500">
            <v>59885.91</v>
          </cell>
        </row>
        <row r="1501">
          <cell r="C1501" t="str">
            <v>SMTLOCODirecionado</v>
          </cell>
          <cell r="AC1501">
            <v>421.7</v>
          </cell>
          <cell r="AE1501">
            <v>2530.1999999999998</v>
          </cell>
        </row>
        <row r="1502">
          <cell r="C1502" t="str">
            <v>SMTLOCODirecionado</v>
          </cell>
          <cell r="AC1502">
            <v>1000.9</v>
          </cell>
          <cell r="AE1502">
            <v>6005.4</v>
          </cell>
        </row>
        <row r="1503">
          <cell r="C1503" t="str">
            <v>SMTLOCODirecionado</v>
          </cell>
          <cell r="AC1503">
            <v>1174.5</v>
          </cell>
          <cell r="AE1503">
            <v>7047</v>
          </cell>
        </row>
        <row r="1504">
          <cell r="C1504" t="str">
            <v>SMTSANTANADirecionado</v>
          </cell>
          <cell r="AC1504">
            <v>923.5</v>
          </cell>
          <cell r="AE1504">
            <v>4894.55</v>
          </cell>
        </row>
        <row r="1505">
          <cell r="C1505" t="str">
            <v>SMTSANTANA1a Qualidade</v>
          </cell>
          <cell r="AC1505">
            <v>1040</v>
          </cell>
          <cell r="AE1505">
            <v>6240</v>
          </cell>
        </row>
        <row r="1506">
          <cell r="C1506" t="str">
            <v>SMTSANTANADirecionado</v>
          </cell>
          <cell r="AC1506">
            <v>5232.8</v>
          </cell>
          <cell r="AE1506">
            <v>27733.84</v>
          </cell>
        </row>
        <row r="1507">
          <cell r="C1507" t="str">
            <v>SMTSANTANA1a Qualidade</v>
          </cell>
          <cell r="AC1507">
            <v>3003</v>
          </cell>
          <cell r="AE1507">
            <v>18768.75</v>
          </cell>
        </row>
        <row r="1508">
          <cell r="C1508" t="str">
            <v>SMTSANTANA1a Qualidade</v>
          </cell>
          <cell r="AC1508">
            <v>2856</v>
          </cell>
          <cell r="AE1508">
            <v>17850</v>
          </cell>
        </row>
        <row r="1509">
          <cell r="C1509" t="str">
            <v>SMTSANTANA1a Qualidade</v>
          </cell>
          <cell r="AC1509">
            <v>1002.2</v>
          </cell>
          <cell r="AE1509">
            <v>6013.2</v>
          </cell>
        </row>
        <row r="1510">
          <cell r="C1510" t="str">
            <v>SMTSANTANA1a Qualidade</v>
          </cell>
          <cell r="AC1510">
            <v>1025.2</v>
          </cell>
          <cell r="AE1510">
            <v>6356.24</v>
          </cell>
        </row>
        <row r="1511">
          <cell r="C1511" t="str">
            <v>SMTSANTANA1a Qualidade</v>
          </cell>
          <cell r="AC1511">
            <v>800</v>
          </cell>
          <cell r="AE1511">
            <v>4800</v>
          </cell>
        </row>
        <row r="1512">
          <cell r="C1512" t="str">
            <v>SMTSANTANA1a Qualidade</v>
          </cell>
          <cell r="AC1512">
            <v>1005.6</v>
          </cell>
          <cell r="AE1512">
            <v>6435.84</v>
          </cell>
        </row>
        <row r="1513">
          <cell r="C1513" t="str">
            <v>SMTSANTANA1a Qualidade</v>
          </cell>
          <cell r="AC1513">
            <v>5590.6</v>
          </cell>
          <cell r="AE1513">
            <v>33599.506000000001</v>
          </cell>
        </row>
        <row r="1514">
          <cell r="C1514" t="str">
            <v>SMTSANTANA1a Qualidade</v>
          </cell>
          <cell r="AC1514">
            <v>1028</v>
          </cell>
          <cell r="AE1514">
            <v>5551.2</v>
          </cell>
        </row>
        <row r="1515">
          <cell r="C1515" t="str">
            <v>SMTSANTANA1a Qualidade</v>
          </cell>
          <cell r="AC1515">
            <v>1061.5</v>
          </cell>
          <cell r="AE1515">
            <v>5732.1</v>
          </cell>
        </row>
        <row r="1516">
          <cell r="C1516" t="str">
            <v>SMTSANTANA1a Qualidade</v>
          </cell>
          <cell r="AC1516">
            <v>717.7</v>
          </cell>
          <cell r="AE1516">
            <v>5569.3519999999999</v>
          </cell>
        </row>
        <row r="1517">
          <cell r="C1517" t="str">
            <v>SMTLOCO1a Qualidade</v>
          </cell>
          <cell r="AC1517">
            <v>290.10000000000002</v>
          </cell>
          <cell r="AE1517">
            <v>1885.65</v>
          </cell>
        </row>
        <row r="1518">
          <cell r="C1518" t="str">
            <v>SMTSANTANA1a Qualidade</v>
          </cell>
          <cell r="AC1518">
            <v>2941.2</v>
          </cell>
          <cell r="AE1518">
            <v>17500.14</v>
          </cell>
        </row>
        <row r="1519">
          <cell r="C1519" t="str">
            <v>SMTLOCO1a Qualidade</v>
          </cell>
          <cell r="AC1519">
            <v>1536.9</v>
          </cell>
          <cell r="AE1519">
            <v>13063.65</v>
          </cell>
        </row>
        <row r="1520">
          <cell r="C1520" t="str">
            <v>SMTLOCO1a Qualidade</v>
          </cell>
          <cell r="AC1520">
            <v>1998.9</v>
          </cell>
          <cell r="AE1520">
            <v>16990.650000000001</v>
          </cell>
        </row>
        <row r="1521">
          <cell r="C1521" t="str">
            <v>SMTLOCO1a Qualidade</v>
          </cell>
          <cell r="AC1521">
            <v>10</v>
          </cell>
          <cell r="AE1521">
            <v>89</v>
          </cell>
        </row>
        <row r="1522">
          <cell r="C1522" t="str">
            <v>SMTLOCO1a Qualidade</v>
          </cell>
          <cell r="AC1522">
            <v>10</v>
          </cell>
          <cell r="AE1522">
            <v>89</v>
          </cell>
        </row>
        <row r="1523">
          <cell r="C1523" t="str">
            <v>SMTLOCO1a Qualidade</v>
          </cell>
          <cell r="AC1523">
            <v>10</v>
          </cell>
          <cell r="AE1523">
            <v>94</v>
          </cell>
        </row>
        <row r="1524">
          <cell r="C1524" t="str">
            <v>SMTLOCO1a Qualidade</v>
          </cell>
          <cell r="AC1524">
            <v>10</v>
          </cell>
          <cell r="AE1524">
            <v>94</v>
          </cell>
        </row>
        <row r="1525">
          <cell r="C1525" t="str">
            <v>SMTLOCO1a Qualidade</v>
          </cell>
          <cell r="AC1525">
            <v>5269.9</v>
          </cell>
          <cell r="AE1525">
            <v>34254.35</v>
          </cell>
        </row>
        <row r="1526">
          <cell r="C1526" t="str">
            <v>SMTLOCO1a Qualidade</v>
          </cell>
          <cell r="AC1526">
            <v>1006</v>
          </cell>
          <cell r="AE1526">
            <v>6710.02</v>
          </cell>
        </row>
        <row r="1527">
          <cell r="C1527" t="str">
            <v>SMTSANTANA1a Qualidade</v>
          </cell>
          <cell r="AC1527">
            <v>3160.2</v>
          </cell>
          <cell r="AE1527">
            <v>18961.2</v>
          </cell>
        </row>
        <row r="1528">
          <cell r="C1528" t="str">
            <v>SMTSANTANADirecionado</v>
          </cell>
          <cell r="AC1528">
            <v>457.5</v>
          </cell>
          <cell r="AE1528">
            <v>2424.75</v>
          </cell>
        </row>
        <row r="1529">
          <cell r="C1529" t="str">
            <v>SMTLOCO1a Qualidade</v>
          </cell>
          <cell r="AC1529">
            <v>1044</v>
          </cell>
          <cell r="AE1529">
            <v>6786</v>
          </cell>
        </row>
        <row r="1530">
          <cell r="C1530" t="str">
            <v>SMTLOCO1a Qualidade</v>
          </cell>
          <cell r="AC1530">
            <v>534</v>
          </cell>
          <cell r="AE1530">
            <v>3471</v>
          </cell>
        </row>
        <row r="1531">
          <cell r="C1531" t="str">
            <v>SMTLOCO1a Qualidade</v>
          </cell>
          <cell r="AC1531">
            <v>10</v>
          </cell>
          <cell r="AE1531">
            <v>78.2</v>
          </cell>
        </row>
        <row r="1532">
          <cell r="C1532" t="str">
            <v>SMTLOCO1a Qualidade</v>
          </cell>
          <cell r="AC1532">
            <v>10</v>
          </cell>
          <cell r="AE1532">
            <v>94</v>
          </cell>
        </row>
        <row r="1533">
          <cell r="C1533" t="str">
            <v>SMTLOCO1a Qualidade</v>
          </cell>
          <cell r="AC1533">
            <v>10</v>
          </cell>
          <cell r="AE1533">
            <v>76</v>
          </cell>
        </row>
        <row r="1534">
          <cell r="C1534" t="str">
            <v>SMTLOCO1a Qualidade</v>
          </cell>
          <cell r="AC1534">
            <v>10</v>
          </cell>
          <cell r="AE1534">
            <v>94</v>
          </cell>
        </row>
        <row r="1535">
          <cell r="C1535" t="str">
            <v>SMTLOCO1a Qualidade</v>
          </cell>
          <cell r="AC1535">
            <v>10</v>
          </cell>
          <cell r="AE1535">
            <v>94</v>
          </cell>
        </row>
        <row r="1536">
          <cell r="C1536" t="str">
            <v>SMTSANTANA1a Qualidade</v>
          </cell>
          <cell r="AC1536">
            <v>100</v>
          </cell>
          <cell r="AE1536">
            <v>634</v>
          </cell>
        </row>
        <row r="1537">
          <cell r="C1537" t="str">
            <v>SMTLOCO1a Qualidade</v>
          </cell>
          <cell r="AC1537">
            <v>375.2</v>
          </cell>
          <cell r="AE1537">
            <v>3339.28</v>
          </cell>
        </row>
        <row r="1538">
          <cell r="C1538" t="str">
            <v>SMTLOCO1a Qualidade</v>
          </cell>
          <cell r="AC1538">
            <v>265.10000000000002</v>
          </cell>
          <cell r="AE1538">
            <v>2224.1890000000003</v>
          </cell>
        </row>
        <row r="1539">
          <cell r="C1539" t="str">
            <v>SMTLOCO1a Qualidade</v>
          </cell>
          <cell r="AC1539">
            <v>127</v>
          </cell>
          <cell r="AE1539">
            <v>984.25</v>
          </cell>
        </row>
        <row r="1540">
          <cell r="C1540" t="str">
            <v>SMTLOCO1a Qualidade</v>
          </cell>
          <cell r="AC1540">
            <v>351.8</v>
          </cell>
          <cell r="AE1540">
            <v>2005.26</v>
          </cell>
        </row>
        <row r="1541">
          <cell r="C1541" t="str">
            <v>SMTLOCO1a Qualidade</v>
          </cell>
          <cell r="AC1541">
            <v>119.9</v>
          </cell>
          <cell r="AE1541">
            <v>683.43</v>
          </cell>
        </row>
        <row r="1542">
          <cell r="C1542" t="str">
            <v>SMTLOCO1a Qualidade</v>
          </cell>
          <cell r="AC1542">
            <v>125.9</v>
          </cell>
          <cell r="AE1542">
            <v>717.63</v>
          </cell>
        </row>
        <row r="1543">
          <cell r="C1543" t="str">
            <v>SMTLOCO1a Qualidade</v>
          </cell>
          <cell r="AC1543">
            <v>495.3</v>
          </cell>
          <cell r="AE1543">
            <v>2823.21</v>
          </cell>
        </row>
        <row r="1544">
          <cell r="C1544" t="str">
            <v>SMTLOCO1a Qualidade</v>
          </cell>
          <cell r="AC1544">
            <v>559.5</v>
          </cell>
          <cell r="AE1544">
            <v>3189.15</v>
          </cell>
        </row>
        <row r="1545">
          <cell r="C1545" t="str">
            <v>SMTLOCO1a Qualidade</v>
          </cell>
          <cell r="AC1545">
            <v>184.4</v>
          </cell>
          <cell r="AE1545">
            <v>1051.08</v>
          </cell>
        </row>
        <row r="1546">
          <cell r="C1546" t="str">
            <v>SMTLOCO1a Qualidade</v>
          </cell>
          <cell r="AC1546">
            <v>512</v>
          </cell>
          <cell r="AE1546">
            <v>3379.2</v>
          </cell>
        </row>
        <row r="1547">
          <cell r="C1547" t="str">
            <v>SMTSANTANA1a Qualidade</v>
          </cell>
          <cell r="AC1547">
            <v>502.4</v>
          </cell>
          <cell r="AE1547">
            <v>3165.12</v>
          </cell>
        </row>
        <row r="1548">
          <cell r="C1548" t="str">
            <v>SMTSANTANA1a Qualidade</v>
          </cell>
          <cell r="AC1548">
            <v>500.6</v>
          </cell>
          <cell r="AE1548">
            <v>3053.66</v>
          </cell>
        </row>
        <row r="1549">
          <cell r="C1549" t="str">
            <v>SMTSANTANADirecionado</v>
          </cell>
          <cell r="AC1549">
            <v>1164.5999999999999</v>
          </cell>
          <cell r="AE1549">
            <v>6172.38</v>
          </cell>
        </row>
        <row r="1550">
          <cell r="C1550" t="str">
            <v>SMTSANTANADirecionado</v>
          </cell>
          <cell r="AC1550">
            <v>1227.8</v>
          </cell>
          <cell r="AE1550">
            <v>6507.34</v>
          </cell>
        </row>
        <row r="1551">
          <cell r="C1551" t="str">
            <v>SMTLOCODirecionado</v>
          </cell>
          <cell r="AC1551">
            <v>1382.5</v>
          </cell>
          <cell r="AE1551">
            <v>8295</v>
          </cell>
        </row>
        <row r="1552">
          <cell r="C1552" t="str">
            <v>SMTSANTANA1a Qualidade</v>
          </cell>
          <cell r="AC1552">
            <v>1029.3</v>
          </cell>
          <cell r="AE1552">
            <v>6021.4049999999997</v>
          </cell>
        </row>
        <row r="1553">
          <cell r="C1553" t="str">
            <v>SMTLOCO1a Qualidade</v>
          </cell>
          <cell r="AC1553">
            <v>488</v>
          </cell>
          <cell r="AE1553">
            <v>3367.2</v>
          </cell>
        </row>
        <row r="1554">
          <cell r="C1554" t="str">
            <v>SMTLOCO1a Qualidade</v>
          </cell>
          <cell r="AC1554">
            <v>525.4</v>
          </cell>
          <cell r="AE1554">
            <v>4465.8999999999996</v>
          </cell>
        </row>
        <row r="1555">
          <cell r="C1555" t="str">
            <v>SMTLOCO2a Qualidade</v>
          </cell>
          <cell r="AC1555">
            <v>3657.8</v>
          </cell>
          <cell r="AE1555">
            <v>16460.099999999999</v>
          </cell>
        </row>
        <row r="1556">
          <cell r="C1556" t="str">
            <v>SMTLOCO2a Qualidade</v>
          </cell>
          <cell r="AC1556">
            <v>5694.1</v>
          </cell>
          <cell r="AE1556">
            <v>25623.45</v>
          </cell>
        </row>
        <row r="1557">
          <cell r="C1557" t="str">
            <v>SMTSANTANA2a Qualidade</v>
          </cell>
          <cell r="AC1557">
            <v>1009.8</v>
          </cell>
          <cell r="AE1557">
            <v>4544.1000000000004</v>
          </cell>
        </row>
        <row r="1558">
          <cell r="C1558" t="str">
            <v>SMTSANTANA2a Qualidade</v>
          </cell>
          <cell r="AC1558">
            <v>4096.2</v>
          </cell>
          <cell r="AE1558">
            <v>18432.900000000001</v>
          </cell>
        </row>
        <row r="1559">
          <cell r="C1559" t="str">
            <v>SMTSANTANA1a Qualidade</v>
          </cell>
          <cell r="AC1559">
            <v>520</v>
          </cell>
          <cell r="AE1559">
            <v>3328</v>
          </cell>
        </row>
        <row r="1560">
          <cell r="C1560" t="str">
            <v>SMTSANTANA1a Qualidade</v>
          </cell>
          <cell r="AC1560">
            <v>490</v>
          </cell>
          <cell r="AE1560">
            <v>3234</v>
          </cell>
        </row>
        <row r="1561">
          <cell r="C1561" t="str">
            <v>SMTLOCO1a Qualidade</v>
          </cell>
          <cell r="AC1561">
            <v>520</v>
          </cell>
          <cell r="AE1561">
            <v>4264</v>
          </cell>
        </row>
        <row r="1562">
          <cell r="C1562" t="str">
            <v>SMTSANTANA1a Qualidade</v>
          </cell>
          <cell r="AC1562">
            <v>608.20000000000005</v>
          </cell>
          <cell r="AE1562">
            <v>4470.2700000000004</v>
          </cell>
        </row>
        <row r="1563">
          <cell r="C1563" t="str">
            <v>SMTSANTANA1a Qualidade</v>
          </cell>
          <cell r="AC1563">
            <v>1144.5</v>
          </cell>
          <cell r="AE1563">
            <v>6180.3</v>
          </cell>
        </row>
        <row r="1564">
          <cell r="C1564" t="str">
            <v>SMTLOCO2a Qualidade</v>
          </cell>
          <cell r="AC1564">
            <v>350</v>
          </cell>
          <cell r="AE1564">
            <v>1750</v>
          </cell>
        </row>
        <row r="1565">
          <cell r="C1565" t="str">
            <v>SMTSANTANA1a Qualidade</v>
          </cell>
          <cell r="AC1565">
            <v>670.3</v>
          </cell>
          <cell r="AE1565">
            <v>3351.5</v>
          </cell>
        </row>
        <row r="1566">
          <cell r="C1566" t="str">
            <v>SMTSANTANA1a Qualidade</v>
          </cell>
          <cell r="AC1566">
            <v>997</v>
          </cell>
          <cell r="AE1566">
            <v>6340.92</v>
          </cell>
        </row>
        <row r="1567">
          <cell r="C1567" t="str">
            <v>SMTSANTANA1a Qualidade</v>
          </cell>
          <cell r="AC1567">
            <v>3610.7</v>
          </cell>
          <cell r="AE1567">
            <v>23830.62</v>
          </cell>
        </row>
        <row r="1568">
          <cell r="C1568" t="str">
            <v>SMTOE - 100% Algodão1a Qualidade</v>
          </cell>
          <cell r="AC1568">
            <v>5022.6000000000004</v>
          </cell>
          <cell r="AE1568">
            <v>38121.534</v>
          </cell>
        </row>
        <row r="1569">
          <cell r="C1569" t="str">
            <v>SMTOE - 100% Algodão1a Qualidade</v>
          </cell>
          <cell r="AC1569">
            <v>4010.25</v>
          </cell>
          <cell r="AE1569">
            <v>30437.797500000001</v>
          </cell>
        </row>
        <row r="1570">
          <cell r="C1570" t="str">
            <v>SMTOE - 100% Algodão1a Qualidade</v>
          </cell>
          <cell r="AC1570">
            <v>5002.3999999999996</v>
          </cell>
          <cell r="AE1570">
            <v>37968.215999999993</v>
          </cell>
        </row>
        <row r="1571">
          <cell r="C1571" t="str">
            <v>SMTOE - 100% Algodão1a Qualidade</v>
          </cell>
          <cell r="AC1571">
            <v>4003.45</v>
          </cell>
          <cell r="AE1571">
            <v>30386.1855</v>
          </cell>
        </row>
        <row r="1572">
          <cell r="C1572" t="str">
            <v>SMTOE - 100% Algodão1a Qualidade</v>
          </cell>
          <cell r="AC1572">
            <v>4506.1000000000004</v>
          </cell>
          <cell r="AE1572">
            <v>34201.298999999999</v>
          </cell>
        </row>
        <row r="1573">
          <cell r="C1573" t="str">
            <v>SMTSANTANA1a Qualidade</v>
          </cell>
          <cell r="AC1573">
            <v>5235.8999999999996</v>
          </cell>
          <cell r="AE1573">
            <v>29844.63</v>
          </cell>
        </row>
        <row r="1574">
          <cell r="C1574" t="str">
            <v>SMTSANTANADirecionado</v>
          </cell>
          <cell r="AC1574">
            <v>217</v>
          </cell>
          <cell r="AE1574">
            <v>1150.0999999999999</v>
          </cell>
        </row>
        <row r="1575">
          <cell r="C1575" t="str">
            <v>SMTSANTANADirecionado</v>
          </cell>
          <cell r="AC1575">
            <v>482.5</v>
          </cell>
          <cell r="AE1575">
            <v>2557.25</v>
          </cell>
        </row>
        <row r="1576">
          <cell r="C1576" t="str">
            <v>SMTSANTANA1a Qualidade</v>
          </cell>
          <cell r="AC1576">
            <v>1058.4000000000001</v>
          </cell>
          <cell r="AE1576">
            <v>6879.6</v>
          </cell>
        </row>
        <row r="1577">
          <cell r="C1577" t="str">
            <v>SMTSANTANA1a Qualidade</v>
          </cell>
          <cell r="AC1577">
            <v>2806</v>
          </cell>
          <cell r="AE1577">
            <v>17397.2</v>
          </cell>
        </row>
        <row r="1578">
          <cell r="C1578" t="str">
            <v>SMTSANTANA1a Qualidade</v>
          </cell>
          <cell r="AC1578">
            <v>5039.5</v>
          </cell>
          <cell r="AE1578">
            <v>31295.294999999998</v>
          </cell>
        </row>
        <row r="1579">
          <cell r="C1579" t="str">
            <v>SMTSANTANA2a Qualidade</v>
          </cell>
          <cell r="AC1579">
            <v>2094.3000000000002</v>
          </cell>
          <cell r="AE1579">
            <v>9424.35</v>
          </cell>
        </row>
        <row r="1580">
          <cell r="C1580" t="str">
            <v>SMTSANTANADirecionado</v>
          </cell>
          <cell r="AC1580">
            <v>582</v>
          </cell>
          <cell r="AE1580">
            <v>2910</v>
          </cell>
        </row>
        <row r="1581">
          <cell r="C1581" t="str">
            <v>SMTSANTANADirecionado</v>
          </cell>
          <cell r="AC1581">
            <v>386</v>
          </cell>
          <cell r="AE1581">
            <v>1930</v>
          </cell>
        </row>
        <row r="1582">
          <cell r="C1582" t="str">
            <v>SMTSANTANADirecionado</v>
          </cell>
          <cell r="AC1582">
            <v>284</v>
          </cell>
          <cell r="AE1582">
            <v>1420</v>
          </cell>
        </row>
        <row r="1583">
          <cell r="C1583" t="str">
            <v>SMTSANTANADirecionado</v>
          </cell>
          <cell r="AC1583">
            <v>237</v>
          </cell>
          <cell r="AE1583">
            <v>1185</v>
          </cell>
        </row>
        <row r="1584">
          <cell r="C1584" t="str">
            <v>SMTSANTANADirecionado</v>
          </cell>
          <cell r="AC1584">
            <v>216</v>
          </cell>
          <cell r="AE1584">
            <v>1080</v>
          </cell>
        </row>
        <row r="1585">
          <cell r="C1585" t="str">
            <v>SMTSANTANADirecionado</v>
          </cell>
          <cell r="AC1585">
            <v>312.5</v>
          </cell>
          <cell r="AE1585">
            <v>1562.5</v>
          </cell>
        </row>
        <row r="1586">
          <cell r="C1586" t="str">
            <v>SMTSANTANA1a Qualidade</v>
          </cell>
          <cell r="AC1586">
            <v>5293</v>
          </cell>
          <cell r="AE1586">
            <v>32551.95</v>
          </cell>
        </row>
        <row r="1587">
          <cell r="C1587" t="str">
            <v>SMTSANTANA1a Qualidade</v>
          </cell>
          <cell r="AC1587">
            <v>2040.5</v>
          </cell>
          <cell r="AE1587">
            <v>13059.2</v>
          </cell>
        </row>
        <row r="1588">
          <cell r="C1588" t="str">
            <v>SMTSANTANA1a Qualidade</v>
          </cell>
          <cell r="AC1588">
            <v>5325.2</v>
          </cell>
          <cell r="AE1588">
            <v>33016.239999999998</v>
          </cell>
        </row>
        <row r="1589">
          <cell r="C1589" t="str">
            <v>SMTSANTANA1a Qualidade</v>
          </cell>
          <cell r="AC1589">
            <v>1541.6</v>
          </cell>
          <cell r="AE1589">
            <v>10698.704</v>
          </cell>
        </row>
        <row r="1590">
          <cell r="C1590" t="str">
            <v>SMTSANTANA1a Qualidade</v>
          </cell>
          <cell r="AC1590">
            <v>1041</v>
          </cell>
          <cell r="AE1590">
            <v>6933.06</v>
          </cell>
        </row>
        <row r="1591">
          <cell r="C1591" t="str">
            <v>SMTSANTANA1a Qualidade</v>
          </cell>
          <cell r="AC1591">
            <v>3532</v>
          </cell>
          <cell r="AE1591">
            <v>23487.8</v>
          </cell>
        </row>
        <row r="1592">
          <cell r="C1592" t="str">
            <v>SMTLOCO1a Qualidade</v>
          </cell>
          <cell r="AC1592">
            <v>1694</v>
          </cell>
          <cell r="AE1592">
            <v>11011</v>
          </cell>
        </row>
        <row r="1593">
          <cell r="C1593" t="str">
            <v>SMTOE - 100% Algodão1a Qualidade</v>
          </cell>
          <cell r="AC1593">
            <v>22510.57</v>
          </cell>
          <cell r="AE1593">
            <v>170855.22629999998</v>
          </cell>
        </row>
        <row r="1594">
          <cell r="C1594" t="str">
            <v>SMTLOCO1a Qualidade</v>
          </cell>
          <cell r="AC1594">
            <v>7694.9</v>
          </cell>
          <cell r="AE1594">
            <v>53094.81</v>
          </cell>
        </row>
        <row r="1595">
          <cell r="C1595" t="str">
            <v>SMTSANTANA1a Qualidade</v>
          </cell>
          <cell r="AC1595">
            <v>3500.3</v>
          </cell>
          <cell r="AE1595">
            <v>21701.86</v>
          </cell>
        </row>
        <row r="1596">
          <cell r="C1596" t="str">
            <v>SMTLOCO1a Qualidade</v>
          </cell>
          <cell r="AC1596">
            <v>2061.4</v>
          </cell>
          <cell r="AE1596">
            <v>13811.38</v>
          </cell>
        </row>
        <row r="1597">
          <cell r="C1597" t="str">
            <v>SMTSANTANA1a Qualidade</v>
          </cell>
          <cell r="AC1597">
            <v>511</v>
          </cell>
          <cell r="AE1597">
            <v>3352.16</v>
          </cell>
        </row>
        <row r="1598">
          <cell r="C1598" t="str">
            <v>SMTSANTANA1a Qualidade</v>
          </cell>
          <cell r="AC1598">
            <v>605</v>
          </cell>
          <cell r="AE1598">
            <v>3847.8</v>
          </cell>
        </row>
        <row r="1599">
          <cell r="C1599" t="str">
            <v>SMTSANTANA1a Qualidade</v>
          </cell>
          <cell r="AC1599">
            <v>2048</v>
          </cell>
          <cell r="AE1599">
            <v>12595.2</v>
          </cell>
        </row>
        <row r="1600">
          <cell r="C1600" t="str">
            <v>SMTLOCO1a Qualidade</v>
          </cell>
          <cell r="AC1600">
            <v>1034.4000000000001</v>
          </cell>
          <cell r="AE1600">
            <v>6899.4480000000003</v>
          </cell>
        </row>
        <row r="1601">
          <cell r="C1601" t="str">
            <v>SMTSANTANA1a Qualidade</v>
          </cell>
          <cell r="AC1601">
            <v>2030.4</v>
          </cell>
          <cell r="AE1601">
            <v>13319.423999999999</v>
          </cell>
        </row>
        <row r="1602">
          <cell r="C1602" t="str">
            <v>SMTLOCO1a Qualidade</v>
          </cell>
          <cell r="AC1602">
            <v>414.1</v>
          </cell>
          <cell r="AE1602">
            <v>2650.24</v>
          </cell>
        </row>
        <row r="1603">
          <cell r="C1603" t="str">
            <v>SMTSANTANA1a Qualidade</v>
          </cell>
          <cell r="AC1603">
            <v>253.4</v>
          </cell>
          <cell r="AE1603">
            <v>1545.74</v>
          </cell>
        </row>
        <row r="1604">
          <cell r="C1604" t="str">
            <v>SMTLOCO1a Qualidade</v>
          </cell>
          <cell r="AC1604">
            <v>3867</v>
          </cell>
          <cell r="AE1604">
            <v>25135.5</v>
          </cell>
        </row>
        <row r="1605">
          <cell r="C1605" t="str">
            <v>SMTSANTANA1a Qualidade</v>
          </cell>
          <cell r="AC1605">
            <v>5160.3</v>
          </cell>
          <cell r="AE1605">
            <v>31477.83</v>
          </cell>
        </row>
        <row r="1606">
          <cell r="C1606" t="str">
            <v>SMTLOCO1a Qualidade</v>
          </cell>
          <cell r="AC1606">
            <v>1308</v>
          </cell>
          <cell r="AE1606">
            <v>9286.7999999999993</v>
          </cell>
        </row>
        <row r="1607">
          <cell r="C1607" t="str">
            <v>SMTSANTANA1a Qualidade</v>
          </cell>
          <cell r="AC1607">
            <v>351.5</v>
          </cell>
          <cell r="AE1607">
            <v>2425.35</v>
          </cell>
        </row>
        <row r="1608">
          <cell r="C1608" t="str">
            <v>SMTLOCO1a Qualidade</v>
          </cell>
          <cell r="AC1608">
            <v>130</v>
          </cell>
          <cell r="AE1608">
            <v>1058.2</v>
          </cell>
        </row>
        <row r="1609">
          <cell r="C1609" t="str">
            <v>SMTSANTANA1a Qualidade</v>
          </cell>
          <cell r="AC1609">
            <v>498.6</v>
          </cell>
          <cell r="AE1609">
            <v>3240.9</v>
          </cell>
        </row>
        <row r="1610">
          <cell r="C1610" t="str">
            <v>SMTLOCO1a Qualidade</v>
          </cell>
          <cell r="AC1610">
            <v>3079</v>
          </cell>
          <cell r="AE1610">
            <v>20567.72</v>
          </cell>
        </row>
        <row r="1611">
          <cell r="C1611" t="str">
            <v>SMTLOCO1a Qualidade</v>
          </cell>
          <cell r="AC1611">
            <v>197.7</v>
          </cell>
          <cell r="AE1611">
            <v>1314.7049999999999</v>
          </cell>
        </row>
        <row r="1612">
          <cell r="C1612" t="str">
            <v>SMTLOCO1a Qualidade</v>
          </cell>
          <cell r="AC1612">
            <v>280</v>
          </cell>
          <cell r="AE1612">
            <v>1895.6</v>
          </cell>
        </row>
        <row r="1613">
          <cell r="C1613" t="str">
            <v>SMTSANTANADirecionado</v>
          </cell>
          <cell r="AC1613">
            <v>1103.5</v>
          </cell>
          <cell r="AE1613">
            <v>5517.5</v>
          </cell>
        </row>
        <row r="1614">
          <cell r="C1614" t="str">
            <v>SMTSANTANADirecionado</v>
          </cell>
          <cell r="AC1614">
            <v>284.5</v>
          </cell>
          <cell r="AE1614">
            <v>1422.5</v>
          </cell>
        </row>
        <row r="1615">
          <cell r="C1615" t="str">
            <v>SMTSANTANA1a Qualidade</v>
          </cell>
          <cell r="AC1615">
            <v>99</v>
          </cell>
          <cell r="AE1615">
            <v>633.6</v>
          </cell>
        </row>
        <row r="1616">
          <cell r="C1616" t="str">
            <v>SMTSANTANA1a Qualidade</v>
          </cell>
          <cell r="AC1616">
            <v>1041.3</v>
          </cell>
          <cell r="AE1616">
            <v>6882.9930000000004</v>
          </cell>
        </row>
        <row r="1617">
          <cell r="C1617" t="str">
            <v>SMTSANTANA1a Qualidade</v>
          </cell>
          <cell r="AC1617">
            <v>4260.3999999999996</v>
          </cell>
          <cell r="AE1617">
            <v>23006.16</v>
          </cell>
        </row>
        <row r="1618">
          <cell r="C1618" t="str">
            <v>SMTSANTANADirecionado</v>
          </cell>
          <cell r="AC1618">
            <v>5343.6</v>
          </cell>
          <cell r="AE1618">
            <v>26718</v>
          </cell>
        </row>
        <row r="1619">
          <cell r="C1619" t="str">
            <v>SMTSANTANA1a Qualidade</v>
          </cell>
          <cell r="AC1619">
            <v>5025.8999999999996</v>
          </cell>
          <cell r="AE1619">
            <v>29150.22</v>
          </cell>
        </row>
        <row r="1620">
          <cell r="C1620" t="str">
            <v>SMTSANTANA1a Qualidade</v>
          </cell>
          <cell r="AC1620">
            <v>4960.8999999999996</v>
          </cell>
          <cell r="AE1620">
            <v>28773.22</v>
          </cell>
        </row>
        <row r="1621">
          <cell r="C1621" t="str">
            <v>SMTBRIM1a Qualidade</v>
          </cell>
          <cell r="AC1621">
            <v>200</v>
          </cell>
          <cell r="AE1621">
            <v>440</v>
          </cell>
        </row>
        <row r="1622">
          <cell r="C1622" t="str">
            <v>SMTSANTANA1a Qualidade</v>
          </cell>
          <cell r="AC1622">
            <v>4817</v>
          </cell>
          <cell r="AE1622">
            <v>27456.9</v>
          </cell>
        </row>
        <row r="1623">
          <cell r="C1623" t="str">
            <v>SMTLOCODirecionado</v>
          </cell>
          <cell r="AC1623">
            <v>1461.7</v>
          </cell>
          <cell r="AE1623">
            <v>8770.2000000000007</v>
          </cell>
        </row>
        <row r="1624">
          <cell r="C1624" t="str">
            <v>SMTLOCODirecionado</v>
          </cell>
          <cell r="AC1624">
            <v>496.9</v>
          </cell>
          <cell r="AE1624">
            <v>2981.4</v>
          </cell>
        </row>
        <row r="1625">
          <cell r="C1625" t="str">
            <v>SMTLOCODirecionado</v>
          </cell>
          <cell r="AC1625">
            <v>493.5</v>
          </cell>
          <cell r="AE1625">
            <v>2961</v>
          </cell>
        </row>
        <row r="1626">
          <cell r="C1626" t="str">
            <v>SMTSANTANA1a Qualidade</v>
          </cell>
          <cell r="AC1626">
            <v>744.4</v>
          </cell>
          <cell r="AE1626">
            <v>4764.16</v>
          </cell>
        </row>
        <row r="1627">
          <cell r="C1627" t="str">
            <v>NTXSANTANA1a Qualidade</v>
          </cell>
          <cell r="AC1627">
            <v>5159.3999999999996</v>
          </cell>
          <cell r="AE1627">
            <v>30956.400000000001</v>
          </cell>
        </row>
        <row r="1628">
          <cell r="C1628" t="str">
            <v>NTXSANTANA1a Qualidade</v>
          </cell>
          <cell r="AC1628">
            <v>5030.8999999999996</v>
          </cell>
          <cell r="AE1628">
            <v>30185.4</v>
          </cell>
        </row>
        <row r="1629">
          <cell r="C1629" t="str">
            <v>NTXSANTANA1a Qualidade</v>
          </cell>
          <cell r="AC1629">
            <v>5188.8999999999996</v>
          </cell>
          <cell r="AE1629">
            <v>31133.4</v>
          </cell>
        </row>
        <row r="1630">
          <cell r="C1630" t="str">
            <v>NTXSANTANA1a Qualidade</v>
          </cell>
          <cell r="AC1630">
            <v>5171.8</v>
          </cell>
          <cell r="AE1630">
            <v>31030.799999999999</v>
          </cell>
        </row>
        <row r="1631">
          <cell r="C1631" t="str">
            <v>NTXSANTANA1a Qualidade</v>
          </cell>
          <cell r="AC1631">
            <v>5048.1000000000004</v>
          </cell>
          <cell r="AE1631">
            <v>30288.6</v>
          </cell>
        </row>
        <row r="1632">
          <cell r="C1632" t="str">
            <v>NTXSANTANA1a Qualidade</v>
          </cell>
          <cell r="AC1632">
            <v>5016.5</v>
          </cell>
          <cell r="AE1632">
            <v>30099</v>
          </cell>
        </row>
        <row r="1633">
          <cell r="C1633" t="str">
            <v>NTXSANTANA1a Qualidade</v>
          </cell>
          <cell r="AC1633">
            <v>5073</v>
          </cell>
          <cell r="AE1633">
            <v>30438</v>
          </cell>
        </row>
        <row r="1634">
          <cell r="C1634" t="str">
            <v>NTXSANTANA1a Qualidade</v>
          </cell>
          <cell r="AC1634">
            <v>5188.1000000000004</v>
          </cell>
          <cell r="AE1634">
            <v>31128.6</v>
          </cell>
        </row>
        <row r="1635">
          <cell r="C1635" t="str">
            <v>NTXSANTANA1a Qualidade</v>
          </cell>
          <cell r="AC1635">
            <v>8283.1</v>
          </cell>
          <cell r="AE1635">
            <v>53840.15</v>
          </cell>
        </row>
        <row r="1636">
          <cell r="C1636" t="str">
            <v>NTXSANTANA1a Qualidade</v>
          </cell>
          <cell r="AC1636">
            <v>2500.1</v>
          </cell>
          <cell r="AE1636">
            <v>16000.64</v>
          </cell>
        </row>
        <row r="1637">
          <cell r="C1637" t="str">
            <v>NTXBRIM1a Qualidade</v>
          </cell>
          <cell r="AC1637">
            <v>0</v>
          </cell>
          <cell r="AE1637">
            <v>0</v>
          </cell>
        </row>
        <row r="1638">
          <cell r="C1638" t="str">
            <v>NTXSANTANA1a Qualidade</v>
          </cell>
          <cell r="AC1638">
            <v>5338.7</v>
          </cell>
          <cell r="AE1638">
            <v>30430.59</v>
          </cell>
        </row>
        <row r="1639">
          <cell r="C1639" t="str">
            <v>NTXSANTANA1a Qualidade</v>
          </cell>
          <cell r="AC1639">
            <v>5342</v>
          </cell>
          <cell r="AE1639">
            <v>30449.4</v>
          </cell>
        </row>
        <row r="1640">
          <cell r="C1640" t="str">
            <v>NTXSANTANA1a Qualidade</v>
          </cell>
          <cell r="AC1640">
            <v>5344</v>
          </cell>
          <cell r="AE1640">
            <v>30460.799999999999</v>
          </cell>
        </row>
        <row r="1641">
          <cell r="C1641" t="str">
            <v>NTXSANTANA1a Qualidade</v>
          </cell>
          <cell r="AC1641">
            <v>5300</v>
          </cell>
          <cell r="AE1641">
            <v>30210</v>
          </cell>
        </row>
        <row r="1642">
          <cell r="C1642" t="str">
            <v>NTXSANTANA1a Qualidade</v>
          </cell>
          <cell r="AC1642">
            <v>5289.5</v>
          </cell>
          <cell r="AE1642">
            <v>30150.15</v>
          </cell>
        </row>
        <row r="1643">
          <cell r="C1643" t="str">
            <v>NTXSANTANA1a Qualidade</v>
          </cell>
          <cell r="AC1643">
            <v>5308.2</v>
          </cell>
          <cell r="AE1643">
            <v>30256.74</v>
          </cell>
        </row>
        <row r="1644">
          <cell r="C1644" t="str">
            <v>NTXSANTANA1a Qualidade</v>
          </cell>
          <cell r="AC1644">
            <v>5304</v>
          </cell>
          <cell r="AE1644">
            <v>30232.799999999999</v>
          </cell>
        </row>
        <row r="1645">
          <cell r="C1645" t="str">
            <v>NTXSANTANA1a Qualidade</v>
          </cell>
          <cell r="AC1645">
            <v>5337.6</v>
          </cell>
          <cell r="AE1645">
            <v>30424.32</v>
          </cell>
        </row>
        <row r="1646">
          <cell r="C1646" t="str">
            <v>NTXSANTANA1a Qualidade</v>
          </cell>
          <cell r="AC1646">
            <v>5029</v>
          </cell>
          <cell r="AE1646">
            <v>28665.3</v>
          </cell>
        </row>
        <row r="1647">
          <cell r="C1647" t="str">
            <v>NTXSANTANA2a Qualidade</v>
          </cell>
          <cell r="AC1647">
            <v>3013.1</v>
          </cell>
          <cell r="AE1647">
            <v>15065.5</v>
          </cell>
        </row>
        <row r="1648">
          <cell r="C1648" t="str">
            <v>NTXSANTANA2a Qualidade</v>
          </cell>
          <cell r="AC1648">
            <v>3000.8</v>
          </cell>
          <cell r="AE1648">
            <v>15004</v>
          </cell>
        </row>
        <row r="1649">
          <cell r="C1649" t="str">
            <v>NTXSANTANA1a Qualidade</v>
          </cell>
          <cell r="AC1649">
            <v>5053</v>
          </cell>
          <cell r="AE1649">
            <v>32339.200000000001</v>
          </cell>
        </row>
        <row r="1650">
          <cell r="C1650" t="str">
            <v>NTXSANTANA1a Qualidade</v>
          </cell>
          <cell r="AC1650">
            <v>5004.5</v>
          </cell>
          <cell r="AE1650">
            <v>32028.799999999999</v>
          </cell>
        </row>
        <row r="1651">
          <cell r="C1651" t="str">
            <v>NTXSANTANA1a Qualidade</v>
          </cell>
          <cell r="AC1651">
            <v>5061.3</v>
          </cell>
          <cell r="AE1651">
            <v>28849.41</v>
          </cell>
        </row>
        <row r="1652">
          <cell r="C1652" t="str">
            <v>NTXSANTANA1a Qualidade</v>
          </cell>
          <cell r="AC1652">
            <v>5020.7</v>
          </cell>
          <cell r="AE1652">
            <v>28617.99</v>
          </cell>
        </row>
        <row r="1653">
          <cell r="C1653" t="str">
            <v>NTXSANTANA1a Qualidade</v>
          </cell>
          <cell r="AC1653">
            <v>5006</v>
          </cell>
          <cell r="AE1653">
            <v>30036</v>
          </cell>
        </row>
        <row r="1654">
          <cell r="C1654" t="str">
            <v>NTXSANTANA1a Qualidade</v>
          </cell>
          <cell r="AC1654">
            <v>5036.1000000000004</v>
          </cell>
          <cell r="AE1654">
            <v>30216.6</v>
          </cell>
        </row>
        <row r="1655">
          <cell r="C1655" t="str">
            <v>NTXSANTANA1a Qualidade</v>
          </cell>
          <cell r="AC1655">
            <v>5080.2</v>
          </cell>
          <cell r="AE1655">
            <v>30481.200000000001</v>
          </cell>
        </row>
        <row r="1656">
          <cell r="C1656" t="str">
            <v>NTXSANTANA1a Qualidade</v>
          </cell>
          <cell r="AC1656">
            <v>5007.8</v>
          </cell>
          <cell r="AE1656">
            <v>28544.46</v>
          </cell>
        </row>
        <row r="1657">
          <cell r="C1657" t="str">
            <v>NTXSANTANA1a Qualidade</v>
          </cell>
          <cell r="AC1657">
            <v>5031.5</v>
          </cell>
          <cell r="AE1657">
            <v>27673.25</v>
          </cell>
        </row>
        <row r="1658">
          <cell r="C1658" t="str">
            <v>NTXSANTANA1a Qualidade</v>
          </cell>
          <cell r="AC1658">
            <v>5008.7</v>
          </cell>
          <cell r="AE1658">
            <v>27547.85</v>
          </cell>
        </row>
        <row r="1659">
          <cell r="C1659" t="str">
            <v>NTXSANTANA1a Qualidade</v>
          </cell>
          <cell r="AC1659">
            <v>5035.1000000000004</v>
          </cell>
          <cell r="AE1659">
            <v>27693.05</v>
          </cell>
        </row>
        <row r="1660">
          <cell r="C1660" t="str">
            <v>NTXSANTANA1a Qualidade</v>
          </cell>
          <cell r="AC1660">
            <v>5024.5</v>
          </cell>
          <cell r="AE1660">
            <v>27634.75</v>
          </cell>
        </row>
        <row r="1661">
          <cell r="C1661" t="str">
            <v>NTXSANTANA1a Qualidade</v>
          </cell>
          <cell r="AC1661">
            <v>5028</v>
          </cell>
          <cell r="AE1661">
            <v>27654</v>
          </cell>
        </row>
        <row r="1662">
          <cell r="C1662" t="str">
            <v>NTXSANTANA1a Qualidade</v>
          </cell>
          <cell r="AC1662">
            <v>5061</v>
          </cell>
          <cell r="AE1662">
            <v>27835.5</v>
          </cell>
        </row>
        <row r="1663">
          <cell r="C1663" t="str">
            <v>NTXSANTANA1a Qualidade</v>
          </cell>
          <cell r="AC1663">
            <v>5057</v>
          </cell>
          <cell r="AE1663">
            <v>28319.200000000001</v>
          </cell>
        </row>
        <row r="1664">
          <cell r="C1664" t="str">
            <v>NTXSANTANA1a Qualidade</v>
          </cell>
          <cell r="AC1664">
            <v>5071.8</v>
          </cell>
          <cell r="AE1664">
            <v>28402.080000000002</v>
          </cell>
        </row>
        <row r="1665">
          <cell r="C1665" t="str">
            <v>NTXSANTANA2a Qualidade</v>
          </cell>
          <cell r="AC1665">
            <v>385.8</v>
          </cell>
          <cell r="AE1665">
            <v>1929</v>
          </cell>
        </row>
        <row r="1666">
          <cell r="C1666" t="str">
            <v>NTXSANTANA2a Qualidade</v>
          </cell>
          <cell r="AC1666">
            <v>3185.1</v>
          </cell>
          <cell r="AE1666">
            <v>15925.5</v>
          </cell>
        </row>
        <row r="1667">
          <cell r="C1667" t="str">
            <v>NTXSANTANA2a Qualidade</v>
          </cell>
          <cell r="AC1667">
            <v>1642.9</v>
          </cell>
          <cell r="AE1667">
            <v>8214.5</v>
          </cell>
        </row>
        <row r="1668">
          <cell r="C1668" t="str">
            <v>NTXSANTANA2a Qualidade</v>
          </cell>
          <cell r="AC1668">
            <v>2575.4</v>
          </cell>
          <cell r="AE1668">
            <v>12877</v>
          </cell>
        </row>
        <row r="1669">
          <cell r="C1669" t="str">
            <v>NTXSANTANA2a Qualidade</v>
          </cell>
          <cell r="AC1669">
            <v>1521.7</v>
          </cell>
          <cell r="AE1669">
            <v>7608.5</v>
          </cell>
        </row>
        <row r="1670">
          <cell r="C1670" t="str">
            <v>NTXRETALHORetalho</v>
          </cell>
          <cell r="AC1670">
            <v>437.47810858143606</v>
          </cell>
          <cell r="AE1670">
            <v>799.36</v>
          </cell>
        </row>
        <row r="1671">
          <cell r="C1671" t="str">
            <v>NTXBRIM1a Qualidade</v>
          </cell>
          <cell r="AC1671">
            <v>5006.3999999999996</v>
          </cell>
          <cell r="AE1671">
            <v>31039.68</v>
          </cell>
        </row>
        <row r="1672">
          <cell r="C1672" t="str">
            <v>NTXBRIM1a Qualidade</v>
          </cell>
          <cell r="AC1672">
            <v>5011.5</v>
          </cell>
          <cell r="AE1672">
            <v>31071.3</v>
          </cell>
        </row>
        <row r="1673">
          <cell r="C1673" t="str">
            <v>NTXSANTANA1a Qualidade</v>
          </cell>
          <cell r="AC1673">
            <v>5052.5</v>
          </cell>
          <cell r="AE1673">
            <v>30315</v>
          </cell>
        </row>
        <row r="1674">
          <cell r="C1674" t="str">
            <v>NTXSANTANA1a Qualidade</v>
          </cell>
          <cell r="AC1674">
            <v>5045.2</v>
          </cell>
          <cell r="AE1674">
            <v>30271.200000000001</v>
          </cell>
        </row>
        <row r="1675">
          <cell r="C1675" t="str">
            <v>NTXSANTANA1a Qualidade</v>
          </cell>
          <cell r="AC1675">
            <v>5037</v>
          </cell>
          <cell r="AE1675">
            <v>28710.9</v>
          </cell>
        </row>
        <row r="1676">
          <cell r="C1676" t="str">
            <v>NTXSANTANA1a Qualidade</v>
          </cell>
          <cell r="AC1676">
            <v>5024.5</v>
          </cell>
          <cell r="AE1676">
            <v>28639.65</v>
          </cell>
        </row>
        <row r="1677">
          <cell r="C1677" t="str">
            <v>NTXSANTANA1a Qualidade</v>
          </cell>
          <cell r="AC1677">
            <v>5053.6000000000004</v>
          </cell>
          <cell r="AE1677">
            <v>30321.599999999999</v>
          </cell>
        </row>
        <row r="1678">
          <cell r="C1678" t="str">
            <v>NTXSANTANA1a Qualidade</v>
          </cell>
          <cell r="AC1678">
            <v>5043.8999999999996</v>
          </cell>
          <cell r="AE1678">
            <v>30263.4</v>
          </cell>
        </row>
        <row r="1679">
          <cell r="C1679" t="str">
            <v>NTXSANTANA1a Qualidade</v>
          </cell>
          <cell r="AC1679">
            <v>5031.5</v>
          </cell>
          <cell r="AE1679">
            <v>30189</v>
          </cell>
        </row>
        <row r="1680">
          <cell r="C1680" t="str">
            <v>NTXSANTANA1a Qualidade</v>
          </cell>
          <cell r="AC1680">
            <v>5021.7</v>
          </cell>
          <cell r="AE1680">
            <v>28623.69</v>
          </cell>
        </row>
        <row r="1681">
          <cell r="C1681" t="str">
            <v>NTXSANTANA1a Qualidade</v>
          </cell>
          <cell r="AC1681">
            <v>5010.7</v>
          </cell>
          <cell r="AE1681">
            <v>28560.99</v>
          </cell>
        </row>
        <row r="1682">
          <cell r="C1682" t="str">
            <v>NTXSANTANA1a Qualidade</v>
          </cell>
          <cell r="AC1682">
            <v>5104.8999999999996</v>
          </cell>
          <cell r="AE1682">
            <v>29097.93</v>
          </cell>
        </row>
        <row r="1683">
          <cell r="C1683" t="str">
            <v>NTXSANTANA1a Qualidade</v>
          </cell>
          <cell r="AC1683">
            <v>5036.5</v>
          </cell>
          <cell r="AE1683">
            <v>28708.05</v>
          </cell>
        </row>
        <row r="1684">
          <cell r="C1684" t="str">
            <v>NTXSANTANA1a Qualidade</v>
          </cell>
          <cell r="AC1684">
            <v>5024.1000000000004</v>
          </cell>
          <cell r="AE1684">
            <v>28637.37</v>
          </cell>
        </row>
        <row r="1685">
          <cell r="C1685" t="str">
            <v>NTXSANTANA1a Qualidade</v>
          </cell>
          <cell r="AC1685">
            <v>5045.8999999999996</v>
          </cell>
          <cell r="AE1685">
            <v>28761.63</v>
          </cell>
        </row>
        <row r="1686">
          <cell r="C1686" t="str">
            <v>NTXSANTANA1a Qualidade</v>
          </cell>
          <cell r="AC1686">
            <v>2047.2</v>
          </cell>
          <cell r="AE1686">
            <v>12283.2</v>
          </cell>
        </row>
        <row r="1687">
          <cell r="C1687" t="str">
            <v>NTXSANTANA1a Qualidade</v>
          </cell>
          <cell r="AC1687">
            <v>224.5</v>
          </cell>
          <cell r="AE1687">
            <v>1436.8</v>
          </cell>
        </row>
        <row r="1688">
          <cell r="C1688" t="str">
            <v>NTXSANTANA1a Qualidade</v>
          </cell>
          <cell r="AC1688">
            <v>7034.4</v>
          </cell>
          <cell r="AE1688">
            <v>40096.080000000002</v>
          </cell>
        </row>
        <row r="1689">
          <cell r="C1689" t="str">
            <v>NTXSANTANA1a Qualidade</v>
          </cell>
          <cell r="AC1689">
            <v>5009.2</v>
          </cell>
          <cell r="AE1689">
            <v>28552.44</v>
          </cell>
        </row>
        <row r="1690">
          <cell r="C1690" t="str">
            <v>NTXBRIM1a Qualidade</v>
          </cell>
          <cell r="AC1690">
            <v>5111.2</v>
          </cell>
          <cell r="AE1690">
            <v>30667.200000000001</v>
          </cell>
        </row>
        <row r="1691">
          <cell r="C1691" t="str">
            <v>NTXBRIM1a Qualidade</v>
          </cell>
          <cell r="AC1691">
            <v>5028.5</v>
          </cell>
          <cell r="AE1691">
            <v>30171</v>
          </cell>
        </row>
        <row r="1692">
          <cell r="C1692" t="str">
            <v>NTXSANTANA2a Qualidade</v>
          </cell>
          <cell r="AC1692">
            <v>6244.6</v>
          </cell>
          <cell r="AE1692">
            <v>31223</v>
          </cell>
        </row>
        <row r="1693">
          <cell r="C1693" t="str">
            <v>NTXSANTANA1a Qualidade</v>
          </cell>
          <cell r="AC1693">
            <v>5043.1000000000004</v>
          </cell>
          <cell r="AE1693">
            <v>30258.6</v>
          </cell>
        </row>
        <row r="1694">
          <cell r="C1694" t="str">
            <v>NTXSANTANA1a Qualidade</v>
          </cell>
          <cell r="AC1694">
            <v>5064.3</v>
          </cell>
          <cell r="AE1694">
            <v>30385.8</v>
          </cell>
        </row>
        <row r="1695">
          <cell r="C1695" t="str">
            <v>NTXSANTANA2a Qualidade</v>
          </cell>
          <cell r="AC1695">
            <v>2285.9</v>
          </cell>
          <cell r="AE1695">
            <v>11429.5</v>
          </cell>
        </row>
        <row r="1696">
          <cell r="C1696" t="str">
            <v>NTXSANTANA1a Qualidade</v>
          </cell>
          <cell r="AC1696">
            <v>5588</v>
          </cell>
          <cell r="AE1696">
            <v>31851.599999999999</v>
          </cell>
        </row>
        <row r="1697">
          <cell r="C1697" t="str">
            <v>NTXSANTANA1a Qualidade</v>
          </cell>
          <cell r="AC1697">
            <v>5310</v>
          </cell>
          <cell r="AE1697">
            <v>30267</v>
          </cell>
        </row>
        <row r="1698">
          <cell r="C1698" t="str">
            <v>NTXSANTANA1a Qualidade</v>
          </cell>
          <cell r="AC1698">
            <v>5022.7</v>
          </cell>
          <cell r="AE1698">
            <v>30136.2</v>
          </cell>
        </row>
        <row r="1699">
          <cell r="C1699" t="str">
            <v>NTXSANTANA1a Qualidade</v>
          </cell>
          <cell r="AC1699">
            <v>5010.1000000000004</v>
          </cell>
          <cell r="AE1699">
            <v>28557.57</v>
          </cell>
        </row>
        <row r="1700">
          <cell r="C1700" t="str">
            <v>NTXSANTANA1a Qualidade</v>
          </cell>
          <cell r="AC1700">
            <v>5120.3999999999996</v>
          </cell>
          <cell r="AE1700">
            <v>30722.400000000001</v>
          </cell>
        </row>
        <row r="1701">
          <cell r="C1701" t="str">
            <v>NTXSANTANA1a Qualidade</v>
          </cell>
          <cell r="AC1701">
            <v>5048.3999999999996</v>
          </cell>
          <cell r="AE1701">
            <v>28775.88</v>
          </cell>
        </row>
        <row r="1702">
          <cell r="C1702" t="str">
            <v>NTXSANTANA1a Qualidade</v>
          </cell>
          <cell r="AC1702">
            <v>5022.5</v>
          </cell>
          <cell r="AE1702">
            <v>28628.25</v>
          </cell>
        </row>
        <row r="1703">
          <cell r="C1703" t="str">
            <v>NTXSANTANA1a Qualidade</v>
          </cell>
          <cell r="AC1703">
            <v>5077.2</v>
          </cell>
          <cell r="AE1703">
            <v>28940.04</v>
          </cell>
        </row>
        <row r="1704">
          <cell r="C1704" t="str">
            <v>NTXSANTANA1a Qualidade</v>
          </cell>
          <cell r="AC1704">
            <v>5008.3</v>
          </cell>
          <cell r="AE1704">
            <v>28547.31</v>
          </cell>
        </row>
        <row r="1705">
          <cell r="C1705" t="str">
            <v>NTXSANTANA1a Qualidade</v>
          </cell>
          <cell r="AC1705">
            <v>5059.6000000000004</v>
          </cell>
          <cell r="AE1705">
            <v>28839.72</v>
          </cell>
        </row>
        <row r="1706">
          <cell r="C1706" t="str">
            <v>NTXSANTANA1a Qualidade</v>
          </cell>
          <cell r="AC1706">
            <v>5048</v>
          </cell>
          <cell r="AE1706">
            <v>28773.599999999999</v>
          </cell>
        </row>
        <row r="1707">
          <cell r="C1707" t="str">
            <v>NTXSANTANA1a Qualidade</v>
          </cell>
          <cell r="AC1707">
            <v>5015.6000000000004</v>
          </cell>
          <cell r="AE1707">
            <v>28588.92</v>
          </cell>
        </row>
        <row r="1708">
          <cell r="C1708" t="str">
            <v>NTXSANTANA1a Qualidade</v>
          </cell>
          <cell r="AC1708">
            <v>5045.5</v>
          </cell>
          <cell r="AE1708">
            <v>28759.35</v>
          </cell>
        </row>
        <row r="1709">
          <cell r="C1709" t="str">
            <v>NTXSANTANA1a Qualidade</v>
          </cell>
          <cell r="AC1709">
            <v>5037.7</v>
          </cell>
          <cell r="AE1709">
            <v>28714.89</v>
          </cell>
        </row>
        <row r="1710">
          <cell r="C1710" t="str">
            <v>NTXSANTANA1a Qualidade</v>
          </cell>
          <cell r="AC1710">
            <v>5054.8</v>
          </cell>
          <cell r="AE1710">
            <v>28812.36</v>
          </cell>
        </row>
        <row r="1711">
          <cell r="C1711" t="str">
            <v>NTXSANTANA1a Qualidade</v>
          </cell>
          <cell r="AC1711">
            <v>5025.5</v>
          </cell>
          <cell r="AE1711">
            <v>28645.35</v>
          </cell>
        </row>
        <row r="1712">
          <cell r="C1712" t="str">
            <v>NTXSANTANA1a Qualidade</v>
          </cell>
          <cell r="AC1712">
            <v>5077.8</v>
          </cell>
          <cell r="AE1712">
            <v>28943.46</v>
          </cell>
        </row>
        <row r="1713">
          <cell r="C1713" t="str">
            <v>NTXBRIM1a Qualidade</v>
          </cell>
          <cell r="AC1713">
            <v>5012.5</v>
          </cell>
          <cell r="AE1713">
            <v>31077.5</v>
          </cell>
        </row>
        <row r="1714">
          <cell r="C1714" t="str">
            <v>NTXSANTANA1a Qualidade</v>
          </cell>
          <cell r="AC1714">
            <v>5063.7</v>
          </cell>
          <cell r="AE1714">
            <v>30382.2</v>
          </cell>
        </row>
        <row r="1715">
          <cell r="C1715" t="str">
            <v>NTXSANTANA1a Qualidade</v>
          </cell>
          <cell r="AC1715">
            <v>5045.6000000000004</v>
          </cell>
          <cell r="AE1715">
            <v>30273.599999999999</v>
          </cell>
        </row>
        <row r="1716">
          <cell r="C1716" t="str">
            <v>NTXOE - 100% Algodão1a Qualidade</v>
          </cell>
          <cell r="AC1716">
            <v>15265.3</v>
          </cell>
          <cell r="AE1716">
            <v>99224.45</v>
          </cell>
        </row>
        <row r="1717">
          <cell r="C1717" t="str">
            <v>NTXOE - 100% Algodão1a Qualidade</v>
          </cell>
          <cell r="AC1717">
            <v>7823.4</v>
          </cell>
          <cell r="AE1717">
            <v>50852.1</v>
          </cell>
        </row>
        <row r="1718">
          <cell r="C1718" t="str">
            <v>NTXSANTANA1a Qualidade</v>
          </cell>
          <cell r="AC1718">
            <v>2505.6999999999998</v>
          </cell>
          <cell r="AE1718">
            <v>15034.2</v>
          </cell>
        </row>
        <row r="1719">
          <cell r="C1719" t="str">
            <v>NTXSANTANA1a Qualidade</v>
          </cell>
          <cell r="AC1719">
            <v>2557.5</v>
          </cell>
          <cell r="AE1719">
            <v>15345</v>
          </cell>
        </row>
        <row r="1720">
          <cell r="C1720" t="str">
            <v>NTXSANTANA1a Qualidade</v>
          </cell>
          <cell r="AC1720">
            <v>2517.6999999999998</v>
          </cell>
          <cell r="AE1720">
            <v>15106.2</v>
          </cell>
        </row>
        <row r="1721">
          <cell r="C1721" t="str">
            <v>NTXSANTANA1a Qualidade</v>
          </cell>
          <cell r="AC1721">
            <v>2532.3000000000002</v>
          </cell>
          <cell r="AE1721">
            <v>15193.8</v>
          </cell>
        </row>
        <row r="1722">
          <cell r="C1722" t="str">
            <v>NTXSANTANA1a Qualidade</v>
          </cell>
          <cell r="AC1722">
            <v>5011.7</v>
          </cell>
          <cell r="AE1722">
            <v>30070.2</v>
          </cell>
        </row>
        <row r="1723">
          <cell r="C1723" t="str">
            <v>NTXSANTANA1a Qualidade</v>
          </cell>
          <cell r="AC1723">
            <v>5003.3999999999996</v>
          </cell>
          <cell r="AE1723">
            <v>30020.400000000001</v>
          </cell>
        </row>
        <row r="1724">
          <cell r="C1724" t="str">
            <v>NTXSANTANA1a Qualidade</v>
          </cell>
          <cell r="AC1724">
            <v>1003</v>
          </cell>
          <cell r="AE1724">
            <v>6018</v>
          </cell>
        </row>
        <row r="1725">
          <cell r="C1725" t="str">
            <v>NTXSANTANA1a Qualidade</v>
          </cell>
          <cell r="AC1725">
            <v>5020.3</v>
          </cell>
          <cell r="AE1725">
            <v>30121.8</v>
          </cell>
        </row>
        <row r="1726">
          <cell r="C1726" t="str">
            <v>NTXSANTANA1a Qualidade</v>
          </cell>
          <cell r="AC1726">
            <v>2029.3</v>
          </cell>
          <cell r="AE1726">
            <v>12175.8</v>
          </cell>
        </row>
        <row r="1727">
          <cell r="C1727" t="str">
            <v>NTXBRIM1a Qualidade</v>
          </cell>
          <cell r="AC1727">
            <v>5006.3</v>
          </cell>
          <cell r="AE1727">
            <v>31039.06</v>
          </cell>
        </row>
        <row r="1728">
          <cell r="C1728" t="str">
            <v>NTXBRIM1a Qualidade</v>
          </cell>
          <cell r="AC1728">
            <v>5006.8</v>
          </cell>
          <cell r="AE1728">
            <v>31042.16</v>
          </cell>
        </row>
        <row r="1729">
          <cell r="C1729" t="str">
            <v>NTXBRIM1a Qualidade</v>
          </cell>
          <cell r="AC1729">
            <v>5045.8999999999996</v>
          </cell>
          <cell r="AE1729">
            <v>31284.58</v>
          </cell>
        </row>
        <row r="1730">
          <cell r="C1730" t="str">
            <v>NTXBRIM1a Qualidade</v>
          </cell>
          <cell r="AC1730">
            <v>5125.7</v>
          </cell>
          <cell r="AE1730">
            <v>31779.34</v>
          </cell>
        </row>
        <row r="1731">
          <cell r="C1731" t="str">
            <v>NTXBRIM1a Qualidade</v>
          </cell>
          <cell r="AC1731">
            <v>5083.8</v>
          </cell>
          <cell r="AE1731">
            <v>22877.1</v>
          </cell>
        </row>
        <row r="1732">
          <cell r="C1732" t="str">
            <v>NTXBRIM1a Qualidade</v>
          </cell>
          <cell r="AC1732">
            <v>5068</v>
          </cell>
          <cell r="AE1732">
            <v>24326.400000000001</v>
          </cell>
        </row>
        <row r="1733">
          <cell r="C1733" t="str">
            <v>NTXSANTANA1a Qualidade</v>
          </cell>
          <cell r="AC1733">
            <v>5002.2</v>
          </cell>
          <cell r="AE1733">
            <v>27512.1</v>
          </cell>
        </row>
        <row r="1734">
          <cell r="C1734" t="str">
            <v>NTXSANTANA1a Qualidade</v>
          </cell>
          <cell r="AC1734">
            <v>5000.3</v>
          </cell>
          <cell r="AE1734">
            <v>27501.65</v>
          </cell>
        </row>
        <row r="1735">
          <cell r="C1735" t="str">
            <v>NTXSANTANA1a Qualidade</v>
          </cell>
          <cell r="AC1735">
            <v>5005.7</v>
          </cell>
          <cell r="AE1735">
            <v>27531.35</v>
          </cell>
        </row>
        <row r="1736">
          <cell r="C1736" t="str">
            <v>NTXSANTANA1a Qualidade</v>
          </cell>
          <cell r="AC1736">
            <v>5000.8</v>
          </cell>
          <cell r="AE1736">
            <v>27504.400000000001</v>
          </cell>
        </row>
        <row r="1737">
          <cell r="C1737" t="str">
            <v>NTXSANTANA1a Qualidade</v>
          </cell>
          <cell r="AC1737">
            <v>5002</v>
          </cell>
          <cell r="AE1737">
            <v>27511</v>
          </cell>
        </row>
        <row r="1738">
          <cell r="C1738" t="str">
            <v>NTXSANTANA1a Qualidade</v>
          </cell>
          <cell r="AC1738">
            <v>5004.3</v>
          </cell>
          <cell r="AE1738">
            <v>27523.65</v>
          </cell>
        </row>
        <row r="1739">
          <cell r="C1739" t="str">
            <v>NTXSANTANA1a Qualidade</v>
          </cell>
          <cell r="AC1739">
            <v>5001.1000000000004</v>
          </cell>
          <cell r="AE1739">
            <v>27506.05</v>
          </cell>
        </row>
        <row r="1740">
          <cell r="C1740" t="str">
            <v>NTXSANTANA1a Qualidade</v>
          </cell>
          <cell r="AC1740">
            <v>5003</v>
          </cell>
          <cell r="AE1740">
            <v>27516.5</v>
          </cell>
        </row>
        <row r="1741">
          <cell r="C1741" t="str">
            <v>NTXSANTANA1a Qualidade</v>
          </cell>
          <cell r="AC1741">
            <v>5005.8999999999996</v>
          </cell>
          <cell r="AE1741">
            <v>27532.45</v>
          </cell>
        </row>
        <row r="1742">
          <cell r="C1742" t="str">
            <v>NTXSANTANA1a Qualidade</v>
          </cell>
          <cell r="AC1742">
            <v>5000.7</v>
          </cell>
          <cell r="AE1742">
            <v>27503.85</v>
          </cell>
        </row>
        <row r="1743">
          <cell r="C1743" t="str">
            <v>NTXSANTANA1a Qualidade</v>
          </cell>
          <cell r="AC1743">
            <v>5001</v>
          </cell>
          <cell r="AE1743">
            <v>27505.5</v>
          </cell>
        </row>
        <row r="1744">
          <cell r="C1744" t="str">
            <v>NTXSANTANA1a Qualidade</v>
          </cell>
          <cell r="AC1744">
            <v>5000.7</v>
          </cell>
          <cell r="AE1744">
            <v>27503.85</v>
          </cell>
        </row>
        <row r="1745">
          <cell r="C1745" t="str">
            <v>NTXSANTANA1a Qualidade</v>
          </cell>
          <cell r="AC1745">
            <v>5022.8</v>
          </cell>
          <cell r="AE1745">
            <v>28629.96</v>
          </cell>
        </row>
        <row r="1746">
          <cell r="C1746" t="str">
            <v>NTXSANTANA1a Qualidade</v>
          </cell>
          <cell r="AC1746">
            <v>5013.5</v>
          </cell>
          <cell r="AE1746">
            <v>28576.95</v>
          </cell>
        </row>
        <row r="1747">
          <cell r="C1747" t="str">
            <v>NTXSANTANA1a Qualidade</v>
          </cell>
          <cell r="AC1747">
            <v>5028.8999999999996</v>
          </cell>
          <cell r="AE1747">
            <v>28664.73</v>
          </cell>
        </row>
        <row r="1748">
          <cell r="C1748" t="str">
            <v>NTXSANTANA1a Qualidade</v>
          </cell>
          <cell r="AC1748">
            <v>5018</v>
          </cell>
          <cell r="AE1748">
            <v>28602.6</v>
          </cell>
        </row>
        <row r="1749">
          <cell r="C1749" t="str">
            <v>NTXSANTANA1a Qualidade</v>
          </cell>
          <cell r="AC1749">
            <v>5048.1000000000004</v>
          </cell>
          <cell r="AE1749">
            <v>30288.6</v>
          </cell>
        </row>
        <row r="1750">
          <cell r="C1750" t="str">
            <v>NTXSANTANA1a Qualidade</v>
          </cell>
          <cell r="AC1750">
            <v>3079.3</v>
          </cell>
          <cell r="AE1750">
            <v>18475.8</v>
          </cell>
        </row>
        <row r="1751">
          <cell r="C1751" t="str">
            <v>NTXSANTANA1a Qualidade</v>
          </cell>
          <cell r="AC1751">
            <v>5015.5</v>
          </cell>
          <cell r="AE1751">
            <v>28086.799999999999</v>
          </cell>
        </row>
        <row r="1752">
          <cell r="C1752" t="str">
            <v>NTXSANTANA1a Qualidade</v>
          </cell>
          <cell r="AC1752">
            <v>5046.8999999999996</v>
          </cell>
          <cell r="AE1752">
            <v>28262.639999999999</v>
          </cell>
        </row>
        <row r="1753">
          <cell r="C1753" t="str">
            <v>NTXSANTANA1a Qualidade</v>
          </cell>
          <cell r="AC1753">
            <v>5027</v>
          </cell>
          <cell r="AE1753">
            <v>28151.200000000001</v>
          </cell>
        </row>
        <row r="1754">
          <cell r="C1754" t="str">
            <v>NTXSANTANA1a Qualidade</v>
          </cell>
          <cell r="AC1754">
            <v>5040.3</v>
          </cell>
          <cell r="AE1754">
            <v>28225.68</v>
          </cell>
        </row>
        <row r="1755">
          <cell r="C1755" t="str">
            <v>NTXSANTANA1a Qualidade</v>
          </cell>
          <cell r="AC1755">
            <v>5016.7</v>
          </cell>
          <cell r="AE1755">
            <v>28093.52</v>
          </cell>
        </row>
        <row r="1756">
          <cell r="C1756" t="str">
            <v>NTXSANTANA1a Qualidade</v>
          </cell>
          <cell r="AC1756">
            <v>5003.5</v>
          </cell>
          <cell r="AE1756">
            <v>28019.599999999999</v>
          </cell>
        </row>
        <row r="1757">
          <cell r="C1757" t="str">
            <v>NTXSANTANA1a Qualidade</v>
          </cell>
          <cell r="AC1757">
            <v>5078.3</v>
          </cell>
          <cell r="AE1757">
            <v>28438.48</v>
          </cell>
        </row>
        <row r="1758">
          <cell r="C1758" t="str">
            <v>NTXSANTANA1a Qualidade</v>
          </cell>
          <cell r="AC1758">
            <v>5022</v>
          </cell>
          <cell r="AE1758">
            <v>28123.200000000001</v>
          </cell>
        </row>
        <row r="1759">
          <cell r="C1759" t="str">
            <v>NTXSANTANA1a Qualidade</v>
          </cell>
          <cell r="AC1759">
            <v>5018.1000000000004</v>
          </cell>
          <cell r="AE1759">
            <v>28101.360000000001</v>
          </cell>
        </row>
        <row r="1760">
          <cell r="C1760" t="str">
            <v>NTXSANTANA1a Qualidade</v>
          </cell>
          <cell r="AC1760">
            <v>5053.5</v>
          </cell>
          <cell r="AE1760">
            <v>28299.599999999999</v>
          </cell>
        </row>
        <row r="1761">
          <cell r="C1761" t="str">
            <v>NTXSANTANA1a Qualidade</v>
          </cell>
          <cell r="AC1761">
            <v>4003.7</v>
          </cell>
          <cell r="AE1761">
            <v>22420.720000000001</v>
          </cell>
        </row>
        <row r="1762">
          <cell r="C1762" t="str">
            <v>NTXSANTANA1a Qualidade</v>
          </cell>
          <cell r="AC1762">
            <v>3600.2</v>
          </cell>
          <cell r="AE1762">
            <v>20161.12</v>
          </cell>
        </row>
        <row r="1763">
          <cell r="C1763" t="str">
            <v>NTXSANTANA1a Qualidade</v>
          </cell>
          <cell r="AC1763">
            <v>4887.6000000000004</v>
          </cell>
          <cell r="AE1763">
            <v>28348.080000000002</v>
          </cell>
        </row>
        <row r="1764">
          <cell r="C1764" t="str">
            <v>NTXSANTANA1a Qualidade</v>
          </cell>
          <cell r="AC1764">
            <v>6090.7</v>
          </cell>
          <cell r="AE1764">
            <v>35326.06</v>
          </cell>
        </row>
        <row r="1765">
          <cell r="C1765" t="str">
            <v>NTXSANTANA1a Qualidade</v>
          </cell>
          <cell r="AC1765">
            <v>5050.6000000000004</v>
          </cell>
          <cell r="AE1765">
            <v>29293.48</v>
          </cell>
        </row>
        <row r="1766">
          <cell r="C1766" t="str">
            <v>NTXSANTANA1a Qualidade</v>
          </cell>
          <cell r="AC1766">
            <v>5046.7</v>
          </cell>
          <cell r="AE1766">
            <v>29270.86</v>
          </cell>
        </row>
        <row r="1767">
          <cell r="C1767" t="str">
            <v>NTXSANTANA1a Qualidade</v>
          </cell>
          <cell r="AC1767">
            <v>5071.8</v>
          </cell>
          <cell r="AE1767">
            <v>28909.26</v>
          </cell>
        </row>
        <row r="1768">
          <cell r="C1768" t="str">
            <v>NTXSANTANA1a Qualidade</v>
          </cell>
          <cell r="AC1768">
            <v>5016.3999999999996</v>
          </cell>
          <cell r="AE1768">
            <v>28593.48</v>
          </cell>
        </row>
        <row r="1769">
          <cell r="C1769" t="str">
            <v>NTXSANTANA1a Qualidade</v>
          </cell>
          <cell r="AC1769">
            <v>5008</v>
          </cell>
          <cell r="AE1769">
            <v>28545.599999999999</v>
          </cell>
        </row>
        <row r="1770">
          <cell r="C1770" t="str">
            <v>NTXSANTANA1a Qualidade</v>
          </cell>
          <cell r="AC1770">
            <v>5018.6000000000004</v>
          </cell>
          <cell r="AE1770">
            <v>28606.02</v>
          </cell>
        </row>
        <row r="1771">
          <cell r="C1771" t="str">
            <v>NTXSANTANA1a Qualidade</v>
          </cell>
          <cell r="AC1771">
            <v>4897.7</v>
          </cell>
          <cell r="AE1771">
            <v>27916.89</v>
          </cell>
        </row>
        <row r="1772">
          <cell r="C1772" t="str">
            <v>NTXSANTANA1a Qualidade</v>
          </cell>
          <cell r="AC1772">
            <v>5034.2</v>
          </cell>
          <cell r="AE1772">
            <v>30205.200000000001</v>
          </cell>
        </row>
        <row r="1773">
          <cell r="C1773" t="str">
            <v>NTXSANTANA1a Qualidade</v>
          </cell>
          <cell r="AC1773">
            <v>5050.5</v>
          </cell>
          <cell r="AE1773">
            <v>30303</v>
          </cell>
        </row>
        <row r="1774">
          <cell r="C1774" t="str">
            <v>NTXSANTANA1a Qualidade</v>
          </cell>
          <cell r="AC1774">
            <v>5011.8</v>
          </cell>
          <cell r="AE1774">
            <v>30070.799999999999</v>
          </cell>
        </row>
        <row r="1775">
          <cell r="C1775" t="str">
            <v>NTXSANTANA1a Qualidade</v>
          </cell>
          <cell r="AC1775">
            <v>5025.5</v>
          </cell>
          <cell r="AE1775">
            <v>30153</v>
          </cell>
        </row>
        <row r="1776">
          <cell r="C1776" t="str">
            <v>NTXSANTANA1a Qualidade</v>
          </cell>
          <cell r="AC1776">
            <v>5019.3</v>
          </cell>
          <cell r="AE1776">
            <v>30115.8</v>
          </cell>
        </row>
        <row r="1777">
          <cell r="C1777" t="str">
            <v>NTXSANTANA1a Qualidade</v>
          </cell>
          <cell r="AC1777">
            <v>5385.8</v>
          </cell>
          <cell r="AE1777">
            <v>29621.9</v>
          </cell>
        </row>
        <row r="1778">
          <cell r="C1778" t="str">
            <v>NTXSANTANA1a Qualidade</v>
          </cell>
          <cell r="AC1778">
            <v>5055.5</v>
          </cell>
          <cell r="AE1778">
            <v>27805.25</v>
          </cell>
        </row>
        <row r="1779">
          <cell r="C1779" t="str">
            <v>NTXSANTANA1a Qualidade</v>
          </cell>
          <cell r="AC1779">
            <v>5068.1000000000004</v>
          </cell>
          <cell r="AE1779">
            <v>27874.55</v>
          </cell>
        </row>
        <row r="1780">
          <cell r="C1780" t="str">
            <v>NTXSANTANA1a Qualidade</v>
          </cell>
          <cell r="AC1780">
            <v>5076.8999999999996</v>
          </cell>
          <cell r="AE1780">
            <v>27922.95</v>
          </cell>
        </row>
        <row r="1781">
          <cell r="C1781" t="str">
            <v>NTXSANTANA1a Qualidade</v>
          </cell>
          <cell r="AC1781">
            <v>5023</v>
          </cell>
          <cell r="AE1781">
            <v>27626.5</v>
          </cell>
        </row>
        <row r="1782">
          <cell r="C1782" t="str">
            <v>NTXSANTANA1a Qualidade</v>
          </cell>
          <cell r="AC1782">
            <v>5069.5</v>
          </cell>
          <cell r="AE1782">
            <v>27882.25</v>
          </cell>
        </row>
        <row r="1783">
          <cell r="C1783" t="str">
            <v>NTXSANTANA1a Qualidade</v>
          </cell>
          <cell r="AC1783">
            <v>12061.3</v>
          </cell>
          <cell r="AE1783">
            <v>68749.41</v>
          </cell>
        </row>
        <row r="1784">
          <cell r="C1784" t="str">
            <v>NTXSANTANA1a Qualidade</v>
          </cell>
          <cell r="AC1784">
            <v>5001.8999999999996</v>
          </cell>
          <cell r="AE1784">
            <v>30011.4</v>
          </cell>
        </row>
        <row r="1785">
          <cell r="C1785" t="str">
            <v>NTXSANTANA1a Qualidade</v>
          </cell>
          <cell r="AC1785">
            <v>5019.2</v>
          </cell>
          <cell r="AE1785">
            <v>28609.439999999999</v>
          </cell>
        </row>
        <row r="1786">
          <cell r="C1786" t="str">
            <v>NTXSANTANA1a Qualidade</v>
          </cell>
          <cell r="AC1786">
            <v>5048.3</v>
          </cell>
          <cell r="AE1786">
            <v>27765.65</v>
          </cell>
        </row>
        <row r="1787">
          <cell r="C1787" t="str">
            <v>NTXSANTANA1a Qualidade</v>
          </cell>
          <cell r="AC1787">
            <v>5075.8</v>
          </cell>
          <cell r="AE1787">
            <v>27916.9</v>
          </cell>
        </row>
        <row r="1788">
          <cell r="C1788" t="str">
            <v>NTXSANTANA1a Qualidade</v>
          </cell>
          <cell r="AC1788">
            <v>5056</v>
          </cell>
          <cell r="AE1788">
            <v>27808</v>
          </cell>
        </row>
        <row r="1789">
          <cell r="C1789" t="str">
            <v>NTXSANTANA1a Qualidade</v>
          </cell>
          <cell r="AC1789">
            <v>5076.6000000000004</v>
          </cell>
          <cell r="AE1789">
            <v>27921.3</v>
          </cell>
        </row>
        <row r="1790">
          <cell r="C1790" t="str">
            <v>NTXSANTANA1a Qualidade</v>
          </cell>
          <cell r="AC1790">
            <v>5103.2</v>
          </cell>
          <cell r="AE1790">
            <v>28067.599999999999</v>
          </cell>
        </row>
        <row r="1791">
          <cell r="C1791" t="str">
            <v>NTXSANTANA1a Qualidade</v>
          </cell>
          <cell r="AC1791">
            <v>5090.8999999999996</v>
          </cell>
          <cell r="AE1791">
            <v>27999.95</v>
          </cell>
        </row>
        <row r="1792">
          <cell r="C1792" t="str">
            <v>NTXSANTANA1a Qualidade</v>
          </cell>
          <cell r="AC1792">
            <v>5055.6000000000004</v>
          </cell>
          <cell r="AE1792">
            <v>27805.8</v>
          </cell>
        </row>
        <row r="1793">
          <cell r="C1793" t="str">
            <v>NTXSANTANA1a Qualidade</v>
          </cell>
          <cell r="AC1793">
            <v>5095.5</v>
          </cell>
          <cell r="AE1793">
            <v>28025.25</v>
          </cell>
        </row>
        <row r="1794">
          <cell r="C1794" t="str">
            <v>NTXSANTANA1a Qualidade</v>
          </cell>
          <cell r="AC1794">
            <v>5038.2</v>
          </cell>
          <cell r="AE1794">
            <v>27710.1</v>
          </cell>
        </row>
        <row r="1795">
          <cell r="C1795" t="str">
            <v>NTXSANTANA1a Qualidade</v>
          </cell>
          <cell r="AC1795">
            <v>5063.3999999999996</v>
          </cell>
          <cell r="AE1795">
            <v>27848.7</v>
          </cell>
        </row>
        <row r="1796">
          <cell r="C1796" t="str">
            <v>NTXSANTANA1a Qualidade</v>
          </cell>
          <cell r="AC1796">
            <v>5340.9</v>
          </cell>
          <cell r="AE1796">
            <v>29374.95</v>
          </cell>
        </row>
        <row r="1797">
          <cell r="C1797" t="str">
            <v>NTXSANTANA1a Qualidade</v>
          </cell>
          <cell r="AC1797">
            <v>4894</v>
          </cell>
          <cell r="AE1797">
            <v>26917</v>
          </cell>
        </row>
        <row r="1798">
          <cell r="C1798" t="str">
            <v>NTXSANTANA2a Qualidade</v>
          </cell>
          <cell r="AC1798">
            <v>3004.6</v>
          </cell>
          <cell r="AE1798">
            <v>15023</v>
          </cell>
        </row>
        <row r="1799">
          <cell r="C1799" t="str">
            <v>NTXSANTANA1a Qualidade</v>
          </cell>
          <cell r="AC1799">
            <v>5060.6000000000004</v>
          </cell>
          <cell r="AE1799">
            <v>28845.42</v>
          </cell>
        </row>
        <row r="1800">
          <cell r="C1800" t="str">
            <v>NTXSANTANA1a Qualidade</v>
          </cell>
          <cell r="AC1800">
            <v>5035.3</v>
          </cell>
          <cell r="AE1800">
            <v>28701.21</v>
          </cell>
        </row>
        <row r="1801">
          <cell r="C1801" t="str">
            <v>NTXSANTANA1a Qualidade</v>
          </cell>
          <cell r="AC1801">
            <v>5033</v>
          </cell>
          <cell r="AE1801">
            <v>28688.1</v>
          </cell>
        </row>
        <row r="1802">
          <cell r="C1802" t="str">
            <v>NTXSANTANA1a Qualidade</v>
          </cell>
          <cell r="AC1802">
            <v>5084.5</v>
          </cell>
          <cell r="AE1802">
            <v>28981.65</v>
          </cell>
        </row>
        <row r="1803">
          <cell r="C1803" t="str">
            <v>NTXBRIM2a Qualidade</v>
          </cell>
          <cell r="AC1803">
            <v>303.5</v>
          </cell>
          <cell r="AE1803">
            <v>643.41999999999996</v>
          </cell>
        </row>
        <row r="1804">
          <cell r="C1804" t="str">
            <v>NTXSANTANA1a Qualidade</v>
          </cell>
          <cell r="AC1804">
            <v>3042.2</v>
          </cell>
          <cell r="AE1804">
            <v>17340.54</v>
          </cell>
        </row>
        <row r="1805">
          <cell r="C1805" t="str">
            <v>NTXSANTANA1a Qualidade</v>
          </cell>
          <cell r="AC1805">
            <v>5028.6000000000004</v>
          </cell>
          <cell r="AE1805">
            <v>27657.3</v>
          </cell>
        </row>
        <row r="1806">
          <cell r="C1806" t="str">
            <v>NTXSANTANA1a Qualidade</v>
          </cell>
          <cell r="AC1806">
            <v>5060.5</v>
          </cell>
          <cell r="AE1806">
            <v>30363</v>
          </cell>
        </row>
        <row r="1807">
          <cell r="C1807" t="str">
            <v>NTXSANTANA1a Qualidade</v>
          </cell>
          <cell r="AC1807">
            <v>5027.3</v>
          </cell>
          <cell r="AE1807">
            <v>30163.8</v>
          </cell>
        </row>
        <row r="1808">
          <cell r="C1808" t="str">
            <v>NTXSANTANA1a Qualidade</v>
          </cell>
          <cell r="AC1808">
            <v>5021.6000000000004</v>
          </cell>
          <cell r="AE1808">
            <v>30129.599999999999</v>
          </cell>
        </row>
        <row r="1809">
          <cell r="C1809" t="str">
            <v>NTXSANTANA1a Qualidade</v>
          </cell>
          <cell r="AC1809">
            <v>300</v>
          </cell>
          <cell r="AE1809">
            <v>1710</v>
          </cell>
        </row>
        <row r="1810">
          <cell r="C1810" t="str">
            <v>NTXSANTANA1a Qualidade</v>
          </cell>
          <cell r="AC1810">
            <v>3053.2</v>
          </cell>
          <cell r="AE1810">
            <v>17403.240000000002</v>
          </cell>
        </row>
        <row r="1811">
          <cell r="C1811" t="str">
            <v>NTXSANTANA1a Qualidade</v>
          </cell>
          <cell r="AC1811">
            <v>3010.9</v>
          </cell>
          <cell r="AE1811">
            <v>18065.400000000001</v>
          </cell>
        </row>
        <row r="1812">
          <cell r="C1812" t="str">
            <v>NTXSANTANA1a Qualidade</v>
          </cell>
          <cell r="AC1812">
            <v>200</v>
          </cell>
          <cell r="AE1812">
            <v>1206</v>
          </cell>
        </row>
        <row r="1813">
          <cell r="C1813" t="str">
            <v>NTXSANTANA1a Qualidade</v>
          </cell>
          <cell r="AC1813">
            <v>200</v>
          </cell>
          <cell r="AE1813">
            <v>1206</v>
          </cell>
        </row>
        <row r="1814">
          <cell r="C1814" t="str">
            <v>NTXSANTANA1a Qualidade</v>
          </cell>
          <cell r="AC1814">
            <v>5183.8999999999996</v>
          </cell>
          <cell r="AE1814">
            <v>28511.45</v>
          </cell>
        </row>
        <row r="1815">
          <cell r="C1815" t="str">
            <v>NTXSANTANA1a Qualidade</v>
          </cell>
          <cell r="AC1815">
            <v>5030.3</v>
          </cell>
          <cell r="AE1815">
            <v>27666.65</v>
          </cell>
        </row>
        <row r="1816">
          <cell r="C1816" t="str">
            <v>NTXSANTANA1a Qualidade</v>
          </cell>
          <cell r="AC1816">
            <v>5020.3999999999996</v>
          </cell>
          <cell r="AE1816">
            <v>27612.2</v>
          </cell>
        </row>
        <row r="1817">
          <cell r="C1817" t="str">
            <v>NTXSANTANA1a Qualidade</v>
          </cell>
          <cell r="AC1817">
            <v>5067.2</v>
          </cell>
          <cell r="AE1817">
            <v>27869.599999999999</v>
          </cell>
        </row>
        <row r="1818">
          <cell r="C1818" t="str">
            <v>NTXSANTANA1a Qualidade</v>
          </cell>
          <cell r="AC1818">
            <v>5055.6000000000004</v>
          </cell>
          <cell r="AE1818">
            <v>27805.8</v>
          </cell>
        </row>
        <row r="1819">
          <cell r="C1819" t="str">
            <v>NTXSANTANA1a Qualidade</v>
          </cell>
          <cell r="AC1819">
            <v>5056.3</v>
          </cell>
          <cell r="AE1819">
            <v>27809.65</v>
          </cell>
        </row>
        <row r="1820">
          <cell r="C1820" t="str">
            <v>NTXSANTANA1a Qualidade</v>
          </cell>
          <cell r="AC1820">
            <v>5008.8</v>
          </cell>
          <cell r="AE1820">
            <v>27548.400000000001</v>
          </cell>
        </row>
        <row r="1821">
          <cell r="C1821" t="str">
            <v>NTXSANTANA1a Qualidade</v>
          </cell>
          <cell r="AC1821">
            <v>5037.3</v>
          </cell>
          <cell r="AE1821">
            <v>27705.15</v>
          </cell>
        </row>
        <row r="1822">
          <cell r="C1822" t="str">
            <v>NTXSANTANA1a Qualidade</v>
          </cell>
          <cell r="AC1822">
            <v>5038.5</v>
          </cell>
          <cell r="AE1822">
            <v>27711.75</v>
          </cell>
        </row>
        <row r="1823">
          <cell r="C1823" t="str">
            <v>NTXSANTANA1a Qualidade</v>
          </cell>
          <cell r="AC1823">
            <v>5020.5</v>
          </cell>
          <cell r="AE1823">
            <v>27612.75</v>
          </cell>
        </row>
        <row r="1824">
          <cell r="C1824" t="str">
            <v>NTXSANTANA1a Qualidade</v>
          </cell>
          <cell r="AC1824">
            <v>5035.8999999999996</v>
          </cell>
          <cell r="AE1824">
            <v>27697.45</v>
          </cell>
        </row>
        <row r="1825">
          <cell r="C1825" t="str">
            <v>NTXSANTANA1a Qualidade</v>
          </cell>
          <cell r="AC1825">
            <v>5069.6000000000004</v>
          </cell>
          <cell r="AE1825">
            <v>27882.799999999999</v>
          </cell>
        </row>
        <row r="1826">
          <cell r="C1826" t="str">
            <v>NTXSANTANA1a Qualidade</v>
          </cell>
          <cell r="AC1826">
            <v>5016.5</v>
          </cell>
          <cell r="AE1826">
            <v>29095.7</v>
          </cell>
        </row>
        <row r="1827">
          <cell r="C1827" t="str">
            <v>NTXSANTANA1a Qualidade</v>
          </cell>
          <cell r="AC1827">
            <v>5033.2</v>
          </cell>
          <cell r="AE1827">
            <v>29192.560000000001</v>
          </cell>
        </row>
        <row r="1828">
          <cell r="C1828" t="str">
            <v>NTXSANTANA1a Qualidade</v>
          </cell>
          <cell r="AC1828">
            <v>5025.2</v>
          </cell>
          <cell r="AE1828">
            <v>29146.16</v>
          </cell>
        </row>
        <row r="1829">
          <cell r="C1829" t="str">
            <v>NTXSANTANA1a Qualidade</v>
          </cell>
          <cell r="AC1829">
            <v>5037.1000000000004</v>
          </cell>
          <cell r="AE1829">
            <v>29215.18</v>
          </cell>
        </row>
        <row r="1830">
          <cell r="C1830" t="str">
            <v>NTXSANTANA1a Qualidade</v>
          </cell>
          <cell r="AC1830">
            <v>5023.5</v>
          </cell>
          <cell r="AE1830">
            <v>29136.3</v>
          </cell>
        </row>
        <row r="1831">
          <cell r="C1831" t="str">
            <v>NTXSANTANA1a Qualidade</v>
          </cell>
          <cell r="AC1831">
            <v>5018.3</v>
          </cell>
          <cell r="AE1831">
            <v>29106.14</v>
          </cell>
        </row>
        <row r="1832">
          <cell r="C1832" t="str">
            <v>NTXSANTANA1a Qualidade</v>
          </cell>
          <cell r="AC1832">
            <v>5019</v>
          </cell>
          <cell r="AE1832">
            <v>29110.2</v>
          </cell>
        </row>
        <row r="1833">
          <cell r="C1833" t="str">
            <v>NTXSANTANA1a Qualidade</v>
          </cell>
          <cell r="AC1833">
            <v>5027.3</v>
          </cell>
          <cell r="AE1833">
            <v>29158.34</v>
          </cell>
        </row>
        <row r="1834">
          <cell r="C1834" t="str">
            <v>NTXSANTANA1a Qualidade</v>
          </cell>
          <cell r="AC1834">
            <v>5053.8</v>
          </cell>
          <cell r="AE1834">
            <v>29312.04</v>
          </cell>
        </row>
        <row r="1835">
          <cell r="C1835" t="str">
            <v>NTXSANTANA1a Qualidade</v>
          </cell>
          <cell r="AC1835">
            <v>5013.2</v>
          </cell>
          <cell r="AE1835">
            <v>29076.560000000001</v>
          </cell>
        </row>
        <row r="1836">
          <cell r="C1836" t="str">
            <v>JRGSANTANADirecionado</v>
          </cell>
          <cell r="AC1836">
            <v>117.4</v>
          </cell>
          <cell r="AE1836">
            <v>645.70000000000005</v>
          </cell>
        </row>
        <row r="1837">
          <cell r="C1837" t="str">
            <v>JRGLOCO1a Qualidade</v>
          </cell>
          <cell r="AC1837">
            <v>110</v>
          </cell>
          <cell r="AE1837">
            <v>783.2</v>
          </cell>
        </row>
        <row r="1838">
          <cell r="C1838" t="str">
            <v>JRGLOCO1a Qualidade</v>
          </cell>
          <cell r="AC1838">
            <v>120</v>
          </cell>
          <cell r="AE1838">
            <v>776.4</v>
          </cell>
        </row>
        <row r="1839">
          <cell r="C1839" t="str">
            <v>JRGSANTANA1a Qualidade</v>
          </cell>
          <cell r="AC1839">
            <v>1004.8</v>
          </cell>
          <cell r="AE1839">
            <v>6028.8</v>
          </cell>
        </row>
        <row r="1840">
          <cell r="C1840" t="str">
            <v>JRGSANTANA1a Qualidade</v>
          </cell>
          <cell r="AC1840">
            <v>990</v>
          </cell>
          <cell r="AE1840">
            <v>5940</v>
          </cell>
        </row>
        <row r="1841">
          <cell r="C1841" t="str">
            <v>JRGLOCO1a Qualidade</v>
          </cell>
          <cell r="AC1841">
            <v>340</v>
          </cell>
          <cell r="AE1841">
            <v>3087.2</v>
          </cell>
        </row>
        <row r="1842">
          <cell r="C1842" t="str">
            <v>JRGLOCO1a Qualidade</v>
          </cell>
          <cell r="AC1842">
            <v>289.2</v>
          </cell>
          <cell r="AE1842">
            <v>2625.9359999999997</v>
          </cell>
        </row>
        <row r="1843">
          <cell r="C1843" t="str">
            <v>JRGLOCO1a Qualidade</v>
          </cell>
          <cell r="AC1843">
            <v>240</v>
          </cell>
          <cell r="AE1843">
            <v>2179.1999999999998</v>
          </cell>
        </row>
        <row r="1844">
          <cell r="C1844" t="str">
            <v>JRGSANTANADirecionado</v>
          </cell>
          <cell r="AC1844">
            <v>328.6</v>
          </cell>
          <cell r="AE1844">
            <v>1807.3</v>
          </cell>
        </row>
        <row r="1845">
          <cell r="C1845" t="str">
            <v>JRGSANTANADirecionado</v>
          </cell>
          <cell r="AC1845">
            <v>514.6</v>
          </cell>
          <cell r="AE1845">
            <v>2830.3</v>
          </cell>
        </row>
        <row r="1846">
          <cell r="C1846" t="str">
            <v>JRGSANTANADirecionado</v>
          </cell>
          <cell r="AC1846">
            <v>507.7</v>
          </cell>
          <cell r="AE1846">
            <v>2614.6550000000002</v>
          </cell>
        </row>
        <row r="1847">
          <cell r="C1847" t="str">
            <v>JRGSANTANA1a Qualidade</v>
          </cell>
          <cell r="AC1847">
            <v>560</v>
          </cell>
          <cell r="AE1847">
            <v>3427.2</v>
          </cell>
        </row>
        <row r="1848">
          <cell r="C1848" t="str">
            <v>JRGSANTANA1a Qualidade</v>
          </cell>
          <cell r="AC1848">
            <v>453.5</v>
          </cell>
          <cell r="AE1848">
            <v>2775.42</v>
          </cell>
        </row>
        <row r="1849">
          <cell r="C1849" t="str">
            <v>JRGSANTANADirecionado</v>
          </cell>
          <cell r="AC1849">
            <v>516</v>
          </cell>
          <cell r="AE1849">
            <v>2580</v>
          </cell>
        </row>
        <row r="1850">
          <cell r="C1850" t="str">
            <v>JRGSANTANADirecionado</v>
          </cell>
          <cell r="AC1850">
            <v>196</v>
          </cell>
          <cell r="AE1850">
            <v>980</v>
          </cell>
        </row>
        <row r="1851">
          <cell r="C1851" t="str">
            <v>JRGSANTANADirecionado</v>
          </cell>
          <cell r="AC1851">
            <v>130</v>
          </cell>
          <cell r="AE1851">
            <v>650</v>
          </cell>
        </row>
        <row r="1852">
          <cell r="C1852" t="str">
            <v>JRGSANTANADirecionado</v>
          </cell>
          <cell r="AC1852">
            <v>232.5</v>
          </cell>
          <cell r="AE1852">
            <v>1162.5</v>
          </cell>
        </row>
        <row r="1853">
          <cell r="C1853" t="str">
            <v>JRGLOCODirecionado</v>
          </cell>
          <cell r="AC1853">
            <v>57</v>
          </cell>
          <cell r="AE1853">
            <v>313.5</v>
          </cell>
        </row>
        <row r="1854">
          <cell r="C1854" t="str">
            <v>JRGLOCODirecionado</v>
          </cell>
          <cell r="AC1854">
            <v>127.9</v>
          </cell>
          <cell r="AE1854">
            <v>703.45</v>
          </cell>
        </row>
        <row r="1855">
          <cell r="C1855" t="str">
            <v>JRGLOCODirecionado</v>
          </cell>
          <cell r="AC1855">
            <v>604</v>
          </cell>
          <cell r="AE1855">
            <v>3322</v>
          </cell>
        </row>
        <row r="1856">
          <cell r="C1856" t="str">
            <v>JRGSANTANA2a Qualidade</v>
          </cell>
          <cell r="AC1856">
            <v>4121.7</v>
          </cell>
          <cell r="AE1856">
            <v>19784.16</v>
          </cell>
        </row>
        <row r="1857">
          <cell r="C1857" t="str">
            <v>JRGSANTANA2a Qualidade</v>
          </cell>
          <cell r="AC1857">
            <v>1729.8</v>
          </cell>
          <cell r="AE1857">
            <v>8303.0400000000009</v>
          </cell>
        </row>
        <row r="1858">
          <cell r="C1858" t="str">
            <v>JRGLOCO1a Qualidade</v>
          </cell>
          <cell r="AC1858">
            <v>568.79999999999995</v>
          </cell>
          <cell r="AE1858">
            <v>4499.2079999999996</v>
          </cell>
        </row>
        <row r="1859">
          <cell r="C1859" t="str">
            <v>JRGLOCO1a Qualidade</v>
          </cell>
          <cell r="AC1859">
            <v>480</v>
          </cell>
          <cell r="AE1859">
            <v>3446.4</v>
          </cell>
        </row>
        <row r="1860">
          <cell r="C1860" t="str">
            <v>JRGLOCO1a Qualidade</v>
          </cell>
          <cell r="AC1860">
            <v>128.5</v>
          </cell>
          <cell r="AE1860">
            <v>896.93</v>
          </cell>
        </row>
        <row r="1861">
          <cell r="C1861" t="str">
            <v>JRGLOCO1a Qualidade</v>
          </cell>
          <cell r="AC1861">
            <v>128</v>
          </cell>
          <cell r="AE1861">
            <v>828.16</v>
          </cell>
        </row>
        <row r="1862">
          <cell r="C1862" t="str">
            <v>JRGLOCO1a Qualidade</v>
          </cell>
          <cell r="AC1862">
            <v>240</v>
          </cell>
          <cell r="AE1862">
            <v>1900.8</v>
          </cell>
        </row>
        <row r="1863">
          <cell r="C1863" t="str">
            <v>JRGLOCO1a Qualidade</v>
          </cell>
          <cell r="AC1863">
            <v>260</v>
          </cell>
          <cell r="AE1863">
            <v>2059.1999999999998</v>
          </cell>
        </row>
        <row r="1864">
          <cell r="C1864" t="str">
            <v>JRGLOCO1a Qualidade</v>
          </cell>
          <cell r="AC1864">
            <v>211.5</v>
          </cell>
          <cell r="AE1864">
            <v>1486.845</v>
          </cell>
        </row>
        <row r="1865">
          <cell r="C1865" t="str">
            <v>JRGLOCO1a Qualidade</v>
          </cell>
          <cell r="AC1865">
            <v>240</v>
          </cell>
          <cell r="AE1865">
            <v>1900.8</v>
          </cell>
        </row>
        <row r="1866">
          <cell r="C1866" t="str">
            <v>JRGLOCO1a Qualidade</v>
          </cell>
          <cell r="AC1866">
            <v>241</v>
          </cell>
          <cell r="AE1866">
            <v>1694.23</v>
          </cell>
        </row>
        <row r="1867">
          <cell r="C1867" t="str">
            <v>JRGSANTANA1a Qualidade</v>
          </cell>
          <cell r="AC1867">
            <v>480</v>
          </cell>
          <cell r="AE1867">
            <v>2880</v>
          </cell>
        </row>
        <row r="1868">
          <cell r="C1868" t="str">
            <v>JRGSANTANA1a Qualidade</v>
          </cell>
          <cell r="AC1868">
            <v>475</v>
          </cell>
          <cell r="AE1868">
            <v>2850</v>
          </cell>
        </row>
        <row r="1869">
          <cell r="C1869" t="str">
            <v>JRGSANTANA1a Qualidade</v>
          </cell>
          <cell r="AC1869">
            <v>601</v>
          </cell>
          <cell r="AE1869">
            <v>3606</v>
          </cell>
        </row>
        <row r="1870">
          <cell r="C1870" t="str">
            <v>JRGSANTANADirecionado</v>
          </cell>
          <cell r="AC1870">
            <v>575.5</v>
          </cell>
          <cell r="AE1870">
            <v>2877.5</v>
          </cell>
        </row>
        <row r="1871">
          <cell r="C1871" t="str">
            <v>JRGLOCODirecionado</v>
          </cell>
          <cell r="AC1871">
            <v>147</v>
          </cell>
          <cell r="AE1871">
            <v>808.5</v>
          </cell>
        </row>
        <row r="1872">
          <cell r="C1872" t="str">
            <v>JRGSANTANADirecionado</v>
          </cell>
          <cell r="AC1872">
            <v>409.1</v>
          </cell>
          <cell r="AE1872">
            <v>2045.5</v>
          </cell>
        </row>
        <row r="1873">
          <cell r="C1873" t="str">
            <v>JRGSANTANA1a Qualidade</v>
          </cell>
          <cell r="AC1873">
            <v>420</v>
          </cell>
          <cell r="AE1873">
            <v>2570.4</v>
          </cell>
        </row>
        <row r="1874">
          <cell r="C1874" t="str">
            <v>JRGSANTANA1a Qualidade</v>
          </cell>
          <cell r="AC1874">
            <v>563</v>
          </cell>
          <cell r="AE1874">
            <v>3445.56</v>
          </cell>
        </row>
        <row r="1875">
          <cell r="C1875" t="str">
            <v>JRGSANTANA1a Qualidade</v>
          </cell>
          <cell r="AC1875">
            <v>480</v>
          </cell>
          <cell r="AE1875">
            <v>3028.8</v>
          </cell>
        </row>
        <row r="1876">
          <cell r="C1876" t="str">
            <v>JRGLOCO1a Qualidade</v>
          </cell>
          <cell r="AC1876">
            <v>360</v>
          </cell>
          <cell r="AE1876">
            <v>2329.1999999999998</v>
          </cell>
        </row>
        <row r="1877">
          <cell r="C1877" t="str">
            <v>JRGLOCO1a Qualidade</v>
          </cell>
          <cell r="AC1877">
            <v>140</v>
          </cell>
          <cell r="AE1877">
            <v>957.6</v>
          </cell>
        </row>
        <row r="1878">
          <cell r="C1878" t="str">
            <v>JRGLOCODirecionado</v>
          </cell>
          <cell r="AC1878">
            <v>77</v>
          </cell>
          <cell r="AE1878">
            <v>462</v>
          </cell>
        </row>
        <row r="1879">
          <cell r="C1879" t="str">
            <v>JRGLOCODirecionado</v>
          </cell>
          <cell r="AC1879">
            <v>38.799999999999997</v>
          </cell>
          <cell r="AE1879">
            <v>232.8</v>
          </cell>
        </row>
        <row r="1880">
          <cell r="C1880" t="str">
            <v>JRGLOCODirecionado</v>
          </cell>
          <cell r="AC1880">
            <v>45</v>
          </cell>
          <cell r="AE1880">
            <v>270</v>
          </cell>
        </row>
        <row r="1881">
          <cell r="C1881" t="str">
            <v>JRGLOCODirecionado</v>
          </cell>
          <cell r="AC1881">
            <v>46</v>
          </cell>
          <cell r="AE1881">
            <v>276</v>
          </cell>
        </row>
        <row r="1882">
          <cell r="C1882" t="str">
            <v>JRGLOCODirecionado</v>
          </cell>
          <cell r="AC1882">
            <v>48</v>
          </cell>
          <cell r="AE1882">
            <v>288</v>
          </cell>
        </row>
        <row r="1883">
          <cell r="C1883" t="str">
            <v>JRGSANTANADirecionado</v>
          </cell>
          <cell r="AC1883">
            <v>30.4</v>
          </cell>
          <cell r="AE1883">
            <v>167.2</v>
          </cell>
        </row>
        <row r="1884">
          <cell r="C1884" t="str">
            <v>JRGLOCODirecionado</v>
          </cell>
          <cell r="AC1884">
            <v>199.4</v>
          </cell>
          <cell r="AE1884">
            <v>997</v>
          </cell>
        </row>
        <row r="1885">
          <cell r="C1885" t="str">
            <v>JRGLOCODirecionado</v>
          </cell>
          <cell r="AC1885">
            <v>87.4</v>
          </cell>
          <cell r="AE1885">
            <v>437</v>
          </cell>
        </row>
        <row r="1886">
          <cell r="C1886" t="str">
            <v>JRGLOCODirecionado</v>
          </cell>
          <cell r="AC1886">
            <v>268.8</v>
          </cell>
          <cell r="AE1886">
            <v>1344</v>
          </cell>
        </row>
        <row r="1887">
          <cell r="C1887" t="str">
            <v>JRGLOCODirecionado</v>
          </cell>
          <cell r="AC1887">
            <v>140</v>
          </cell>
          <cell r="AE1887">
            <v>700</v>
          </cell>
        </row>
        <row r="1888">
          <cell r="C1888" t="str">
            <v>JRGLOCODirecionado</v>
          </cell>
          <cell r="AC1888">
            <v>97</v>
          </cell>
          <cell r="AE1888">
            <v>485</v>
          </cell>
        </row>
        <row r="1889">
          <cell r="C1889" t="str">
            <v>JRGLOCODirecionado</v>
          </cell>
          <cell r="AC1889">
            <v>140</v>
          </cell>
          <cell r="AE1889">
            <v>700</v>
          </cell>
        </row>
        <row r="1890">
          <cell r="C1890" t="str">
            <v>JRGLOCO1a Qualidade</v>
          </cell>
          <cell r="AC1890">
            <v>120</v>
          </cell>
          <cell r="AE1890">
            <v>825.6</v>
          </cell>
        </row>
        <row r="1891">
          <cell r="C1891" t="str">
            <v>JRGLOCODirecionado</v>
          </cell>
          <cell r="AC1891">
            <v>54.2</v>
          </cell>
          <cell r="AE1891">
            <v>298.10000000000002</v>
          </cell>
        </row>
        <row r="1892">
          <cell r="C1892" t="str">
            <v>JRGLOCODirecionado</v>
          </cell>
          <cell r="AC1892">
            <v>916.9</v>
          </cell>
          <cell r="AE1892">
            <v>4584.5</v>
          </cell>
        </row>
        <row r="1893">
          <cell r="C1893" t="str">
            <v>JRGLOCODirecionado</v>
          </cell>
          <cell r="AC1893">
            <v>915.5</v>
          </cell>
          <cell r="AE1893">
            <v>4577.5</v>
          </cell>
        </row>
        <row r="1894">
          <cell r="C1894" t="str">
            <v>JRGLOCODirecionado</v>
          </cell>
          <cell r="AC1894">
            <v>79.2</v>
          </cell>
          <cell r="AE1894">
            <v>396</v>
          </cell>
        </row>
        <row r="1895">
          <cell r="C1895" t="str">
            <v>JRGSANTANA1a Qualidade</v>
          </cell>
          <cell r="AC1895">
            <v>138.19999999999999</v>
          </cell>
          <cell r="AE1895">
            <v>845.78399999999999</v>
          </cell>
        </row>
        <row r="1896">
          <cell r="C1896" t="str">
            <v>JRGSANTANA1a Qualidade</v>
          </cell>
          <cell r="AC1896">
            <v>2281.5</v>
          </cell>
          <cell r="AE1896">
            <v>13278.33</v>
          </cell>
        </row>
        <row r="1897">
          <cell r="C1897" t="str">
            <v>JRGLOCO1a Qualidade</v>
          </cell>
          <cell r="AC1897">
            <v>332.6</v>
          </cell>
          <cell r="AE1897">
            <v>2517.7820000000002</v>
          </cell>
        </row>
        <row r="1898">
          <cell r="C1898" t="str">
            <v>JRGLOCO1a Qualidade</v>
          </cell>
          <cell r="AC1898">
            <v>390</v>
          </cell>
          <cell r="AE1898">
            <v>3088.8</v>
          </cell>
        </row>
        <row r="1899">
          <cell r="C1899" t="str">
            <v>JRGLOCODirecionado</v>
          </cell>
          <cell r="AC1899">
            <v>104.3</v>
          </cell>
          <cell r="AE1899">
            <v>573.65</v>
          </cell>
        </row>
        <row r="1900">
          <cell r="C1900" t="str">
            <v>JRGLOCODirecionado</v>
          </cell>
          <cell r="AC1900">
            <v>119</v>
          </cell>
          <cell r="AE1900">
            <v>654.5</v>
          </cell>
        </row>
        <row r="1901">
          <cell r="C1901" t="str">
            <v>JRGLOCODirecionado</v>
          </cell>
          <cell r="AC1901">
            <v>151</v>
          </cell>
          <cell r="AE1901">
            <v>830.5</v>
          </cell>
        </row>
        <row r="1902">
          <cell r="C1902" t="str">
            <v>JRGLOCODirecionado</v>
          </cell>
          <cell r="AC1902">
            <v>122</v>
          </cell>
          <cell r="AE1902">
            <v>671</v>
          </cell>
        </row>
        <row r="1903">
          <cell r="C1903" t="str">
            <v>JRGSANTANADirecionado</v>
          </cell>
          <cell r="AC1903">
            <v>97.7</v>
          </cell>
          <cell r="AE1903">
            <v>488.5</v>
          </cell>
        </row>
        <row r="1904">
          <cell r="C1904" t="str">
            <v>JRGSANTANA1a Qualidade</v>
          </cell>
          <cell r="AC1904">
            <v>415</v>
          </cell>
          <cell r="AE1904">
            <v>2701.65</v>
          </cell>
        </row>
        <row r="1905">
          <cell r="C1905" t="str">
            <v>JRGLOCODirecionado</v>
          </cell>
          <cell r="AC1905">
            <v>122</v>
          </cell>
          <cell r="AE1905">
            <v>671</v>
          </cell>
        </row>
        <row r="1906">
          <cell r="C1906" t="str">
            <v>JRGLOCODirecionado</v>
          </cell>
          <cell r="AC1906">
            <v>204</v>
          </cell>
          <cell r="AE1906">
            <v>1122</v>
          </cell>
        </row>
        <row r="1907">
          <cell r="C1907" t="str">
            <v>JRGLOCODirecionado</v>
          </cell>
          <cell r="AC1907">
            <v>124.5</v>
          </cell>
          <cell r="AE1907">
            <v>684.75</v>
          </cell>
        </row>
        <row r="1908">
          <cell r="C1908" t="str">
            <v>JRGLOCODirecionado</v>
          </cell>
          <cell r="AC1908">
            <v>120</v>
          </cell>
          <cell r="AE1908">
            <v>660</v>
          </cell>
        </row>
        <row r="1909">
          <cell r="C1909" t="str">
            <v>JRGSANTANADirecionado</v>
          </cell>
          <cell r="AC1909">
            <v>1036.0999999999999</v>
          </cell>
          <cell r="AE1909">
            <v>5335.915</v>
          </cell>
        </row>
        <row r="1910">
          <cell r="C1910" t="str">
            <v>JRGSANTANADirecionado</v>
          </cell>
          <cell r="AC1910">
            <v>133</v>
          </cell>
          <cell r="AE1910">
            <v>665</v>
          </cell>
        </row>
        <row r="1911">
          <cell r="C1911" t="str">
            <v>JRGSANTANA1a Qualidade</v>
          </cell>
          <cell r="AC1911">
            <v>600</v>
          </cell>
          <cell r="AE1911">
            <v>3972</v>
          </cell>
        </row>
        <row r="1912">
          <cell r="C1912" t="str">
            <v>JRGLOCO1a Qualidade</v>
          </cell>
          <cell r="AC1912">
            <v>211</v>
          </cell>
          <cell r="AE1912">
            <v>1593.05</v>
          </cell>
        </row>
        <row r="1913">
          <cell r="C1913" t="str">
            <v>JRGLOCO1a Qualidade</v>
          </cell>
          <cell r="AC1913">
            <v>119.5</v>
          </cell>
          <cell r="AE1913">
            <v>878.32500000000005</v>
          </cell>
        </row>
        <row r="1914">
          <cell r="C1914" t="str">
            <v>JRGLOCODirecionado</v>
          </cell>
          <cell r="AC1914">
            <v>1504.5</v>
          </cell>
          <cell r="AE1914">
            <v>8876.5499999999993</v>
          </cell>
        </row>
        <row r="1915">
          <cell r="C1915" t="str">
            <v>JRGLOCODirecionado</v>
          </cell>
          <cell r="AC1915">
            <v>139</v>
          </cell>
          <cell r="AE1915">
            <v>820.1</v>
          </cell>
        </row>
        <row r="1916">
          <cell r="C1916" t="str">
            <v>JRGLOCODirecionado</v>
          </cell>
          <cell r="AC1916">
            <v>432.3</v>
          </cell>
          <cell r="AE1916">
            <v>2550.5700000000002</v>
          </cell>
        </row>
        <row r="1917">
          <cell r="C1917" t="str">
            <v>JRGLOCODirecionado</v>
          </cell>
          <cell r="AC1917">
            <v>1537.8</v>
          </cell>
          <cell r="AE1917">
            <v>9073.02</v>
          </cell>
        </row>
        <row r="1918">
          <cell r="C1918" t="str">
            <v>JRGLOCODirecionado</v>
          </cell>
          <cell r="AC1918">
            <v>1799.2</v>
          </cell>
          <cell r="AE1918">
            <v>10615.28</v>
          </cell>
        </row>
        <row r="1919">
          <cell r="C1919" t="str">
            <v>JRGSANTANA1a Qualidade</v>
          </cell>
          <cell r="AC1919">
            <v>1212.3</v>
          </cell>
          <cell r="AE1919">
            <v>6364.5749999999998</v>
          </cell>
        </row>
        <row r="1920">
          <cell r="C1920" t="str">
            <v>JRGSANTANA1a Qualidade</v>
          </cell>
          <cell r="AC1920">
            <v>8035.3</v>
          </cell>
          <cell r="AE1920">
            <v>45801.21</v>
          </cell>
        </row>
        <row r="1921">
          <cell r="C1921" t="str">
            <v>JRGSANTANA1a Qualidade</v>
          </cell>
          <cell r="AC1921">
            <v>5065</v>
          </cell>
          <cell r="AE1921">
            <v>30390</v>
          </cell>
        </row>
        <row r="1922">
          <cell r="C1922" t="str">
            <v>JRGSANTANA1a Qualidade</v>
          </cell>
          <cell r="AC1922">
            <v>15110</v>
          </cell>
          <cell r="AE1922">
            <v>90660</v>
          </cell>
        </row>
        <row r="1923">
          <cell r="C1923" t="str">
            <v>JRGLOCODirecionado</v>
          </cell>
          <cell r="AC1923">
            <v>114.5</v>
          </cell>
          <cell r="AE1923">
            <v>629.75</v>
          </cell>
        </row>
        <row r="1924">
          <cell r="C1924" t="str">
            <v>JRGLOCODirecionado</v>
          </cell>
          <cell r="AC1924">
            <v>302.5</v>
          </cell>
          <cell r="AE1924">
            <v>1663.75</v>
          </cell>
        </row>
        <row r="1925">
          <cell r="C1925" t="str">
            <v>JRGLOCODirecionado</v>
          </cell>
          <cell r="AC1925">
            <v>140</v>
          </cell>
          <cell r="AE1925">
            <v>770</v>
          </cell>
        </row>
        <row r="1926">
          <cell r="C1926" t="str">
            <v>JRGSANTANADirecionado</v>
          </cell>
          <cell r="AC1926">
            <v>153</v>
          </cell>
          <cell r="AE1926">
            <v>765</v>
          </cell>
        </row>
        <row r="1927">
          <cell r="C1927" t="str">
            <v>JRGLOCODirecionado</v>
          </cell>
          <cell r="AC1927">
            <v>140</v>
          </cell>
          <cell r="AE1927">
            <v>770</v>
          </cell>
        </row>
        <row r="1928">
          <cell r="C1928" t="str">
            <v>JRGLOCODirecionado</v>
          </cell>
          <cell r="AC1928">
            <v>96.2</v>
          </cell>
          <cell r="AE1928">
            <v>577.20000000000005</v>
          </cell>
        </row>
        <row r="1929">
          <cell r="C1929" t="str">
            <v>JRGLOCO1a Qualidade</v>
          </cell>
          <cell r="AC1929">
            <v>77.5</v>
          </cell>
          <cell r="AE1929">
            <v>689.75</v>
          </cell>
        </row>
        <row r="1930">
          <cell r="C1930" t="str">
            <v>JRGLOCODirecionado</v>
          </cell>
          <cell r="AC1930">
            <v>87.5</v>
          </cell>
          <cell r="AE1930">
            <v>481.25</v>
          </cell>
        </row>
        <row r="1931">
          <cell r="C1931" t="str">
            <v>JRGSANTANADirecionado</v>
          </cell>
          <cell r="AC1931">
            <v>125</v>
          </cell>
          <cell r="AE1931">
            <v>687.5</v>
          </cell>
        </row>
        <row r="1932">
          <cell r="C1932" t="str">
            <v>JRGLOCO1a Qualidade</v>
          </cell>
          <cell r="AC1932">
            <v>675.5</v>
          </cell>
          <cell r="AE1932">
            <v>5998.44</v>
          </cell>
        </row>
        <row r="1933">
          <cell r="C1933" t="str">
            <v>JRGSANTANA1a Qualidade</v>
          </cell>
          <cell r="AC1933">
            <v>556</v>
          </cell>
          <cell r="AE1933">
            <v>3402.72</v>
          </cell>
        </row>
        <row r="1934">
          <cell r="C1934" t="str">
            <v>JRGSANTANADirecionado</v>
          </cell>
          <cell r="AC1934">
            <v>1130</v>
          </cell>
          <cell r="AE1934">
            <v>5819.5</v>
          </cell>
        </row>
        <row r="1935">
          <cell r="C1935" t="str">
            <v>JRGLOCODirecionado</v>
          </cell>
          <cell r="AC1935">
            <v>472.1</v>
          </cell>
          <cell r="AE1935">
            <v>2596.5500000000002</v>
          </cell>
        </row>
        <row r="1936">
          <cell r="C1936" t="str">
            <v>JRGLOCODirecionado</v>
          </cell>
          <cell r="AC1936">
            <v>127.8</v>
          </cell>
          <cell r="AE1936">
            <v>702.9</v>
          </cell>
        </row>
        <row r="1937">
          <cell r="C1937" t="str">
            <v>JRGLOCODirecionado</v>
          </cell>
          <cell r="AC1937">
            <v>253.4</v>
          </cell>
          <cell r="AE1937">
            <v>1393.7</v>
          </cell>
        </row>
        <row r="1938">
          <cell r="C1938" t="str">
            <v>JRGLOCODirecionado</v>
          </cell>
          <cell r="AC1938">
            <v>47.5</v>
          </cell>
          <cell r="AE1938">
            <v>261.25</v>
          </cell>
        </row>
        <row r="1939">
          <cell r="C1939" t="str">
            <v>JRGSANTANA1a Qualidade</v>
          </cell>
          <cell r="AC1939">
            <v>616.1</v>
          </cell>
          <cell r="AE1939">
            <v>3733.5659999999998</v>
          </cell>
        </row>
        <row r="1940">
          <cell r="C1940" t="str">
            <v>JRGLOCO1a Qualidade</v>
          </cell>
          <cell r="AC1940">
            <v>564.70000000000005</v>
          </cell>
          <cell r="AE1940">
            <v>3506.7870000000003</v>
          </cell>
        </row>
        <row r="1941">
          <cell r="C1941" t="str">
            <v>JRGLOCO1a Qualidade</v>
          </cell>
          <cell r="AC1941">
            <v>598</v>
          </cell>
          <cell r="AE1941">
            <v>3605.94</v>
          </cell>
        </row>
        <row r="1942">
          <cell r="C1942" t="str">
            <v>JRGLOCO1a Qualidade</v>
          </cell>
          <cell r="AC1942">
            <v>525</v>
          </cell>
          <cell r="AE1942">
            <v>3869.25</v>
          </cell>
        </row>
        <row r="1943">
          <cell r="C1943" t="str">
            <v>JRGLOCO1a Qualidade</v>
          </cell>
          <cell r="AC1943">
            <v>580.79999999999995</v>
          </cell>
          <cell r="AE1943">
            <v>4652.2079999999996</v>
          </cell>
        </row>
        <row r="1944">
          <cell r="C1944" t="str">
            <v>JRGLOCO1a Qualidade</v>
          </cell>
          <cell r="AC1944">
            <v>490</v>
          </cell>
          <cell r="AE1944">
            <v>3351.6</v>
          </cell>
        </row>
        <row r="1945">
          <cell r="C1945" t="str">
            <v>JRGSANTANA1a Qualidade</v>
          </cell>
          <cell r="AC1945">
            <v>605</v>
          </cell>
          <cell r="AE1945">
            <v>3666.3</v>
          </cell>
        </row>
        <row r="1946">
          <cell r="C1946" t="str">
            <v>JRGLOCO1a Qualidade</v>
          </cell>
          <cell r="AC1946">
            <v>480</v>
          </cell>
          <cell r="AE1946">
            <v>2980.8</v>
          </cell>
        </row>
        <row r="1947">
          <cell r="C1947" t="str">
            <v>JRGSANTANA1a Qualidade</v>
          </cell>
          <cell r="AC1947">
            <v>537</v>
          </cell>
          <cell r="AE1947">
            <v>3409.95</v>
          </cell>
        </row>
        <row r="1948">
          <cell r="C1948" t="str">
            <v>JRGSANTANA1a Qualidade</v>
          </cell>
          <cell r="AC1948">
            <v>600</v>
          </cell>
          <cell r="AE1948">
            <v>3750</v>
          </cell>
        </row>
        <row r="1949">
          <cell r="C1949" t="str">
            <v>JRGLOCO1a Qualidade</v>
          </cell>
          <cell r="AC1949">
            <v>983.7</v>
          </cell>
          <cell r="AE1949">
            <v>7279.38</v>
          </cell>
        </row>
        <row r="1950">
          <cell r="C1950" t="str">
            <v>JRGLOCO1a Qualidade</v>
          </cell>
          <cell r="AC1950">
            <v>565</v>
          </cell>
          <cell r="AE1950">
            <v>3655.55</v>
          </cell>
        </row>
        <row r="1951">
          <cell r="C1951" t="str">
            <v>JRGLOCO1a Qualidade</v>
          </cell>
          <cell r="AC1951">
            <v>609</v>
          </cell>
          <cell r="AE1951">
            <v>4506.6000000000004</v>
          </cell>
        </row>
        <row r="1952">
          <cell r="C1952" t="str">
            <v>JRGLOCO1a Qualidade</v>
          </cell>
          <cell r="AC1952">
            <v>551.5</v>
          </cell>
          <cell r="AE1952">
            <v>4081.1</v>
          </cell>
        </row>
        <row r="1953">
          <cell r="C1953" t="str">
            <v>JRGLOCO1a Qualidade</v>
          </cell>
          <cell r="AC1953">
            <v>1605.3</v>
          </cell>
          <cell r="AE1953">
            <v>11879.22</v>
          </cell>
        </row>
        <row r="1954">
          <cell r="C1954" t="str">
            <v>JRGLOCO1a Qualidade</v>
          </cell>
          <cell r="AC1954">
            <v>581.79999999999995</v>
          </cell>
          <cell r="AE1954">
            <v>4305.32</v>
          </cell>
        </row>
        <row r="1955">
          <cell r="C1955" t="str">
            <v>JRGLOCO1a Qualidade</v>
          </cell>
          <cell r="AC1955">
            <v>474.2</v>
          </cell>
          <cell r="AE1955">
            <v>3509.08</v>
          </cell>
        </row>
        <row r="1956">
          <cell r="C1956" t="str">
            <v>JRGLOCODirecionado</v>
          </cell>
          <cell r="AC1956">
            <v>100</v>
          </cell>
          <cell r="AE1956">
            <v>600</v>
          </cell>
        </row>
        <row r="1957">
          <cell r="C1957" t="str">
            <v>JRGLOCODirecionado</v>
          </cell>
          <cell r="AC1957">
            <v>107</v>
          </cell>
          <cell r="AE1957">
            <v>642</v>
          </cell>
        </row>
        <row r="1958">
          <cell r="C1958" t="str">
            <v>JRGLOCODirecionado</v>
          </cell>
          <cell r="AC1958">
            <v>111</v>
          </cell>
          <cell r="AE1958">
            <v>666</v>
          </cell>
        </row>
        <row r="1959">
          <cell r="C1959" t="str">
            <v>JRGLOCO1a Qualidade</v>
          </cell>
          <cell r="AC1959">
            <v>111.8</v>
          </cell>
          <cell r="AE1959">
            <v>939.12</v>
          </cell>
        </row>
        <row r="1960">
          <cell r="C1960" t="str">
            <v>JRGLOCODirecionado</v>
          </cell>
          <cell r="AC1960">
            <v>83.5</v>
          </cell>
          <cell r="AE1960">
            <v>501</v>
          </cell>
        </row>
        <row r="1961">
          <cell r="C1961" t="str">
            <v>JRGLOCODirecionado</v>
          </cell>
          <cell r="AC1961">
            <v>1949.6</v>
          </cell>
          <cell r="AE1961">
            <v>11502.64</v>
          </cell>
        </row>
        <row r="1962">
          <cell r="C1962" t="str">
            <v>JRGSANTANADirecionado</v>
          </cell>
          <cell r="AC1962">
            <v>1031</v>
          </cell>
          <cell r="AE1962">
            <v>5670.5</v>
          </cell>
        </row>
        <row r="1963">
          <cell r="C1963" t="str">
            <v>JRGSANTANA1a Qualidade</v>
          </cell>
          <cell r="AC1963">
            <v>1040</v>
          </cell>
          <cell r="AE1963">
            <v>6156.8</v>
          </cell>
        </row>
        <row r="1964">
          <cell r="C1964" t="str">
            <v>JRGSANTANA1a Qualidade</v>
          </cell>
          <cell r="AC1964">
            <v>1037.5</v>
          </cell>
          <cell r="AE1964">
            <v>6546.625</v>
          </cell>
        </row>
        <row r="1965">
          <cell r="C1965" t="str">
            <v>JRGSANTANADirecionado</v>
          </cell>
          <cell r="AC1965">
            <v>933.6</v>
          </cell>
          <cell r="AE1965">
            <v>5134.8</v>
          </cell>
        </row>
        <row r="1966">
          <cell r="C1966" t="str">
            <v>JRGSANTANADirecionado</v>
          </cell>
          <cell r="AC1966">
            <v>599</v>
          </cell>
          <cell r="AE1966">
            <v>3294.5</v>
          </cell>
        </row>
        <row r="1967">
          <cell r="C1967" t="str">
            <v>JRGSANTANADirecionado</v>
          </cell>
          <cell r="AC1967">
            <v>138</v>
          </cell>
          <cell r="AE1967">
            <v>759</v>
          </cell>
        </row>
        <row r="1968">
          <cell r="C1968" t="str">
            <v>JRGSANTANADirecionado</v>
          </cell>
          <cell r="AC1968">
            <v>988</v>
          </cell>
          <cell r="AE1968">
            <v>5434</v>
          </cell>
        </row>
        <row r="1969">
          <cell r="C1969" t="str">
            <v>JRGSANTANADirecionado</v>
          </cell>
          <cell r="AC1969">
            <v>289</v>
          </cell>
          <cell r="AE1969">
            <v>1589.5</v>
          </cell>
        </row>
        <row r="1970">
          <cell r="C1970" t="str">
            <v>JRGLOCO1a Qualidade</v>
          </cell>
          <cell r="AC1970">
            <v>482</v>
          </cell>
          <cell r="AE1970">
            <v>3817.44</v>
          </cell>
        </row>
        <row r="1971">
          <cell r="C1971" t="str">
            <v>JRGLOCO1a Qualidade</v>
          </cell>
          <cell r="AC1971">
            <v>910</v>
          </cell>
          <cell r="AE1971">
            <v>7207.2</v>
          </cell>
        </row>
        <row r="1972">
          <cell r="C1972" t="str">
            <v>JRGLOCO2a Qualidade</v>
          </cell>
          <cell r="AC1972">
            <v>185.8</v>
          </cell>
          <cell r="AE1972">
            <v>929</v>
          </cell>
        </row>
        <row r="1973">
          <cell r="C1973" t="str">
            <v>JRGLOCO1a Qualidade</v>
          </cell>
          <cell r="AC1973">
            <v>120</v>
          </cell>
          <cell r="AE1973">
            <v>843.6</v>
          </cell>
        </row>
        <row r="1974">
          <cell r="C1974" t="str">
            <v>JRGLOCO1a Qualidade</v>
          </cell>
          <cell r="AC1974">
            <v>115</v>
          </cell>
          <cell r="AE1974">
            <v>707.25</v>
          </cell>
        </row>
        <row r="1975">
          <cell r="C1975" t="str">
            <v>JRGLOCO1a Qualidade</v>
          </cell>
          <cell r="AC1975">
            <v>360</v>
          </cell>
          <cell r="AE1975">
            <v>2725.2</v>
          </cell>
        </row>
        <row r="1976">
          <cell r="C1976" t="str">
            <v>JRGLOCO1a Qualidade</v>
          </cell>
          <cell r="AC1976">
            <v>110</v>
          </cell>
          <cell r="AE1976">
            <v>676.5</v>
          </cell>
        </row>
        <row r="1977">
          <cell r="C1977" t="str">
            <v>JRGLOCO1a Qualidade</v>
          </cell>
          <cell r="AC1977">
            <v>249</v>
          </cell>
          <cell r="AE1977">
            <v>1972.08</v>
          </cell>
        </row>
        <row r="1978">
          <cell r="C1978" t="str">
            <v>JRGLOCO1a Qualidade</v>
          </cell>
          <cell r="AC1978">
            <v>120</v>
          </cell>
          <cell r="AE1978">
            <v>908.4</v>
          </cell>
        </row>
        <row r="1979">
          <cell r="C1979" t="str">
            <v>JRGLOCO1a Qualidade</v>
          </cell>
          <cell r="AC1979">
            <v>130</v>
          </cell>
          <cell r="AE1979">
            <v>890.5</v>
          </cell>
        </row>
        <row r="1980">
          <cell r="C1980" t="str">
            <v>JRGSANTANA2a Qualidade</v>
          </cell>
          <cell r="AC1980">
            <v>100</v>
          </cell>
          <cell r="AE1980">
            <v>550</v>
          </cell>
        </row>
        <row r="1981">
          <cell r="C1981" t="str">
            <v>JRGLOCO1a Qualidade</v>
          </cell>
          <cell r="AC1981">
            <v>1075.4000000000001</v>
          </cell>
          <cell r="AE1981">
            <v>7721.3720000000003</v>
          </cell>
        </row>
        <row r="1982">
          <cell r="C1982" t="str">
            <v>JRGLOCO1a Qualidade</v>
          </cell>
          <cell r="AC1982">
            <v>1069.7</v>
          </cell>
          <cell r="AE1982">
            <v>8076.2350000000006</v>
          </cell>
        </row>
        <row r="1983">
          <cell r="C1983" t="str">
            <v>JRGLOCO1a Qualidade</v>
          </cell>
          <cell r="AC1983">
            <v>120</v>
          </cell>
          <cell r="AE1983">
            <v>811.2</v>
          </cell>
        </row>
        <row r="1984">
          <cell r="C1984" t="str">
            <v>JRGSANTANA1a Qualidade</v>
          </cell>
          <cell r="AC1984">
            <v>965</v>
          </cell>
          <cell r="AE1984">
            <v>5983</v>
          </cell>
        </row>
        <row r="1985">
          <cell r="C1985" t="str">
            <v>JRGSANTANA2a Qualidade</v>
          </cell>
          <cell r="AC1985">
            <v>328.5</v>
          </cell>
          <cell r="AE1985">
            <v>1691.7750000000001</v>
          </cell>
        </row>
        <row r="1986">
          <cell r="C1986" t="str">
            <v>JRGSANTANA2a Qualidade</v>
          </cell>
          <cell r="AC1986">
            <v>1006.9</v>
          </cell>
          <cell r="AE1986">
            <v>5185.5349999999999</v>
          </cell>
        </row>
        <row r="1987">
          <cell r="C1987" t="str">
            <v>JRGLOCO1a Qualidade</v>
          </cell>
          <cell r="AC1987">
            <v>520</v>
          </cell>
          <cell r="AE1987">
            <v>3848</v>
          </cell>
        </row>
        <row r="1988">
          <cell r="C1988" t="str">
            <v>JRGSANTANADirecionado</v>
          </cell>
          <cell r="AC1988">
            <v>494.4</v>
          </cell>
          <cell r="AE1988">
            <v>2916.96</v>
          </cell>
        </row>
        <row r="1989">
          <cell r="C1989" t="str">
            <v>JRGLOCODirecionado</v>
          </cell>
          <cell r="AC1989">
            <v>517.70000000000005</v>
          </cell>
          <cell r="AE1989">
            <v>3054.43</v>
          </cell>
        </row>
        <row r="1990">
          <cell r="C1990" t="str">
            <v>JRGLOCO1a Qualidade</v>
          </cell>
          <cell r="AC1990">
            <v>274.8</v>
          </cell>
          <cell r="AE1990">
            <v>1690.02</v>
          </cell>
        </row>
        <row r="1991">
          <cell r="C1991" t="str">
            <v>JRGLOCODirecionado</v>
          </cell>
          <cell r="AC1991">
            <v>116.7</v>
          </cell>
          <cell r="AE1991">
            <v>641.85</v>
          </cell>
        </row>
        <row r="1992">
          <cell r="C1992" t="str">
            <v>JRGLOCODirecionado</v>
          </cell>
          <cell r="AC1992">
            <v>140</v>
          </cell>
          <cell r="AE1992">
            <v>770</v>
          </cell>
        </row>
        <row r="1993">
          <cell r="C1993" t="str">
            <v>JRGLOCODirecionado</v>
          </cell>
          <cell r="AC1993">
            <v>140.4</v>
          </cell>
          <cell r="AE1993">
            <v>772.2</v>
          </cell>
        </row>
        <row r="1994">
          <cell r="C1994" t="str">
            <v>JRGSANTANA1a Qualidade</v>
          </cell>
          <cell r="AC1994">
            <v>102</v>
          </cell>
          <cell r="AE1994">
            <v>648.72</v>
          </cell>
        </row>
        <row r="1995">
          <cell r="C1995" t="str">
            <v>JRGSANTANA1a Qualidade</v>
          </cell>
          <cell r="AC1995">
            <v>99</v>
          </cell>
          <cell r="AE1995">
            <v>654.39</v>
          </cell>
        </row>
        <row r="1996">
          <cell r="C1996" t="str">
            <v>JRGSANTANA1a Qualidade</v>
          </cell>
          <cell r="AC1996">
            <v>506.2</v>
          </cell>
          <cell r="AE1996">
            <v>2606.9299999999998</v>
          </cell>
        </row>
        <row r="1997">
          <cell r="C1997" t="str">
            <v>JRGSANTANA1a Qualidade</v>
          </cell>
          <cell r="AC1997">
            <v>115</v>
          </cell>
          <cell r="AE1997">
            <v>592.25</v>
          </cell>
        </row>
        <row r="1998">
          <cell r="C1998" t="str">
            <v>JRGSANTANA1a Qualidade</v>
          </cell>
          <cell r="AC1998">
            <v>275</v>
          </cell>
          <cell r="AE1998">
            <v>1416.25</v>
          </cell>
        </row>
        <row r="1999">
          <cell r="C1999" t="str">
            <v>JRGSANTANA1a Qualidade</v>
          </cell>
          <cell r="AC1999">
            <v>512.5</v>
          </cell>
          <cell r="AE1999">
            <v>2639.375</v>
          </cell>
        </row>
        <row r="2000">
          <cell r="C2000" t="str">
            <v>JRGSANTANA1a Qualidade</v>
          </cell>
          <cell r="AC2000">
            <v>561.79999999999995</v>
          </cell>
          <cell r="AE2000">
            <v>3792.15</v>
          </cell>
        </row>
        <row r="2001">
          <cell r="C2001" t="str">
            <v>JRGSANTANA1a Qualidade</v>
          </cell>
          <cell r="AC2001">
            <v>360</v>
          </cell>
          <cell r="AE2001">
            <v>2520</v>
          </cell>
        </row>
        <row r="2002">
          <cell r="C2002" t="str">
            <v>JRGSANTANADirecionado</v>
          </cell>
          <cell r="AC2002">
            <v>1102.7</v>
          </cell>
          <cell r="AE2002">
            <v>5678.9050000000007</v>
          </cell>
        </row>
        <row r="2003">
          <cell r="C2003" t="str">
            <v>JRGLOCO1a Qualidade</v>
          </cell>
          <cell r="AC2003">
            <v>590.5</v>
          </cell>
          <cell r="AE2003">
            <v>5202.3050000000003</v>
          </cell>
        </row>
        <row r="2004">
          <cell r="C2004" t="str">
            <v>JRGLOCODirecionado</v>
          </cell>
          <cell r="AC2004">
            <v>51.5</v>
          </cell>
          <cell r="AE2004">
            <v>283.25</v>
          </cell>
        </row>
        <row r="2005">
          <cell r="C2005" t="str">
            <v>JRGSANTANA1a Qualidade</v>
          </cell>
          <cell r="AC2005">
            <v>120</v>
          </cell>
          <cell r="AE2005">
            <v>757.2</v>
          </cell>
        </row>
        <row r="2006">
          <cell r="C2006" t="str">
            <v>JRGLOCO1a Qualidade</v>
          </cell>
          <cell r="AC2006">
            <v>240.5</v>
          </cell>
          <cell r="AE2006">
            <v>1563.25</v>
          </cell>
        </row>
        <row r="2007">
          <cell r="C2007" t="str">
            <v>JRGSANTANA1a Qualidade</v>
          </cell>
          <cell r="AC2007">
            <v>340</v>
          </cell>
          <cell r="AE2007">
            <v>2458.1999999999998</v>
          </cell>
        </row>
        <row r="2008">
          <cell r="C2008" t="str">
            <v>JRGSANTANA1a Qualidade</v>
          </cell>
          <cell r="AC2008">
            <v>2056</v>
          </cell>
          <cell r="AE2008">
            <v>11719.2</v>
          </cell>
        </row>
        <row r="2009">
          <cell r="C2009" t="str">
            <v>JRGLOCO1a Qualidade</v>
          </cell>
          <cell r="AC2009">
            <v>1026</v>
          </cell>
          <cell r="AE2009">
            <v>7489.8</v>
          </cell>
        </row>
        <row r="2010">
          <cell r="C2010" t="str">
            <v>JRGSANTANADirecionado</v>
          </cell>
          <cell r="AC2010">
            <v>4302.7</v>
          </cell>
          <cell r="AE2010">
            <v>21513.5</v>
          </cell>
        </row>
        <row r="2011">
          <cell r="C2011" t="str">
            <v>JRGSANTANA1a Qualidade</v>
          </cell>
          <cell r="AC2011">
            <v>1106</v>
          </cell>
          <cell r="AE2011">
            <v>6083</v>
          </cell>
        </row>
        <row r="2012">
          <cell r="C2012" t="str">
            <v>JRGLOCO2a Qualidade</v>
          </cell>
          <cell r="AC2012">
            <v>27</v>
          </cell>
          <cell r="AE2012">
            <v>148.5</v>
          </cell>
        </row>
        <row r="2013">
          <cell r="C2013" t="str">
            <v>JRGSANTANA2a Qualidade</v>
          </cell>
          <cell r="AC2013">
            <v>44.4</v>
          </cell>
          <cell r="AE2013">
            <v>244.2</v>
          </cell>
        </row>
        <row r="2014">
          <cell r="C2014" t="str">
            <v>JRGSANTANA2a Qualidade</v>
          </cell>
          <cell r="AC2014">
            <v>117</v>
          </cell>
          <cell r="AE2014">
            <v>643.5</v>
          </cell>
        </row>
        <row r="2015">
          <cell r="C2015" t="str">
            <v>JRGLOCO2a Qualidade</v>
          </cell>
          <cell r="AC2015">
            <v>58.8</v>
          </cell>
          <cell r="AE2015">
            <v>323.39999999999998</v>
          </cell>
        </row>
        <row r="2016">
          <cell r="C2016" t="str">
            <v>JRGSANTANA1a Qualidade</v>
          </cell>
          <cell r="AC2016">
            <v>29</v>
          </cell>
          <cell r="AE2016">
            <v>145</v>
          </cell>
        </row>
        <row r="2017">
          <cell r="C2017" t="str">
            <v>JRGSANTANADirecionado</v>
          </cell>
          <cell r="AC2017">
            <v>56.6</v>
          </cell>
          <cell r="AE2017">
            <v>283</v>
          </cell>
        </row>
        <row r="2018">
          <cell r="C2018" t="str">
            <v>JRGSANTANA1a Qualidade</v>
          </cell>
          <cell r="AC2018">
            <v>120</v>
          </cell>
          <cell r="AE2018">
            <v>778.8</v>
          </cell>
        </row>
        <row r="2019">
          <cell r="C2019" t="str">
            <v>JRGSANTANADirecionado</v>
          </cell>
          <cell r="AC2019">
            <v>166.5</v>
          </cell>
          <cell r="AE2019">
            <v>915.75</v>
          </cell>
        </row>
        <row r="2020">
          <cell r="C2020" t="str">
            <v>JRGSANTANA1a Qualidade</v>
          </cell>
          <cell r="AC2020">
            <v>2012.7</v>
          </cell>
          <cell r="AE2020">
            <v>11472.39</v>
          </cell>
        </row>
        <row r="2021">
          <cell r="C2021" t="str">
            <v>JRGLOCODirecionado</v>
          </cell>
          <cell r="AC2021">
            <v>188.9</v>
          </cell>
          <cell r="AE2021">
            <v>1133.4000000000001</v>
          </cell>
        </row>
        <row r="2022">
          <cell r="C2022" t="str">
            <v>JRGSANTANA1a Qualidade</v>
          </cell>
          <cell r="AC2022">
            <v>360</v>
          </cell>
          <cell r="AE2022">
            <v>2224.8000000000002</v>
          </cell>
        </row>
        <row r="2023">
          <cell r="C2023" t="str">
            <v>JRGSANTANA1a Qualidade</v>
          </cell>
          <cell r="AC2023">
            <v>480</v>
          </cell>
          <cell r="AE2023">
            <v>2966.4</v>
          </cell>
        </row>
        <row r="2024">
          <cell r="C2024" t="str">
            <v>JRGLOCO1a Qualidade</v>
          </cell>
          <cell r="AC2024">
            <v>120</v>
          </cell>
          <cell r="AE2024">
            <v>921.6</v>
          </cell>
        </row>
        <row r="2025">
          <cell r="C2025" t="str">
            <v>JRGLOCO1a Qualidade</v>
          </cell>
          <cell r="AC2025">
            <v>98</v>
          </cell>
          <cell r="AE2025">
            <v>605.64</v>
          </cell>
        </row>
        <row r="2026">
          <cell r="C2026" t="str">
            <v>JRGLOCO1a Qualidade</v>
          </cell>
          <cell r="AC2026">
            <v>117.2</v>
          </cell>
          <cell r="AE2026">
            <v>887.20400000000006</v>
          </cell>
        </row>
        <row r="2027">
          <cell r="C2027" t="str">
            <v>JRGSANTANA1a Qualidade</v>
          </cell>
          <cell r="AC2027">
            <v>280.5</v>
          </cell>
          <cell r="AE2027">
            <v>1711.05</v>
          </cell>
        </row>
        <row r="2028">
          <cell r="C2028" t="str">
            <v>JRGSANTANA1a Qualidade</v>
          </cell>
          <cell r="AC2028">
            <v>1187</v>
          </cell>
          <cell r="AE2028">
            <v>7952.9</v>
          </cell>
        </row>
        <row r="2029">
          <cell r="C2029" t="str">
            <v>JRGSANTANA1a Qualidade</v>
          </cell>
          <cell r="AC2029">
            <v>1081</v>
          </cell>
          <cell r="AE2029">
            <v>7242.7</v>
          </cell>
        </row>
        <row r="2030">
          <cell r="C2030" t="str">
            <v>JRGLOCODirecionado</v>
          </cell>
          <cell r="AC2030">
            <v>143.5</v>
          </cell>
          <cell r="AE2030">
            <v>789.25</v>
          </cell>
        </row>
        <row r="2031">
          <cell r="C2031" t="str">
            <v>JRGLOCODirecionado</v>
          </cell>
          <cell r="AC2031">
            <v>181.3</v>
          </cell>
          <cell r="AE2031">
            <v>997.15</v>
          </cell>
        </row>
        <row r="2032">
          <cell r="C2032" t="str">
            <v>JRGSANTANADirecionado</v>
          </cell>
          <cell r="AC2032">
            <v>106.7</v>
          </cell>
          <cell r="AE2032">
            <v>586.85</v>
          </cell>
        </row>
        <row r="2033">
          <cell r="C2033" t="str">
            <v>JRGLOCODirecionado</v>
          </cell>
          <cell r="AC2033">
            <v>130</v>
          </cell>
          <cell r="AE2033">
            <v>715</v>
          </cell>
        </row>
        <row r="2034">
          <cell r="C2034" t="str">
            <v>JRGLOCO1a Qualidade</v>
          </cell>
          <cell r="AC2034">
            <v>120</v>
          </cell>
          <cell r="AE2034">
            <v>818.4</v>
          </cell>
        </row>
        <row r="2035">
          <cell r="C2035" t="str">
            <v>JRGLOCO1a Qualidade</v>
          </cell>
          <cell r="AC2035">
            <v>90</v>
          </cell>
          <cell r="AE2035">
            <v>796.5</v>
          </cell>
        </row>
        <row r="2036">
          <cell r="C2036" t="str">
            <v>JRGLOCO1a Qualidade</v>
          </cell>
          <cell r="AC2036">
            <v>248.7</v>
          </cell>
          <cell r="AE2036">
            <v>2123.8979999999997</v>
          </cell>
        </row>
        <row r="2037">
          <cell r="C2037" t="str">
            <v>JRGLOCO1a Qualidade</v>
          </cell>
          <cell r="AC2037">
            <v>240</v>
          </cell>
          <cell r="AE2037">
            <v>1723.2</v>
          </cell>
        </row>
        <row r="2038">
          <cell r="C2038" t="str">
            <v>JRGSANTANA1a Qualidade</v>
          </cell>
          <cell r="AC2038">
            <v>485.5</v>
          </cell>
          <cell r="AE2038">
            <v>3252.85</v>
          </cell>
        </row>
        <row r="2039">
          <cell r="C2039" t="str">
            <v>JRGSANTANA1a Qualidade</v>
          </cell>
          <cell r="AC2039">
            <v>1595.5</v>
          </cell>
          <cell r="AE2039">
            <v>10689.85</v>
          </cell>
        </row>
        <row r="2040">
          <cell r="C2040" t="str">
            <v>JRGSANTANA1a Qualidade</v>
          </cell>
          <cell r="AC2040">
            <v>496</v>
          </cell>
          <cell r="AE2040">
            <v>3323.2</v>
          </cell>
        </row>
        <row r="2041">
          <cell r="C2041" t="str">
            <v>JRGSANTANA1a Qualidade</v>
          </cell>
          <cell r="AC2041">
            <v>1534.5</v>
          </cell>
          <cell r="AE2041">
            <v>10281.15</v>
          </cell>
        </row>
        <row r="2042">
          <cell r="C2042" t="str">
            <v>JRGLOCO2a Qualidade</v>
          </cell>
          <cell r="AC2042">
            <v>100</v>
          </cell>
          <cell r="AE2042">
            <v>500</v>
          </cell>
        </row>
        <row r="2043">
          <cell r="C2043" t="str">
            <v>JRGLOCODirecionado</v>
          </cell>
          <cell r="AC2043">
            <v>106.4</v>
          </cell>
          <cell r="AE2043">
            <v>585.20000000000005</v>
          </cell>
        </row>
        <row r="2044">
          <cell r="C2044" t="str">
            <v>JRGLOCO1a Qualidade</v>
          </cell>
          <cell r="AC2044">
            <v>125</v>
          </cell>
          <cell r="AE2044">
            <v>808.75</v>
          </cell>
        </row>
        <row r="2045">
          <cell r="C2045" t="str">
            <v>JRGLOCO1a Qualidade</v>
          </cell>
          <cell r="AC2045">
            <v>120</v>
          </cell>
          <cell r="AE2045">
            <v>888</v>
          </cell>
        </row>
        <row r="2046">
          <cell r="C2046" t="str">
            <v>JRGSANTANADirecionado</v>
          </cell>
          <cell r="AC2046">
            <v>442.6</v>
          </cell>
          <cell r="AE2046">
            <v>2367.91</v>
          </cell>
        </row>
        <row r="2047">
          <cell r="C2047" t="str">
            <v>JRGSANTANADirecionado</v>
          </cell>
          <cell r="AC2047">
            <v>171.1</v>
          </cell>
          <cell r="AE2047">
            <v>915.38499999999999</v>
          </cell>
        </row>
        <row r="2048">
          <cell r="C2048" t="str">
            <v>JRGSANTANADirecionado</v>
          </cell>
          <cell r="AC2048">
            <v>191.6</v>
          </cell>
          <cell r="AE2048">
            <v>1025.06</v>
          </cell>
        </row>
        <row r="2049">
          <cell r="C2049" t="str">
            <v>JRGLOCO1a Qualidade</v>
          </cell>
          <cell r="AC2049">
            <v>670</v>
          </cell>
          <cell r="AE2049">
            <v>5239.3999999999996</v>
          </cell>
        </row>
        <row r="2050">
          <cell r="C2050" t="str">
            <v>JRGSANTANADirecionado</v>
          </cell>
          <cell r="AC2050">
            <v>123</v>
          </cell>
          <cell r="AE2050">
            <v>615</v>
          </cell>
        </row>
        <row r="2051">
          <cell r="C2051" t="str">
            <v>JRGLOCO1a Qualidade</v>
          </cell>
          <cell r="AC2051">
            <v>15</v>
          </cell>
          <cell r="AE2051">
            <v>82.5</v>
          </cell>
        </row>
        <row r="2052">
          <cell r="C2052" t="str">
            <v>JRGLOCO1a Qualidade</v>
          </cell>
          <cell r="AC2052">
            <v>890</v>
          </cell>
          <cell r="AE2052">
            <v>6959.8</v>
          </cell>
        </row>
        <row r="2053">
          <cell r="C2053" t="str">
            <v>JRGSANTANA1a Qualidade</v>
          </cell>
          <cell r="AC2053">
            <v>131.5</v>
          </cell>
          <cell r="AE2053">
            <v>942.85500000000002</v>
          </cell>
        </row>
        <row r="2054">
          <cell r="C2054" t="str">
            <v>JRGSANTANADirecionado</v>
          </cell>
          <cell r="AC2054">
            <v>65.8</v>
          </cell>
          <cell r="AE2054">
            <v>394.8</v>
          </cell>
        </row>
        <row r="2055">
          <cell r="C2055" t="str">
            <v>JRGSANTANA2a Qualidade</v>
          </cell>
          <cell r="AC2055">
            <v>1479.5</v>
          </cell>
          <cell r="AE2055">
            <v>8137.25</v>
          </cell>
        </row>
        <row r="2056">
          <cell r="C2056" t="str">
            <v>JRGLOCODirecionado</v>
          </cell>
          <cell r="AC2056">
            <v>313</v>
          </cell>
          <cell r="AE2056">
            <v>1878</v>
          </cell>
        </row>
        <row r="2057">
          <cell r="C2057" t="str">
            <v>JRGSANTANA1a Qualidade</v>
          </cell>
          <cell r="AC2057">
            <v>375.6</v>
          </cell>
          <cell r="AE2057">
            <v>2715.5880000000002</v>
          </cell>
        </row>
        <row r="2058">
          <cell r="C2058" t="str">
            <v>JRGSANTANA1a Qualidade</v>
          </cell>
          <cell r="AC2058">
            <v>365</v>
          </cell>
          <cell r="AE2058">
            <v>2638.95</v>
          </cell>
        </row>
        <row r="2059">
          <cell r="C2059" t="str">
            <v>JRGSANTANA1a Qualidade</v>
          </cell>
          <cell r="AC2059">
            <v>296</v>
          </cell>
          <cell r="AE2059">
            <v>2012.8</v>
          </cell>
        </row>
        <row r="2060">
          <cell r="C2060" t="str">
            <v>JRGLOCO1a Qualidade</v>
          </cell>
          <cell r="AC2060">
            <v>286.10000000000002</v>
          </cell>
          <cell r="AE2060">
            <v>2054.1979999999999</v>
          </cell>
        </row>
        <row r="2061">
          <cell r="C2061" t="str">
            <v>JRGLOCODirecionado</v>
          </cell>
          <cell r="AC2061">
            <v>1854.6</v>
          </cell>
          <cell r="AE2061">
            <v>10200.299999999999</v>
          </cell>
        </row>
        <row r="2062">
          <cell r="C2062" t="str">
            <v>JRGSANTANA1a Qualidade</v>
          </cell>
          <cell r="AC2062">
            <v>1017.1</v>
          </cell>
          <cell r="AE2062">
            <v>6468.7560000000003</v>
          </cell>
        </row>
        <row r="2063">
          <cell r="C2063" t="str">
            <v>JRGLOCO1a Qualidade</v>
          </cell>
          <cell r="AC2063">
            <v>326</v>
          </cell>
          <cell r="AE2063">
            <v>2428.6999999999998</v>
          </cell>
        </row>
        <row r="2064">
          <cell r="C2064" t="str">
            <v>JRGSANTANA1a Qualidade</v>
          </cell>
          <cell r="AC2064">
            <v>260</v>
          </cell>
          <cell r="AE2064">
            <v>1939.6</v>
          </cell>
        </row>
        <row r="2065">
          <cell r="C2065" t="str">
            <v>JRGSANTANA2a Qualidade</v>
          </cell>
          <cell r="AC2065">
            <v>100</v>
          </cell>
          <cell r="AE2065">
            <v>450</v>
          </cell>
        </row>
        <row r="2066">
          <cell r="C2066" t="str">
            <v>JRGSANTANA2a Qualidade</v>
          </cell>
          <cell r="AC2066">
            <v>100</v>
          </cell>
          <cell r="AE2066">
            <v>450</v>
          </cell>
        </row>
        <row r="2067">
          <cell r="C2067" t="str">
            <v>JRGLOCO2a Qualidade</v>
          </cell>
          <cell r="AC2067">
            <v>104.2</v>
          </cell>
          <cell r="AE2067">
            <v>468.9</v>
          </cell>
        </row>
        <row r="2068">
          <cell r="C2068" t="str">
            <v>JRGLOCODirecionado</v>
          </cell>
          <cell r="AC2068">
            <v>140</v>
          </cell>
          <cell r="AE2068">
            <v>700</v>
          </cell>
        </row>
        <row r="2069">
          <cell r="C2069" t="str">
            <v>JRGSANTANADirecionado</v>
          </cell>
          <cell r="AC2069">
            <v>94.5</v>
          </cell>
          <cell r="AE2069">
            <v>472.5</v>
          </cell>
        </row>
        <row r="2070">
          <cell r="C2070" t="str">
            <v>JRGSANTANADirecionado</v>
          </cell>
          <cell r="AC2070">
            <v>114</v>
          </cell>
          <cell r="AE2070">
            <v>570</v>
          </cell>
        </row>
        <row r="2071">
          <cell r="C2071" t="str">
            <v>JRGSANTANADirecionado</v>
          </cell>
          <cell r="AC2071">
            <v>142</v>
          </cell>
          <cell r="AE2071">
            <v>710</v>
          </cell>
        </row>
        <row r="2072">
          <cell r="C2072" t="str">
            <v>JRGLOCODirecionado</v>
          </cell>
          <cell r="AC2072">
            <v>280</v>
          </cell>
          <cell r="AE2072">
            <v>1400</v>
          </cell>
        </row>
        <row r="2073">
          <cell r="C2073" t="str">
            <v>JRGLOCO1a Qualidade</v>
          </cell>
          <cell r="AC2073">
            <v>371.3</v>
          </cell>
          <cell r="AE2073">
            <v>3107.7809999999999</v>
          </cell>
        </row>
        <row r="2074">
          <cell r="C2074" t="str">
            <v>JRGLOCO1a Qualidade</v>
          </cell>
          <cell r="AC2074">
            <v>332.5</v>
          </cell>
          <cell r="AE2074">
            <v>2783.0249999999996</v>
          </cell>
        </row>
        <row r="2075">
          <cell r="C2075" t="str">
            <v>JRGLOCO1a Qualidade</v>
          </cell>
          <cell r="AC2075">
            <v>366.7</v>
          </cell>
          <cell r="AE2075">
            <v>3329.636</v>
          </cell>
        </row>
        <row r="2076">
          <cell r="C2076" t="str">
            <v>JRGLOCO1a Qualidade</v>
          </cell>
          <cell r="AC2076">
            <v>391</v>
          </cell>
          <cell r="AE2076">
            <v>3550.28</v>
          </cell>
        </row>
        <row r="2077">
          <cell r="C2077" t="str">
            <v>JRGLOCO1a Qualidade</v>
          </cell>
          <cell r="AC2077">
            <v>390</v>
          </cell>
          <cell r="AE2077">
            <v>3143.4</v>
          </cell>
        </row>
        <row r="2078">
          <cell r="C2078" t="str">
            <v>JRGLOCO1a Qualidade</v>
          </cell>
          <cell r="AC2078">
            <v>375</v>
          </cell>
          <cell r="AE2078">
            <v>2640</v>
          </cell>
        </row>
        <row r="2079">
          <cell r="C2079" t="str">
            <v>JRGLOCODirecionado</v>
          </cell>
          <cell r="AC2079">
            <v>2111</v>
          </cell>
          <cell r="AE2079">
            <v>11610.5</v>
          </cell>
        </row>
        <row r="2080">
          <cell r="C2080" t="str">
            <v>JRGSANTANADirecionado</v>
          </cell>
          <cell r="AC2080">
            <v>379.2</v>
          </cell>
          <cell r="AE2080">
            <v>1896</v>
          </cell>
        </row>
        <row r="2081">
          <cell r="C2081" t="str">
            <v>STCSANTANA1a Qualidade</v>
          </cell>
          <cell r="AC2081">
            <v>1695.5</v>
          </cell>
          <cell r="AE2081">
            <v>7998.7421397399994</v>
          </cell>
        </row>
        <row r="2082">
          <cell r="C2082" t="str">
            <v>STCSANTANA1a Qualidade</v>
          </cell>
          <cell r="AC2082">
            <v>1011.5</v>
          </cell>
          <cell r="AE2082">
            <v>3937.2750282249999</v>
          </cell>
        </row>
        <row r="2083">
          <cell r="C2083" t="str">
            <v>STCSANTANA1a Qualidade</v>
          </cell>
          <cell r="AC2083">
            <v>1151.8</v>
          </cell>
          <cell r="AE2083">
            <v>5288.7945238699995</v>
          </cell>
        </row>
        <row r="2084">
          <cell r="C2084" t="str">
            <v>STCSANTANA1a Qualidade</v>
          </cell>
          <cell r="AC2084">
            <v>1121.8</v>
          </cell>
          <cell r="AE2084">
            <v>6505.4778994479993</v>
          </cell>
        </row>
        <row r="2085">
          <cell r="C2085" t="str">
            <v>STCSANTANA1a Qualidade</v>
          </cell>
          <cell r="AC2085">
            <v>1010</v>
          </cell>
          <cell r="AE2085">
            <v>4581.1826137000007</v>
          </cell>
        </row>
        <row r="2086">
          <cell r="C2086" t="str">
            <v>STCSANTANA1a Qualidade</v>
          </cell>
          <cell r="AC2086">
            <v>535.5</v>
          </cell>
          <cell r="AE2086">
            <v>2244.2051605050001</v>
          </cell>
        </row>
        <row r="2087">
          <cell r="C2087" t="str">
            <v>STCSANTANA1a Qualidade</v>
          </cell>
          <cell r="AC2087">
            <v>1023.5</v>
          </cell>
          <cell r="AE2087">
            <v>4723.5273178500001</v>
          </cell>
        </row>
        <row r="2088">
          <cell r="C2088" t="str">
            <v>STCSANTANA1a Qualidade</v>
          </cell>
          <cell r="AC2088">
            <v>2080</v>
          </cell>
          <cell r="AE2088">
            <v>9550.8704720000005</v>
          </cell>
        </row>
        <row r="2089">
          <cell r="C2089" t="str">
            <v>STCOE - 100% Algodão1a Qualidade</v>
          </cell>
          <cell r="AC2089">
            <v>400.15</v>
          </cell>
          <cell r="AE2089">
            <v>1482.9733265324999</v>
          </cell>
        </row>
        <row r="2090">
          <cell r="C2090" t="str">
            <v>STCSANTANA1a Qualidade</v>
          </cell>
          <cell r="AC2090">
            <v>303.5</v>
          </cell>
          <cell r="AE2090">
            <v>1607.23883144</v>
          </cell>
        </row>
        <row r="2091">
          <cell r="C2091" t="str">
            <v>STCSANTANA1a Qualidade</v>
          </cell>
          <cell r="AC2091">
            <v>199</v>
          </cell>
          <cell r="AE2091">
            <v>994.46900432000007</v>
          </cell>
        </row>
        <row r="2092">
          <cell r="C2092" t="str">
            <v>STCSANTANADirecionado</v>
          </cell>
          <cell r="AC2092">
            <v>672.1</v>
          </cell>
          <cell r="AE2092">
            <v>3098.6575086610001</v>
          </cell>
        </row>
        <row r="2093">
          <cell r="C2093" t="str">
            <v>STCSANTANA1a Qualidade</v>
          </cell>
          <cell r="AC2093">
            <v>2005</v>
          </cell>
          <cell r="AE2093">
            <v>9066.2877965000007</v>
          </cell>
        </row>
        <row r="2094">
          <cell r="C2094" t="str">
            <v>STCSANTANA1a Qualidade</v>
          </cell>
          <cell r="AC2094">
            <v>6045.8</v>
          </cell>
          <cell r="AE2094">
            <v>28465.481856020004</v>
          </cell>
        </row>
        <row r="2095">
          <cell r="C2095" t="str">
            <v>STCSANTANA1a Qualidade</v>
          </cell>
          <cell r="AC2095">
            <v>2184.1</v>
          </cell>
          <cell r="AE2095">
            <v>10599.042611289</v>
          </cell>
        </row>
        <row r="2096">
          <cell r="C2096" t="str">
            <v>STCSANTANA1a Qualidade</v>
          </cell>
          <cell r="AC2096">
            <v>2099</v>
          </cell>
          <cell r="AE2096">
            <v>10959.073787200001</v>
          </cell>
        </row>
        <row r="2097">
          <cell r="C2097" t="str">
            <v>STCSANTANA1a Qualidade</v>
          </cell>
          <cell r="AC2097">
            <v>3106</v>
          </cell>
          <cell r="AE2097">
            <v>14262.021002900001</v>
          </cell>
        </row>
        <row r="2098">
          <cell r="C2098" t="str">
            <v>STCSANTANA1a Qualidade</v>
          </cell>
          <cell r="AC2098">
            <v>1820.5</v>
          </cell>
          <cell r="AE2098">
            <v>7799.1915067549999</v>
          </cell>
        </row>
        <row r="2099">
          <cell r="C2099" t="str">
            <v>STCSANTANA1a Qualidade</v>
          </cell>
          <cell r="AC2099">
            <v>2043</v>
          </cell>
          <cell r="AE2099">
            <v>9580.9756660200001</v>
          </cell>
        </row>
        <row r="2100">
          <cell r="C2100" t="str">
            <v>STCOE - 100% Algodão1a Qualidade</v>
          </cell>
          <cell r="AC2100">
            <v>116.08</v>
          </cell>
          <cell r="AE2100">
            <v>424.78624553200001</v>
          </cell>
        </row>
        <row r="2101">
          <cell r="C2101" t="str">
            <v>STCOE - 100% Algodão1a Qualidade</v>
          </cell>
          <cell r="AC2101">
            <v>245.22</v>
          </cell>
          <cell r="AE2101">
            <v>1024.2531011328001</v>
          </cell>
        </row>
        <row r="2102">
          <cell r="C2102" t="str">
            <v>STCSANTANA1a Qualidade</v>
          </cell>
          <cell r="AC2102">
            <v>598.6</v>
          </cell>
          <cell r="AE2102">
            <v>3052.793471596</v>
          </cell>
        </row>
        <row r="2103">
          <cell r="C2103" t="str">
            <v>STCSANTANA1a Qualidade</v>
          </cell>
          <cell r="AC2103">
            <v>614.20000000000005</v>
          </cell>
          <cell r="AE2103">
            <v>2977.7383979200004</v>
          </cell>
        </row>
        <row r="2104">
          <cell r="C2104" t="str">
            <v>STCSANTANA1a Qualidade</v>
          </cell>
          <cell r="AC2104">
            <v>607</v>
          </cell>
          <cell r="AE2104">
            <v>3174.8626212600002</v>
          </cell>
        </row>
        <row r="2105">
          <cell r="C2105" t="str">
            <v>STCSANTANA1a Qualidade</v>
          </cell>
          <cell r="AC2105">
            <v>610.20000000000005</v>
          </cell>
          <cell r="AE2105">
            <v>3404.9421958860003</v>
          </cell>
        </row>
        <row r="2106">
          <cell r="C2106" t="str">
            <v>STCSANTANA1a Qualidade</v>
          </cell>
          <cell r="AC2106">
            <v>461</v>
          </cell>
          <cell r="AE2106">
            <v>2572.3997907299999</v>
          </cell>
        </row>
        <row r="2107">
          <cell r="C2107" t="str">
            <v>STCSANTANA1a Qualidade</v>
          </cell>
          <cell r="AC2107">
            <v>1423.5</v>
          </cell>
          <cell r="AE2107">
            <v>7180.0608036300009</v>
          </cell>
        </row>
        <row r="2108">
          <cell r="C2108" t="str">
            <v>STCSANTANA1a Qualidade</v>
          </cell>
          <cell r="AC2108">
            <v>2950.8</v>
          </cell>
          <cell r="AE2108">
            <v>13590.646273776001</v>
          </cell>
        </row>
        <row r="2109">
          <cell r="C2109" t="str">
            <v>STCSANTANA1a Qualidade</v>
          </cell>
          <cell r="AC2109">
            <v>4882.3999999999996</v>
          </cell>
          <cell r="AE2109">
            <v>22487.112432927999</v>
          </cell>
        </row>
        <row r="2110">
          <cell r="C2110" t="str">
            <v>STCSANTANA1a Qualidade</v>
          </cell>
          <cell r="AC2110">
            <v>1720</v>
          </cell>
          <cell r="AE2110">
            <v>7777.563596</v>
          </cell>
        </row>
        <row r="2111">
          <cell r="C2111" t="str">
            <v>STCSANTANA1a Qualidade</v>
          </cell>
          <cell r="AC2111">
            <v>1570</v>
          </cell>
          <cell r="AE2111">
            <v>7099.2877010000002</v>
          </cell>
        </row>
        <row r="2112">
          <cell r="C2112" t="str">
            <v>STCSANTANA1a Qualidade</v>
          </cell>
          <cell r="AC2112">
            <v>4031.2</v>
          </cell>
          <cell r="AE2112">
            <v>18566.698271264002</v>
          </cell>
        </row>
        <row r="2113">
          <cell r="C2113" t="str">
            <v>STCSANTANA1a Qualidade</v>
          </cell>
          <cell r="AC2113">
            <v>1369.3</v>
          </cell>
          <cell r="AE2113">
            <v>6306.6530915960002</v>
          </cell>
        </row>
        <row r="2114">
          <cell r="C2114" t="str">
            <v>STCSANTANA1a Qualidade</v>
          </cell>
          <cell r="AC2114">
            <v>10035.299999999999</v>
          </cell>
          <cell r="AE2114">
            <v>47062.146402941995</v>
          </cell>
        </row>
        <row r="2115">
          <cell r="C2115" t="str">
            <v>STCSANTANA1a Qualidade</v>
          </cell>
          <cell r="AC2115">
            <v>1405</v>
          </cell>
          <cell r="AE2115">
            <v>6019.1508195499991</v>
          </cell>
        </row>
        <row r="2116">
          <cell r="C2116" t="str">
            <v>STCSANTANADirecionado</v>
          </cell>
          <cell r="AC2116">
            <v>315.7</v>
          </cell>
          <cell r="AE2116">
            <v>1433.431449142</v>
          </cell>
        </row>
        <row r="2117">
          <cell r="C2117" t="str">
            <v>STCSANTANADirecionado</v>
          </cell>
          <cell r="AC2117">
            <v>386.3</v>
          </cell>
          <cell r="AE2117">
            <v>1811.6157120820001</v>
          </cell>
        </row>
        <row r="2118">
          <cell r="C2118" t="str">
            <v>STCSANTANADirecionado</v>
          </cell>
          <cell r="AC2118">
            <v>312.5</v>
          </cell>
          <cell r="AE2118">
            <v>1289.248640625</v>
          </cell>
        </row>
        <row r="2119">
          <cell r="C2119" t="str">
            <v>STCSANTANADirecionado</v>
          </cell>
          <cell r="AC2119">
            <v>307</v>
          </cell>
          <cell r="AE2119">
            <v>1445.4502183</v>
          </cell>
        </row>
        <row r="2120">
          <cell r="C2120" t="str">
            <v>STCSANTANADirecionado</v>
          </cell>
          <cell r="AC2120">
            <v>340</v>
          </cell>
          <cell r="AE2120">
            <v>1255.2998832000001</v>
          </cell>
        </row>
        <row r="2121">
          <cell r="C2121" t="str">
            <v>STCSANTANA1a Qualidade</v>
          </cell>
          <cell r="AC2121">
            <v>1464</v>
          </cell>
          <cell r="AE2121">
            <v>8776.5824097599998</v>
          </cell>
        </row>
        <row r="2122">
          <cell r="C2122" t="str">
            <v>STCSANTANA1a Qualidade</v>
          </cell>
          <cell r="AC2122">
            <v>571.29999999999995</v>
          </cell>
          <cell r="AE2122">
            <v>2988.1367636340001</v>
          </cell>
        </row>
        <row r="2123">
          <cell r="C2123" t="str">
            <v>STCSANTANA1a Qualidade</v>
          </cell>
          <cell r="AC2123">
            <v>488</v>
          </cell>
          <cell r="AE2123">
            <v>2488.74576368</v>
          </cell>
        </row>
        <row r="2124">
          <cell r="C2124" t="str">
            <v>STCSANTANA1a Qualidade</v>
          </cell>
          <cell r="AC2124">
            <v>4977.3999999999996</v>
          </cell>
          <cell r="AE2124">
            <v>26265.904452391998</v>
          </cell>
        </row>
        <row r="2125">
          <cell r="C2125" t="str">
            <v>STCSANTANA1a Qualidade</v>
          </cell>
          <cell r="AC2125">
            <v>2157.1</v>
          </cell>
          <cell r="AE2125">
            <v>10468.016490459</v>
          </cell>
        </row>
        <row r="2126">
          <cell r="C2126" t="str">
            <v>STCSANTANA1a Qualidade</v>
          </cell>
          <cell r="AC2126">
            <v>3320.5</v>
          </cell>
          <cell r="AE2126">
            <v>15246.954520325</v>
          </cell>
        </row>
        <row r="2127">
          <cell r="C2127" t="str">
            <v>STCSANTANA1a Qualidade</v>
          </cell>
          <cell r="AC2127">
            <v>1965</v>
          </cell>
          <cell r="AE2127">
            <v>8418.2429611499992</v>
          </cell>
        </row>
        <row r="2128">
          <cell r="C2128" t="str">
            <v>STCSANTANA1a Qualidade</v>
          </cell>
          <cell r="AC2128">
            <v>2975.7</v>
          </cell>
          <cell r="AE2128">
            <v>13511.124368741999</v>
          </cell>
        </row>
        <row r="2129">
          <cell r="C2129" t="str">
            <v>STCSANTANADirecionado</v>
          </cell>
          <cell r="AC2129">
            <v>0</v>
          </cell>
          <cell r="AE2129">
            <v>0</v>
          </cell>
        </row>
        <row r="2130">
          <cell r="C2130" t="str">
            <v>STCSANTANA1a Qualidade</v>
          </cell>
          <cell r="AC2130">
            <v>0</v>
          </cell>
          <cell r="AE2130">
            <v>0</v>
          </cell>
        </row>
        <row r="2131">
          <cell r="C2131" t="str">
            <v>STCSANTANA1a Qualidade</v>
          </cell>
          <cell r="AC2131">
            <v>805.5</v>
          </cell>
          <cell r="AE2131">
            <v>4062.9005811900001</v>
          </cell>
        </row>
        <row r="2132">
          <cell r="C2132" t="str">
            <v>STCSANTANA1a Qualidade</v>
          </cell>
          <cell r="AC2132">
            <v>1209.2</v>
          </cell>
          <cell r="AE2132">
            <v>6302.0715826639998</v>
          </cell>
        </row>
        <row r="2133">
          <cell r="C2133" t="str">
            <v>STCSANTANADirecionado</v>
          </cell>
          <cell r="AC2133">
            <v>1002.2</v>
          </cell>
          <cell r="AE2133">
            <v>4550.4751293320005</v>
          </cell>
        </row>
        <row r="2134">
          <cell r="C2134" t="str">
            <v>STCSANTANADirecionado</v>
          </cell>
          <cell r="AC2134">
            <v>507.9</v>
          </cell>
          <cell r="AE2134">
            <v>2306.1128698739999</v>
          </cell>
        </row>
        <row r="2135">
          <cell r="C2135" t="str">
            <v>STCSANTANADirecionado</v>
          </cell>
          <cell r="AC2135">
            <v>519.5</v>
          </cell>
          <cell r="AE2135">
            <v>2436.2784427299998</v>
          </cell>
        </row>
        <row r="2136">
          <cell r="C2136" t="str">
            <v>STCSANTANA1a Qualidade</v>
          </cell>
          <cell r="AC2136">
            <v>1013.5</v>
          </cell>
          <cell r="AE2136">
            <v>5301.0267984300008</v>
          </cell>
        </row>
        <row r="2137">
          <cell r="C2137" t="str">
            <v>STCSANTANA1a Qualidade</v>
          </cell>
          <cell r="AC2137">
            <v>1229.9000000000001</v>
          </cell>
          <cell r="AE2137">
            <v>6272.353308914001</v>
          </cell>
        </row>
        <row r="2138">
          <cell r="C2138" t="str">
            <v>STCSANTANA1a Qualidade</v>
          </cell>
          <cell r="AC2138">
            <v>1947.5</v>
          </cell>
          <cell r="AE2138">
            <v>8842.5966018500003</v>
          </cell>
        </row>
        <row r="2139">
          <cell r="C2139" t="str">
            <v>STCSANTANA1a Qualidade</v>
          </cell>
          <cell r="AC2139">
            <v>3531.3</v>
          </cell>
          <cell r="AE2139">
            <v>18009.237531318002</v>
          </cell>
        </row>
        <row r="2140">
          <cell r="C2140" t="str">
            <v>STCSANTANA1a Qualidade</v>
          </cell>
          <cell r="AC2140">
            <v>3084.3</v>
          </cell>
          <cell r="AE2140">
            <v>14780.635880076001</v>
          </cell>
        </row>
        <row r="2141">
          <cell r="C2141" t="str">
            <v>STCSANTANA1a Qualidade</v>
          </cell>
          <cell r="AC2141">
            <v>1097.2</v>
          </cell>
          <cell r="AE2141">
            <v>5718.3534076239994</v>
          </cell>
        </row>
        <row r="2142">
          <cell r="C2142" t="str">
            <v>STCSANTANA1a Qualidade</v>
          </cell>
          <cell r="AC2142">
            <v>10052.200000000001</v>
          </cell>
          <cell r="AE2142">
            <v>45454.433011460002</v>
          </cell>
        </row>
        <row r="2143">
          <cell r="C2143" t="str">
            <v>STCSANTANA1a Qualidade</v>
          </cell>
          <cell r="AC2143">
            <v>1140.3</v>
          </cell>
          <cell r="AE2143">
            <v>5751.6145657739999</v>
          </cell>
        </row>
        <row r="2144">
          <cell r="C2144" t="str">
            <v>STCSANTANA1a Qualidade</v>
          </cell>
          <cell r="AC2144">
            <v>1652</v>
          </cell>
          <cell r="AE2144">
            <v>7108.1262652400001</v>
          </cell>
        </row>
        <row r="2145">
          <cell r="C2145" t="str">
            <v>STCSANTANADirecionado</v>
          </cell>
          <cell r="AC2145">
            <v>2398</v>
          </cell>
          <cell r="AE2145">
            <v>11011.0516307</v>
          </cell>
        </row>
        <row r="2146">
          <cell r="C2146" t="str">
            <v>STCSANTANA1a Qualidade</v>
          </cell>
          <cell r="AC2146">
            <v>2568.8000000000002</v>
          </cell>
          <cell r="AE2146">
            <v>12765.295923952002</v>
          </cell>
        </row>
        <row r="2147">
          <cell r="C2147" t="str">
            <v>STCSANTANA1a Qualidade</v>
          </cell>
          <cell r="AC2147">
            <v>8097.1</v>
          </cell>
          <cell r="AE2147">
            <v>39218.270732861005</v>
          </cell>
        </row>
        <row r="2148">
          <cell r="C2148" t="str">
            <v>STCSANTANA1a Qualidade</v>
          </cell>
          <cell r="AC2148">
            <v>641</v>
          </cell>
          <cell r="AE2148">
            <v>3269.0287592600002</v>
          </cell>
        </row>
        <row r="2149">
          <cell r="C2149" t="str">
            <v>STCSANTANA1a Qualidade</v>
          </cell>
          <cell r="AC2149">
            <v>433.2</v>
          </cell>
          <cell r="AE2149">
            <v>2417.2745972759999</v>
          </cell>
        </row>
        <row r="2150">
          <cell r="C2150" t="str">
            <v>STCSANTANA1a Qualidade</v>
          </cell>
          <cell r="AC2150">
            <v>4650.6000000000004</v>
          </cell>
          <cell r="AE2150">
            <v>23717.543132316001</v>
          </cell>
        </row>
        <row r="2151">
          <cell r="C2151" t="str">
            <v>STCSANTANA1a Qualidade</v>
          </cell>
          <cell r="AC2151">
            <v>1804.5</v>
          </cell>
          <cell r="AE2151">
            <v>8588.6720167050007</v>
          </cell>
        </row>
        <row r="2152">
          <cell r="C2152" t="str">
            <v>STCSANTANA1a Qualidade</v>
          </cell>
          <cell r="AC2152">
            <v>5013.3999999999996</v>
          </cell>
          <cell r="AE2152">
            <v>19421.231732826</v>
          </cell>
        </row>
        <row r="2153">
          <cell r="C2153" t="str">
            <v>STCSANTANA1a Qualidade</v>
          </cell>
          <cell r="AC2153">
            <v>3050.5</v>
          </cell>
          <cell r="AE2153">
            <v>14305.808257070001</v>
          </cell>
        </row>
        <row r="2154">
          <cell r="C2154" t="str">
            <v>STCSANTANADirecionado</v>
          </cell>
          <cell r="AC2154">
            <v>2014.6</v>
          </cell>
          <cell r="AE2154">
            <v>8630.733979405999</v>
          </cell>
        </row>
        <row r="2155">
          <cell r="C2155" t="str">
            <v>STCSANTANA1a Qualidade</v>
          </cell>
          <cell r="AC2155">
            <v>1800</v>
          </cell>
          <cell r="AE2155">
            <v>9079.1074440000011</v>
          </cell>
        </row>
        <row r="2156">
          <cell r="C2156" t="str">
            <v>STCSANTANA1a Qualidade</v>
          </cell>
          <cell r="AC2156">
            <v>5006.3</v>
          </cell>
          <cell r="AE2156">
            <v>20467.266953418999</v>
          </cell>
        </row>
        <row r="2157">
          <cell r="C2157" t="str">
            <v>STCSANTANA1a Qualidade</v>
          </cell>
          <cell r="AC2157">
            <v>3077.7</v>
          </cell>
          <cell r="AE2157">
            <v>13916.864813609998</v>
          </cell>
        </row>
        <row r="2158">
          <cell r="C2158" t="str">
            <v>STCSANTANA1a Qualidade</v>
          </cell>
          <cell r="AC2158">
            <v>3073.6</v>
          </cell>
          <cell r="AE2158">
            <v>15273.829629344002</v>
          </cell>
        </row>
        <row r="2159">
          <cell r="C2159" t="str">
            <v>STCSANTANA1a Qualidade</v>
          </cell>
          <cell r="AC2159">
            <v>545</v>
          </cell>
          <cell r="AE2159">
            <v>2469.4836606000003</v>
          </cell>
        </row>
        <row r="2160">
          <cell r="C2160" t="str">
            <v>STCSANTANA1a Qualidade</v>
          </cell>
          <cell r="AC2160">
            <v>596.4</v>
          </cell>
          <cell r="AE2160">
            <v>2702.3854223520002</v>
          </cell>
        </row>
        <row r="2161">
          <cell r="C2161" t="str">
            <v>STCSANTANA1a Qualidade</v>
          </cell>
          <cell r="AC2161">
            <v>5084.8</v>
          </cell>
          <cell r="AE2161">
            <v>24651.911764480003</v>
          </cell>
        </row>
        <row r="2162">
          <cell r="C2162" t="str">
            <v>STCSANTANA1a Qualidade</v>
          </cell>
          <cell r="AC2162">
            <v>433</v>
          </cell>
          <cell r="AE2162">
            <v>2264.7702059400003</v>
          </cell>
        </row>
        <row r="2163">
          <cell r="C2163" t="str">
            <v>STCSANTANA1a Qualidade</v>
          </cell>
          <cell r="AC2163">
            <v>501</v>
          </cell>
          <cell r="AE2163">
            <v>2099.6205143100001</v>
          </cell>
        </row>
        <row r="2164">
          <cell r="C2164" t="str">
            <v>STCSANTANA1a Qualidade</v>
          </cell>
          <cell r="AC2164">
            <v>519.20000000000005</v>
          </cell>
          <cell r="AE2164">
            <v>2471.1767864080002</v>
          </cell>
        </row>
        <row r="2165">
          <cell r="C2165" t="str">
            <v>STCSANTANA1a Qualidade</v>
          </cell>
          <cell r="AC2165">
            <v>433</v>
          </cell>
          <cell r="AE2165">
            <v>2184.02973514</v>
          </cell>
        </row>
        <row r="2166">
          <cell r="C2166" t="str">
            <v>STCSANTANA1a Qualidade</v>
          </cell>
          <cell r="AC2166">
            <v>1544.5</v>
          </cell>
          <cell r="AE2166">
            <v>7761.5786609900006</v>
          </cell>
        </row>
        <row r="2167">
          <cell r="C2167" t="str">
            <v>STCSANTANADirecionado</v>
          </cell>
          <cell r="AC2167">
            <v>2525.6</v>
          </cell>
          <cell r="AE2167">
            <v>11467.451593136</v>
          </cell>
        </row>
        <row r="2168">
          <cell r="C2168" t="str">
            <v>STCSANTANA1a Qualidade</v>
          </cell>
          <cell r="AC2168">
            <v>4760.8999999999996</v>
          </cell>
          <cell r="AE2168">
            <v>22815.267438787996</v>
          </cell>
        </row>
        <row r="2169">
          <cell r="C2169" t="str">
            <v>STCSANTANA1a Qualidade</v>
          </cell>
          <cell r="AC2169">
            <v>2016.5</v>
          </cell>
          <cell r="AE2169">
            <v>9118.2889484499992</v>
          </cell>
        </row>
        <row r="2170">
          <cell r="C2170" t="str">
            <v>STCSANTANA1a Qualidade</v>
          </cell>
          <cell r="AC2170">
            <v>1910.1</v>
          </cell>
          <cell r="AE2170">
            <v>9491.9774775540009</v>
          </cell>
        </row>
        <row r="2171">
          <cell r="C2171" t="str">
            <v>STCSANTANA1a Qualidade</v>
          </cell>
          <cell r="AC2171">
            <v>2953.5</v>
          </cell>
          <cell r="AE2171">
            <v>14153.813854619999</v>
          </cell>
        </row>
        <row r="2172">
          <cell r="C2172" t="str">
            <v>STCSANTANA1a Qualidade</v>
          </cell>
          <cell r="AC2172">
            <v>3927</v>
          </cell>
          <cell r="AE2172">
            <v>15212.665459530001</v>
          </cell>
        </row>
        <row r="2173">
          <cell r="C2173" t="str">
            <v>STCSANTANA1a Qualidade</v>
          </cell>
          <cell r="AC2173">
            <v>2993.3</v>
          </cell>
          <cell r="AE2173">
            <v>12823.575906163</v>
          </cell>
        </row>
        <row r="2174">
          <cell r="C2174" t="str">
            <v>STCSANTANA1a Qualidade</v>
          </cell>
          <cell r="AC2174">
            <v>1017.3</v>
          </cell>
          <cell r="AE2174">
            <v>4358.2079208029991</v>
          </cell>
        </row>
        <row r="2175">
          <cell r="C2175" t="str">
            <v>STCSANTANA1a Qualidade</v>
          </cell>
          <cell r="AC2175">
            <v>1631.5</v>
          </cell>
          <cell r="AE2175">
            <v>6571.1928110400004</v>
          </cell>
        </row>
        <row r="2176">
          <cell r="C2176" t="str">
            <v>STCSANTANA1a Qualidade</v>
          </cell>
          <cell r="AC2176">
            <v>4890.3999999999996</v>
          </cell>
          <cell r="AE2176">
            <v>21885.627624959998</v>
          </cell>
        </row>
        <row r="2177">
          <cell r="C2177" t="str">
            <v>STCSANTANA1a Qualidade</v>
          </cell>
          <cell r="AC2177">
            <v>10017.299999999999</v>
          </cell>
          <cell r="AE2177">
            <v>46137.176670155997</v>
          </cell>
        </row>
        <row r="2178">
          <cell r="C2178" t="str">
            <v>STCSANTANA1a Qualidade</v>
          </cell>
          <cell r="AC2178">
            <v>2500</v>
          </cell>
          <cell r="AE2178">
            <v>12609.871450000001</v>
          </cell>
        </row>
        <row r="2179">
          <cell r="C2179" t="str">
            <v>STCSANTANA1a Qualidade</v>
          </cell>
          <cell r="AC2179">
            <v>5066.8999999999996</v>
          </cell>
          <cell r="AE2179">
            <v>25084.776718781995</v>
          </cell>
        </row>
        <row r="2180">
          <cell r="C2180" t="str">
            <v>STCSANTANA1a Qualidade</v>
          </cell>
          <cell r="AC2180">
            <v>2027</v>
          </cell>
          <cell r="AE2180">
            <v>9713.8245076399999</v>
          </cell>
        </row>
        <row r="2181">
          <cell r="C2181" t="str">
            <v>STCSANTANA1a Qualidade</v>
          </cell>
          <cell r="AC2181">
            <v>1277.2</v>
          </cell>
          <cell r="AE2181">
            <v>5882.4635423840009</v>
          </cell>
        </row>
        <row r="2182">
          <cell r="C2182" t="str">
            <v>STCSANTANA1a Qualidade</v>
          </cell>
          <cell r="AC2182">
            <v>1311.5</v>
          </cell>
          <cell r="AE2182">
            <v>5887.5955969050001</v>
          </cell>
        </row>
        <row r="2183">
          <cell r="C2183" t="str">
            <v>STCSANTANADirecionado</v>
          </cell>
          <cell r="AC2183">
            <v>1468.7</v>
          </cell>
          <cell r="AE2183">
            <v>5374.5999208550002</v>
          </cell>
        </row>
        <row r="2184">
          <cell r="C2184" t="str">
            <v>STCSANTANA2a Qualidade</v>
          </cell>
          <cell r="AC2184">
            <v>1025.5</v>
          </cell>
          <cell r="AE2184">
            <v>3757.52259267</v>
          </cell>
        </row>
        <row r="2185">
          <cell r="C2185" t="str">
            <v>STCSANTANA1a Qualidade</v>
          </cell>
          <cell r="AC2185">
            <v>2140.4</v>
          </cell>
          <cell r="AE2185">
            <v>9339.2968743359997</v>
          </cell>
        </row>
        <row r="2186">
          <cell r="C2186" t="str">
            <v>STCSANTANA1a Qualidade</v>
          </cell>
          <cell r="AC2186">
            <v>1513</v>
          </cell>
          <cell r="AE2186">
            <v>5861.1568220700001</v>
          </cell>
        </row>
        <row r="2187">
          <cell r="C2187" t="str">
            <v>STCSANTANA1a Qualidade</v>
          </cell>
          <cell r="AC2187">
            <v>564.29999999999995</v>
          </cell>
          <cell r="AE2187">
            <v>2846.3001836939998</v>
          </cell>
        </row>
        <row r="2188">
          <cell r="C2188" t="str">
            <v>STCSANTANA1a Qualidade</v>
          </cell>
          <cell r="AC2188">
            <v>1583.5</v>
          </cell>
          <cell r="AE2188">
            <v>7987.0925764300009</v>
          </cell>
        </row>
        <row r="2189">
          <cell r="C2189" t="str">
            <v>STCSANTANA1a Qualidade</v>
          </cell>
          <cell r="AC2189">
            <v>2953</v>
          </cell>
          <cell r="AE2189">
            <v>15445.418979540002</v>
          </cell>
        </row>
        <row r="2190">
          <cell r="C2190" t="str">
            <v>STCSANTANA1a Qualidade</v>
          </cell>
          <cell r="AC2190">
            <v>4093.9</v>
          </cell>
          <cell r="AE2190">
            <v>19275.337617910001</v>
          </cell>
        </row>
        <row r="2191">
          <cell r="C2191" t="str">
            <v>STCSANTANA1a Qualidade</v>
          </cell>
          <cell r="AC2191">
            <v>2023.8</v>
          </cell>
          <cell r="AE2191">
            <v>8670.1476360179986</v>
          </cell>
        </row>
        <row r="2192">
          <cell r="C2192" t="str">
            <v>STCSANTANA1a Qualidade</v>
          </cell>
          <cell r="AC2192">
            <v>3922.7</v>
          </cell>
          <cell r="AE2192">
            <v>18396.129831177997</v>
          </cell>
        </row>
        <row r="2193">
          <cell r="C2193" t="str">
            <v>STCSANTANA1a Qualidade</v>
          </cell>
          <cell r="AC2193">
            <v>3863.3</v>
          </cell>
          <cell r="AE2193">
            <v>16550.736911863001</v>
          </cell>
        </row>
        <row r="2194">
          <cell r="C2194" t="str">
            <v>STCOE - 100% Algodão1a Qualidade</v>
          </cell>
          <cell r="AC2194">
            <v>4423.3599999999997</v>
          </cell>
          <cell r="AE2194">
            <v>17527.283116639999</v>
          </cell>
        </row>
        <row r="2195">
          <cell r="C2195" t="str">
            <v>STCOE - 100% Algodão1a Qualidade</v>
          </cell>
          <cell r="AC2195">
            <v>1322.1</v>
          </cell>
          <cell r="AE2195">
            <v>4899.7601774549994</v>
          </cell>
        </row>
        <row r="2196">
          <cell r="C2196" t="str">
            <v>STCOE - 100% Algodão1a Qualidade</v>
          </cell>
          <cell r="AC2196">
            <v>4280.3599999999997</v>
          </cell>
          <cell r="AE2196">
            <v>17180.1455226324</v>
          </cell>
        </row>
        <row r="2197">
          <cell r="C2197" t="str">
            <v>STCOE - 100% Algodão1a Qualidade</v>
          </cell>
          <cell r="AC2197">
            <v>1071.17</v>
          </cell>
          <cell r="AE2197">
            <v>4254.4300306596006</v>
          </cell>
        </row>
        <row r="2198">
          <cell r="C2198" t="str">
            <v>STCOE - 100% Algodão1a Qualidade</v>
          </cell>
          <cell r="AC2198">
            <v>1189.01</v>
          </cell>
          <cell r="AE2198">
            <v>4966.3452401023997</v>
          </cell>
        </row>
        <row r="2199">
          <cell r="C2199" t="str">
            <v>STCSANTANA1a Qualidade</v>
          </cell>
          <cell r="AC2199">
            <v>20227.8</v>
          </cell>
          <cell r="AE2199">
            <v>88260.806071151979</v>
          </cell>
        </row>
        <row r="2200">
          <cell r="C2200" t="str">
            <v>STCSANTANA1a Qualidade</v>
          </cell>
          <cell r="AC2200">
            <v>9952.2999999999993</v>
          </cell>
          <cell r="AE2200">
            <v>45698.619326194996</v>
          </cell>
        </row>
        <row r="2201">
          <cell r="C2201" t="str">
            <v>STCSANTANA1a Qualidade</v>
          </cell>
          <cell r="AC2201">
            <v>4801.5</v>
          </cell>
          <cell r="AE2201">
            <v>18600.359868585001</v>
          </cell>
        </row>
        <row r="2202">
          <cell r="C2202" t="str">
            <v>STCSANTANA1a Qualidade</v>
          </cell>
          <cell r="AC2202">
            <v>5203.8</v>
          </cell>
          <cell r="AE2202">
            <v>22293.563725818</v>
          </cell>
        </row>
        <row r="2203">
          <cell r="C2203" t="str">
            <v>STCSANTANA1a Qualidade</v>
          </cell>
          <cell r="AC2203">
            <v>4987.7</v>
          </cell>
          <cell r="AE2203">
            <v>22646.582321462</v>
          </cell>
        </row>
        <row r="2204">
          <cell r="C2204" t="str">
            <v>STCSANTANA1a Qualidade</v>
          </cell>
          <cell r="AC2204">
            <v>1511</v>
          </cell>
          <cell r="AE2204">
            <v>6473.2646892099992</v>
          </cell>
        </row>
        <row r="2205">
          <cell r="C2205" t="str">
            <v>STCSANTANADirecionado</v>
          </cell>
          <cell r="AC2205">
            <v>1756.4</v>
          </cell>
          <cell r="AE2205">
            <v>7663.7736077759992</v>
          </cell>
        </row>
        <row r="2206">
          <cell r="C2206" t="str">
            <v>STCSANTANADirecionado</v>
          </cell>
          <cell r="AC2206">
            <v>1310.0999999999999</v>
          </cell>
          <cell r="AE2206">
            <v>6015.6708679649992</v>
          </cell>
        </row>
        <row r="2207">
          <cell r="C2207" t="str">
            <v>STCSANTANADirecionado</v>
          </cell>
          <cell r="AC2207">
            <v>1017.5</v>
          </cell>
          <cell r="AE2207">
            <v>4359.064739425</v>
          </cell>
        </row>
        <row r="2208">
          <cell r="C2208" t="str">
            <v>STCSANTANADirecionado</v>
          </cell>
          <cell r="AC2208">
            <v>423</v>
          </cell>
          <cell r="AE2208">
            <v>1745.1269599500001</v>
          </cell>
        </row>
        <row r="2209">
          <cell r="C2209" t="str">
            <v>STCSANTANADirecionado</v>
          </cell>
          <cell r="AC2209">
            <v>1709.7</v>
          </cell>
          <cell r="AE2209">
            <v>7730.9886512100002</v>
          </cell>
        </row>
        <row r="2210">
          <cell r="C2210" t="str">
            <v>STCSANTANADirecionado</v>
          </cell>
          <cell r="AC2210">
            <v>0</v>
          </cell>
          <cell r="AE2210">
            <v>0</v>
          </cell>
        </row>
        <row r="2211">
          <cell r="C2211" t="str">
            <v>STCSANTANADirecionado</v>
          </cell>
          <cell r="AC2211">
            <v>3582.9</v>
          </cell>
          <cell r="AE2211">
            <v>13111.359744285</v>
          </cell>
        </row>
        <row r="2212">
          <cell r="C2212" t="str">
            <v>STCSANTANADirecionado</v>
          </cell>
          <cell r="AC2212">
            <v>75</v>
          </cell>
          <cell r="AE2212">
            <v>274.45699874999997</v>
          </cell>
        </row>
        <row r="2213">
          <cell r="C2213" t="str">
            <v>STCSANTANADirecionado</v>
          </cell>
          <cell r="AC2213">
            <v>5612.8</v>
          </cell>
          <cell r="AE2213">
            <v>22711.335992575998</v>
          </cell>
        </row>
        <row r="2214">
          <cell r="C2214" t="str">
            <v>STCSANTANA1a Qualidade</v>
          </cell>
          <cell r="AC2214">
            <v>12070.8</v>
          </cell>
          <cell r="AE2214">
            <v>57845.896826255994</v>
          </cell>
        </row>
        <row r="2215">
          <cell r="C2215" t="str">
            <v>STCSANTANA1a Qualidade</v>
          </cell>
          <cell r="AC2215">
            <v>6003.2</v>
          </cell>
          <cell r="AE2215">
            <v>28768.639015423996</v>
          </cell>
        </row>
        <row r="2216">
          <cell r="C2216" t="str">
            <v>STCSANTANA1a Qualidade</v>
          </cell>
          <cell r="AC2216">
            <v>1151.3</v>
          </cell>
          <cell r="AE2216">
            <v>5576.3168411830002</v>
          </cell>
        </row>
        <row r="2217">
          <cell r="C2217" t="str">
            <v>STCSANTANA1a Qualidade</v>
          </cell>
          <cell r="AC2217">
            <v>4029</v>
          </cell>
          <cell r="AE2217">
            <v>18293.61833574</v>
          </cell>
        </row>
        <row r="2218">
          <cell r="C2218" t="str">
            <v>STCSANTANA1a Qualidade</v>
          </cell>
          <cell r="AC2218">
            <v>4025.2</v>
          </cell>
          <cell r="AE2218">
            <v>18876.819995528</v>
          </cell>
        </row>
        <row r="2219">
          <cell r="C2219" t="str">
            <v>STCSANTANA1a Qualidade</v>
          </cell>
          <cell r="AC2219">
            <v>1350.8</v>
          </cell>
          <cell r="AE2219">
            <v>7052.6521542399996</v>
          </cell>
        </row>
        <row r="2220">
          <cell r="C2220" t="str">
            <v>STCSANTANA2a Qualidade</v>
          </cell>
          <cell r="AC2220">
            <v>3068.3</v>
          </cell>
          <cell r="AE2220">
            <v>12515.530498625001</v>
          </cell>
        </row>
        <row r="2221">
          <cell r="C2221" t="str">
            <v>STCSANTANA2a Qualidade</v>
          </cell>
          <cell r="AC2221">
            <v>4193.1000000000004</v>
          </cell>
          <cell r="AE2221">
            <v>16263.047706048003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RESULTADO ACUM"/>
      <sheetName val="RESULTADO DO MÊS"/>
      <sheetName val="RESULTADO MÊS A MÊS"/>
      <sheetName val="Finança"/>
      <sheetName val="ORIGINAL"/>
      <sheetName val="Saída - Relatório Interno"/>
      <sheetName val="S2.1"/>
      <sheetName val="P&amp;L Flash"/>
    </sheetNames>
    <sheetDataSet>
      <sheetData sheetId="0">
        <row r="1">
          <cell r="A1" t="str">
            <v>CONTAS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OSITO"/>
      <sheetName val="TERCEIRO"/>
      <sheetName val="DEP_TERC"/>
      <sheetName val="ALGODÃO"/>
      <sheetName val="REM_FIO"/>
      <sheetName val="REM_MT_STL"/>
      <sheetName val="VENDA MT"/>
      <sheetName val="ALGODAO"/>
      <sheetName val="FATURAMENTO"/>
      <sheetName val="RESUMO"/>
      <sheetName val="2_REM IND STL X SMT"/>
      <sheetName val="Plan1"/>
      <sheetName val="FATURAMENTO _2_"/>
      <sheetName val="FATURAMENTO 08"/>
      <sheetName val="VENDAS_stl"/>
      <sheetName val="DEPTER"/>
      <sheetName val="DEPTERC"/>
      <sheetName val="DEPTERCE"/>
      <sheetName val="VENDAMT"/>
      <sheetName val="VENDAMT (2)"/>
      <sheetName val="DIA20"/>
      <sheetName val="DIA21"/>
      <sheetName val="DIA22"/>
      <sheetName val="DIA23-25"/>
      <sheetName val="DIA26"/>
      <sheetName val="DIA27"/>
      <sheetName val="DIA28"/>
      <sheetName val="DIA29"/>
      <sheetName val="DIA30A01"/>
      <sheetName val="DIA02"/>
      <sheetName val="DIA03"/>
      <sheetName val="DIA04"/>
      <sheetName val="DIA05"/>
      <sheetName val="DIA06A08"/>
      <sheetName val="DIA09"/>
      <sheetName val="DIA10"/>
      <sheetName val="DIA11"/>
      <sheetName val="DIA12"/>
      <sheetName val="DIA13A16"/>
      <sheetName val="DIA17"/>
      <sheetName val="DIA18"/>
      <sheetName val="DIA19"/>
      <sheetName val="Plan2"/>
      <sheetName val="Plan3"/>
      <sheetName val="ALG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egador"/>
      <sheetName val="Base Fio"/>
      <sheetName val="Rateio Fio"/>
      <sheetName val="GGF Fio Indireto"/>
      <sheetName val="GGF Fio Direto"/>
      <sheetName val="ADM Fia"/>
      <sheetName val="Balancete FIA"/>
      <sheetName val="Ficha Fio"/>
      <sheetName val="Custo Fio"/>
      <sheetName val="Custo Fiação"/>
      <sheetName val="Custo de Produção Fio"/>
      <sheetName val="Produção Fio"/>
      <sheetName val="Base Tear"/>
      <sheetName val="Rateio Tear"/>
      <sheetName val="GGF Tear Indireto"/>
      <sheetName val="GGF Tear Direto"/>
      <sheetName val="Adm TEC"/>
      <sheetName val="Balancete TEC"/>
      <sheetName val="Ficha Tecido"/>
      <sheetName val="Custo Tecido"/>
      <sheetName val="Custo Tear"/>
      <sheetName val="Custo de Produção Tecido"/>
      <sheetName val="Produção Tecido"/>
      <sheetName val="Mat Dir Tear"/>
      <sheetName val="Mat Dir Trama"/>
      <sheetName val="Mat Dir Urdume"/>
      <sheetName val="Valor Mat Dir Tear"/>
      <sheetName val="Consumo Algodão"/>
      <sheetName val="Estoque Algodão"/>
      <sheetName val="Valor Estoque Algodão"/>
      <sheetName val="Estoque Fio Próprio Serviços"/>
      <sheetName val="Estoque Fio Próprio"/>
      <sheetName val="Estoque Filamento"/>
      <sheetName val="Estoque Tecido Próprio Serviços"/>
      <sheetName val="Estoque Tecido Próprio"/>
      <sheetName val="Compra de Fio"/>
      <sheetName val="TXT x STL"/>
      <sheetName val="STL x TXT"/>
      <sheetName val="NTX x STL"/>
      <sheetName val="STL x NTX"/>
      <sheetName val="SMT x STL"/>
      <sheetName val="STL x SMT"/>
      <sheetName val="Venda Própria"/>
      <sheetName val="Devolução de Vendas"/>
      <sheetName val="Inventário Mat Prima Algodão"/>
      <sheetName val="Inventário Mat Prima Fio"/>
      <sheetName val="Inventário Resíduos Algodão"/>
      <sheetName val="Inventário Fios"/>
      <sheetName val="Inventário Acabamento"/>
      <sheetName val="Inventário Tecelagem"/>
      <sheetName val="Inventário Resíduos Tecido"/>
      <sheetName val="Faturamento"/>
      <sheetName val="Resultado"/>
      <sheetName val="Resultado Acumulado"/>
      <sheetName val="Resumo Gastos"/>
      <sheetName val="Resumo Gastos-Mt"/>
      <sheetName val="Evolução 2009"/>
      <sheetName val="Evolução 2009-MT"/>
      <sheetName val="Lançamentos Contábeis"/>
      <sheetName val="C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entações"/>
      <sheetName val="Plano de Contas"/>
      <sheetName val="Instruções de Uso"/>
      <sheetName val="Validação"/>
      <sheetName val="Base de Dados"/>
      <sheetName val="DRE"/>
      <sheetName val="DRE (2)"/>
      <sheetName val="Fluxo de Caixa | Diário"/>
      <sheetName val="Fluxo de Caixa | Semanal"/>
      <sheetName val="Fluxo de Caixa | Mensal"/>
      <sheetName val="Análises de Ciclo"/>
      <sheetName val="Depreci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"/>
      <sheetName val="RIS_TECNICHE"/>
      <sheetName val="C"/>
      <sheetName val="B"/>
      <sheetName val="A"/>
      <sheetName val="n_cons"/>
      <sheetName val="ind_sp_gen"/>
      <sheetName val="MIXPORTAFOGLIO"/>
      <sheetName val="P96-FC2-PRE_BG98"/>
      <sheetName val="PREMI_EMESSI"/>
      <sheetName val="emessi con arretr."/>
      <sheetName val="PRE_COMP_97"/>
      <sheetName val="PRE_COMP_98"/>
      <sheetName val="ricl_toro"/>
      <sheetName val="CEBDG97"/>
      <sheetName val="CEBDG98"/>
      <sheetName val="SIN"/>
      <sheetName val="RIEP_DEN"/>
      <sheetName val="INDICI_SIN"/>
      <sheetName val="ONACQ_CE_97"/>
      <sheetName val="ONACQ_CE_98"/>
      <sheetName val="comgest"/>
      <sheetName val="FC.3.2"/>
      <sheetName val="N"/>
      <sheetName val="feriados"/>
      <sheetName val="Cover"/>
      <sheetName val="EST-0902"/>
      <sheetName val="TABELA"/>
      <sheetName val="Jan98 Cx"/>
      <sheetName val="Base de dados"/>
      <sheetName val="E2 - PRA"/>
      <sheetName val="PC"/>
      <sheetName val="N2.1"/>
      <sheetName val="Income_Tax"/>
      <sheetName val="CONTROL"/>
      <sheetName val="IS01"/>
      <sheetName val="Overheads"/>
      <sheetName val="Main"/>
      <sheetName val=" Fluxo"/>
      <sheetName val="EST_0902"/>
      <sheetName val="NAT. GASTOS"/>
      <sheetName val="Duplicate Rate"/>
      <sheetName val="General Instructions"/>
      <sheetName val="Income Stat"/>
      <sheetName val="E2.1_Brapelco"/>
      <sheetName val="Plan1"/>
      <sheetName val="E2.1-PCLD 06-2006"/>
      <sheetName val="prdty"/>
      <sheetName val="Data"/>
      <sheetName val="COM_CONSO"/>
      <sheetName val="DFLSUBS"/>
      <sheetName val="ce99"/>
      <sheetName val="prebdg97"/>
      <sheetName val="premi96"/>
      <sheetName val="F1.1 - Almoxarifado"/>
      <sheetName val="NAT_ GASTOS"/>
      <sheetName val="P&amp;L"/>
      <sheetName val="REF"/>
      <sheetName val="Market"/>
      <sheetName val="gaap"/>
      <sheetName val="Fecha"/>
      <sheetName val="Ativo"/>
      <sheetName val="Sheet2"/>
      <sheetName val="INFO"/>
      <sheetName val="CITIBANK"/>
      <sheetName val="HSBC-J.PESSOA"/>
      <sheetName val="Saída - Relatório Interno"/>
      <sheetName val="inc. claim 97"/>
      <sheetName val="Target (Carrefour) FinSum"/>
      <sheetName val="1-Yr. Merger Con Model"/>
      <sheetName val="DCF Rose "/>
      <sheetName val="Merger plan"/>
      <sheetName val="RELATA"/>
      <sheetName val="RELATA VÉIO"/>
      <sheetName val="FATURAMENTO_GLOBAL_POR_TIPO_DE_"/>
      <sheetName val="Gerencial_Ajustado"/>
      <sheetName val="0201"/>
      <sheetName val="Informe"/>
      <sheetName val="ExAnt"/>
      <sheetName val="1Trim"/>
      <sheetName val="4Trim"/>
      <sheetName val="2Trim"/>
      <sheetName val="3Trim"/>
      <sheetName val="CASHJGV"/>
      <sheetName val="Detailed Adjustments"/>
      <sheetName val="HEDGE - FECH 1804"/>
      <sheetName val="VARIABLEN"/>
      <sheetName val="WORDTAB"/>
      <sheetName val="NN - Base Circularização"/>
      <sheetName val="emessi_con_arretr_"/>
      <sheetName val="FC_3_2"/>
      <sheetName val="Jan98_Cx"/>
      <sheetName val="Base_de_dados"/>
      <sheetName val="E2_-_PRA"/>
      <sheetName val="N2_1"/>
      <sheetName val="F1_1_-_Almoxarifado"/>
      <sheetName val="Duplicate_Rate"/>
      <sheetName val="General_Instructions"/>
      <sheetName val="Income_Stat"/>
      <sheetName val="_Fluxo"/>
      <sheetName val="E2_1_Brapelco"/>
      <sheetName val="NAT__GASTOS"/>
      <sheetName val="TermoPE"/>
      <sheetName val="contse98"/>
      <sheetName val="Finance &amp; Economic Data"/>
      <sheetName val="Cash Flow &amp; Coverages"/>
      <sheetName val="Correção"/>
      <sheetName val="RESULTADO MÊS A MÊS"/>
      <sheetName val="DCF Matrix Red"/>
      <sheetName val="Assumptions"/>
      <sheetName val="F"/>
      <sheetName val="Bank of Tokyo V. 30.04.04"/>
      <sheetName val="BL 1"/>
      <sheetName val="BL 2"/>
      <sheetName val="BL 3"/>
      <sheetName val="BL 4"/>
      <sheetName val="BL 5"/>
      <sheetName val="Saldos"/>
      <sheetName val="Macro1"/>
      <sheetName val="Receiv-liabil"/>
      <sheetName val="Filiais"/>
      <sheetName val="Ajustes"/>
      <sheetName val="Cadastro"/>
      <sheetName val="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"/>
      <sheetName val="A Empresa"/>
      <sheetName val="Notas"/>
      <sheetName val="Prem"/>
      <sheetName val="Margem"/>
      <sheetName val="Desp"/>
      <sheetName val="Inv"/>
      <sheetName val="Fin"/>
      <sheetName val="Não Oper-Soc"/>
      <sheetName val="Cálculos"/>
      <sheetName val="DRE"/>
      <sheetName val="Mut"/>
      <sheetName val="Bal"/>
      <sheetName val="FL CX Dir"/>
      <sheetName val="NCG"/>
      <sheetName val="FL CX Ind"/>
      <sheetName val="Simulações"/>
      <sheetName val="REL_ACO"/>
      <sheetName val="Indicadores"/>
      <sheetName val="Valor"/>
      <sheetName val="MPO"/>
      <sheetName val="RIS_TECNI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. claim 97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.98"/>
      <sheetName val="RIEP_INC_99"/>
      <sheetName val="RIEP_INC_98"/>
      <sheetName val="RIEP_eme_98"/>
      <sheetName val="RIEP_eme_99"/>
      <sheetName val="DATI_MES"/>
      <sheetName val="genn"/>
      <sheetName val="febbr"/>
      <sheetName val="marzo"/>
      <sheetName val="aprile"/>
      <sheetName val="maggio"/>
      <sheetName val="giugno"/>
      <sheetName val="dett_luglio"/>
      <sheetName val="luglio"/>
      <sheetName val="ago"/>
      <sheetName val="sett"/>
      <sheetName val="ott"/>
      <sheetName val="nov"/>
      <sheetName val="inc_rami_pol"/>
      <sheetName val="gen'00"/>
      <sheetName val="dic"/>
      <sheetName val="An custo Prod Celulose"/>
      <sheetName val="CREDIT STATS"/>
      <sheetName val="Imobilizado_30Jun05_Helibras"/>
      <sheetName val="INCAS99"/>
      <sheetName val="QUERYGU"/>
      <sheetName val="inc. claim 97"/>
      <sheetName val="RIS_TECNICHE"/>
      <sheetName val="Dez"/>
      <sheetName val="CIAP 09 2007 (2)"/>
      <sheetName val="Anexo 4 -  de Ader GMT_Forn"/>
      <sheetName val="ALFAVACA"/>
      <sheetName val="Cadastro"/>
      <sheetName val="CMI"/>
      <sheetName val="NOV.00"/>
      <sheetName val="Base Produção"/>
      <sheetName val="CORE WIRES_IN"/>
      <sheetName val="HO BD"/>
      <sheetName val="Sup BD"/>
      <sheetName val="F"/>
      <sheetName val="CVA_Projetada12meses"/>
      <sheetName val="Lead"/>
      <sheetName val="HIST_FOL"/>
      <sheetName val="Taxas"/>
      <sheetName val="BP1_23"/>
      <sheetName val="Curvas"/>
      <sheetName val="GLOPER_30abril"/>
      <sheetName val="EE - Atualiz Mstart"/>
      <sheetName val="Assumptions"/>
      <sheetName val="INPUT"/>
      <sheetName val="FEV99"/>
      <sheetName val="Fiscal &amp; Regulatory"/>
      <sheetName val="ams"/>
      <sheetName val="band"/>
      <sheetName val="cam"/>
      <sheetName val="sint"/>
      <sheetName val="B22.2"/>
      <sheetName val="DIC_98"/>
      <sheetName val="CREDIT_STATS"/>
      <sheetName val="inc__claim_97"/>
      <sheetName val="CIAP_09_2007_(2)"/>
      <sheetName val="Anexo_4_-__de_Ader_GMT_Forn"/>
      <sheetName val="Base_Produção"/>
      <sheetName val="An_custo_Prod_Celulose"/>
      <sheetName val="NOV_00"/>
      <sheetName val="HO_BD"/>
      <sheetName val="Sup_BD"/>
      <sheetName val="CORE_WIRES_IN"/>
      <sheetName val="CSSL - Real"/>
      <sheetName val="Summary Information"/>
      <sheetName val="estrazione"/>
      <sheetName val="Bens +"/>
      <sheetName val="Feriados"/>
      <sheetName val="VOLTAB"/>
      <sheetName val="E2.1_Brapelco"/>
      <sheetName val="SAPBEXqueries"/>
      <sheetName val="SAPBEXfilters"/>
      <sheetName val="Erg.Rechnung+KFR"/>
      <sheetName val="VKA"/>
      <sheetName val="GG"/>
      <sheetName val="Settings"/>
      <sheetName val="Resumo por P"/>
      <sheetName val="DADOS"/>
      <sheetName val="Historico"/>
      <sheetName val="HIGHLIGH"/>
      <sheetName val="IE0-04"/>
      <sheetName val="ExAnt"/>
      <sheetName val="1Trim"/>
      <sheetName val="4Trim"/>
      <sheetName val="2Trim"/>
      <sheetName val="3Trim"/>
      <sheetName val="Concentrate"/>
      <sheetName val="Custos"/>
    </sheetNames>
    <sheetDataSet>
      <sheetData sheetId="0">
        <row r="67">
          <cell r="B67" t="str">
            <v>gen</v>
          </cell>
        </row>
      </sheetData>
      <sheetData sheetId="1">
        <row r="67">
          <cell r="B67" t="str">
            <v>gen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67">
          <cell r="B67" t="str">
            <v>gen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s"/>
      <sheetName val="P&amp;L"/>
      <sheetName val="Derp.2002"/>
      <sheetName val="Form I 2002"/>
      <sheetName val="Form I 2003"/>
      <sheetName val="Gaap BPBA"/>
      <sheetName val="Gaap BPSN"/>
      <sheetName val="Brazil"/>
      <sheetName val="Capex Depr"/>
      <sheetName val="WC"/>
      <sheetName val="Balancesheet"/>
      <sheetName val="EVA"/>
      <sheetName val="Purch. Acc"/>
      <sheetName val="Cover"/>
      <sheetName val="Graphs"/>
      <sheetName val="DCF"/>
      <sheetName val="Concentrate"/>
      <sheetName val="Custos"/>
      <sheetName val="pl atual"/>
      <sheetName val="Passivo"/>
      <sheetName val="Lucros e Perdas"/>
      <sheetName val="Ativo"/>
      <sheetName val="RIEP_INC_98"/>
      <sheetName val="NOV.0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ída até 99"/>
      <sheetName val="ANALI2000"/>
      <sheetName val="Summary"/>
      <sheetName val="DCF"/>
      <sheetName val="RIEP_INC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ilões"/>
      <sheetName val="Gráf LTN 98 dias "/>
      <sheetName val="Emissões Antigas"/>
      <sheetName val="BBC-leilões"/>
      <sheetName val="Característica Títulos Fed."/>
      <sheetName val="DPMF-PrazoMédio"/>
      <sheetName val="DPMF (acertar)"/>
      <sheetName val="SUP-41"/>
      <sheetName val="Gráf1"/>
      <sheetName val="Gráf2"/>
      <sheetName val="Leilões "/>
      <sheetName val="Leilões revisar"/>
      <sheetName val="SUP_41"/>
      <sheetName val="DvPuFed"/>
      <sheetName val="feedback"/>
      <sheetName val="Andam."/>
      <sheetName val="Concl."/>
      <sheetName val="Excluído"/>
      <sheetName val="Penden."/>
      <sheetName val="Progr."/>
      <sheetName val="Selec."/>
      <sheetName val="HSBC-J.PESSOA"/>
      <sheetName val="A4.3"/>
      <sheetName val="saída até 99"/>
      <sheetName val="Contro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ONSULTA"/>
      <sheetName val="CONSULTA (2)"/>
      <sheetName val="Graf. USD"/>
      <sheetName val="Vouching receita 1 trim"/>
      <sheetName val="saída até 99"/>
      <sheetName val="RIEP_INC_98"/>
      <sheetName val="Concentrate"/>
      <sheetName val="Custos"/>
      <sheetName val="Financimentos CP"/>
      <sheetName val="A4"/>
      <sheetName val="ANALI2000"/>
      <sheetName val="INDICADORES"/>
      <sheetName val="DFLSUBS"/>
      <sheetName val="RESULTADO MÊS A MÊS"/>
    </sheetNames>
    <sheetDataSet>
      <sheetData sheetId="0" refreshError="1">
        <row r="7">
          <cell r="B7">
            <v>36160</v>
          </cell>
          <cell r="C7">
            <v>1</v>
          </cell>
          <cell r="D7">
            <v>3.0357581438948955</v>
          </cell>
          <cell r="E7">
            <v>1</v>
          </cell>
          <cell r="F7">
            <v>100</v>
          </cell>
          <cell r="G7">
            <v>29.03</v>
          </cell>
          <cell r="J7">
            <v>1.2087000000000001</v>
          </cell>
          <cell r="K7">
            <v>1</v>
          </cell>
          <cell r="L7">
            <v>100</v>
          </cell>
        </row>
        <row r="8">
          <cell r="B8">
            <v>36164</v>
          </cell>
          <cell r="C8">
            <v>2</v>
          </cell>
          <cell r="D8">
            <v>3.0228211884879563</v>
          </cell>
          <cell r="E8">
            <v>1.0010119193812983</v>
          </cell>
          <cell r="F8">
            <v>100.10119193812983</v>
          </cell>
          <cell r="G8">
            <v>28.89</v>
          </cell>
          <cell r="H8">
            <v>1.0119193812982985E-3</v>
          </cell>
          <cell r="J8">
            <v>1.2078</v>
          </cell>
          <cell r="K8">
            <v>0.99925539836187627</v>
          </cell>
          <cell r="L8">
            <v>99.925539836187625</v>
          </cell>
        </row>
        <row r="9">
          <cell r="B9">
            <v>36165</v>
          </cell>
          <cell r="C9">
            <v>3</v>
          </cell>
          <cell r="D9">
            <v>3.0218965847410573</v>
          </cell>
          <cell r="E9">
            <v>1.0020205460612432</v>
          </cell>
          <cell r="F9">
            <v>100.20205460612432</v>
          </cell>
          <cell r="G9">
            <v>28.88</v>
          </cell>
          <cell r="H9">
            <v>1.0076070628293188E-3</v>
          </cell>
          <cell r="J9">
            <v>1.2084999999999999</v>
          </cell>
          <cell r="K9">
            <v>0.99983453296930569</v>
          </cell>
          <cell r="L9">
            <v>99.983453296930563</v>
          </cell>
        </row>
        <row r="10">
          <cell r="B10">
            <v>36166</v>
          </cell>
          <cell r="C10">
            <v>4</v>
          </cell>
          <cell r="D10">
            <v>3.0218965847410573</v>
          </cell>
          <cell r="E10">
            <v>1.0030298802165709</v>
          </cell>
          <cell r="F10">
            <v>100.30298802165709</v>
          </cell>
          <cell r="G10">
            <v>28.88</v>
          </cell>
          <cell r="H10">
            <v>1.0072988615803524E-3</v>
          </cell>
          <cell r="J10">
            <v>1.2096</v>
          </cell>
          <cell r="K10">
            <v>1.0007446016381234</v>
          </cell>
          <cell r="L10">
            <v>100.07446016381235</v>
          </cell>
        </row>
        <row r="11">
          <cell r="B11">
            <v>36167</v>
          </cell>
          <cell r="C11">
            <v>5</v>
          </cell>
          <cell r="D11">
            <v>3.0357581438948955</v>
          </cell>
          <cell r="E11">
            <v>1.0040402310730441</v>
          </cell>
          <cell r="F11">
            <v>100.40402310730441</v>
          </cell>
          <cell r="G11">
            <v>29.03</v>
          </cell>
          <cell r="H11">
            <v>1.0072988615803524E-3</v>
          </cell>
          <cell r="J11">
            <v>1.2101</v>
          </cell>
          <cell r="K11">
            <v>1.0011582692148586</v>
          </cell>
          <cell r="L11">
            <v>100.11582692148588</v>
          </cell>
        </row>
        <row r="12">
          <cell r="B12">
            <v>36168</v>
          </cell>
          <cell r="C12">
            <v>6</v>
          </cell>
          <cell r="D12">
            <v>3.0366816770754923</v>
          </cell>
          <cell r="E12">
            <v>1.0050562388424702</v>
          </cell>
          <cell r="F12">
            <v>100.50562388424703</v>
          </cell>
          <cell r="G12">
            <v>29.04</v>
          </cell>
          <cell r="H12">
            <v>1.0119193812985205E-3</v>
          </cell>
          <cell r="J12">
            <v>1.2103999999999999</v>
          </cell>
          <cell r="K12">
            <v>1.0014064697608998</v>
          </cell>
          <cell r="L12">
            <v>100.14064697608998</v>
          </cell>
        </row>
        <row r="13">
          <cell r="B13">
            <v>36171</v>
          </cell>
          <cell r="C13">
            <v>7</v>
          </cell>
          <cell r="D13">
            <v>3.0560594245188089</v>
          </cell>
          <cell r="E13">
            <v>1.006073584130778</v>
          </cell>
          <cell r="F13">
            <v>100.6073584130778</v>
          </cell>
          <cell r="G13">
            <v>29.25</v>
          </cell>
          <cell r="H13">
            <v>1.0122272256918308E-3</v>
          </cell>
          <cell r="J13">
            <v>1.2109000000000001</v>
          </cell>
          <cell r="K13">
            <v>1.0018201373376352</v>
          </cell>
          <cell r="L13">
            <v>100.18201373376353</v>
          </cell>
        </row>
        <row r="14">
          <cell r="B14">
            <v>36172</v>
          </cell>
          <cell r="C14">
            <v>8</v>
          </cell>
          <cell r="D14">
            <v>3.0449902693037156</v>
          </cell>
          <cell r="E14">
            <v>1.0070984576836255</v>
          </cell>
          <cell r="F14">
            <v>100.70984576836256</v>
          </cell>
          <cell r="G14">
            <v>29.13</v>
          </cell>
          <cell r="H14">
            <v>1.018686474839603E-3</v>
          </cell>
          <cell r="J14">
            <v>1.2114</v>
          </cell>
          <cell r="K14">
            <v>1.0022338049143704</v>
          </cell>
          <cell r="L14">
            <v>100.22338049143706</v>
          </cell>
        </row>
        <row r="15">
          <cell r="B15">
            <v>36173</v>
          </cell>
          <cell r="C15">
            <v>9</v>
          </cell>
          <cell r="D15">
            <v>3.0956400123487438</v>
          </cell>
          <cell r="E15">
            <v>1.0081206593515846</v>
          </cell>
          <cell r="F15">
            <v>100.81206593515846</v>
          </cell>
          <cell r="G15">
            <v>29.68</v>
          </cell>
          <cell r="H15">
            <v>1.0149967564343498E-3</v>
          </cell>
          <cell r="J15">
            <v>1.3192999999999999</v>
          </cell>
          <cell r="K15">
            <v>1.0915032679738557</v>
          </cell>
          <cell r="L15">
            <v>109.15032679738559</v>
          </cell>
        </row>
        <row r="16">
          <cell r="B16">
            <v>36174</v>
          </cell>
          <cell r="C16">
            <v>10</v>
          </cell>
          <cell r="D16">
            <v>3.0956400123487438</v>
          </cell>
          <cell r="E16">
            <v>1.0091609189017059</v>
          </cell>
          <cell r="F16">
            <v>100.91609189017059</v>
          </cell>
          <cell r="G16">
            <v>29.68</v>
          </cell>
          <cell r="H16">
            <v>1.0318800041162479E-3</v>
          </cell>
          <cell r="J16">
            <v>1.3193999999999999</v>
          </cell>
          <cell r="K16">
            <v>1.0915860014892027</v>
          </cell>
          <cell r="L16">
            <v>109.1586001489203</v>
          </cell>
        </row>
        <row r="17">
          <cell r="B17">
            <v>36175</v>
          </cell>
          <cell r="C17">
            <v>11</v>
          </cell>
          <cell r="D17">
            <v>3.106662428482565</v>
          </cell>
          <cell r="E17">
            <v>1.0102022518748561</v>
          </cell>
          <cell r="F17">
            <v>101.02022518748561</v>
          </cell>
          <cell r="G17">
            <v>29.8</v>
          </cell>
          <cell r="H17">
            <v>1.0318800041162479E-3</v>
          </cell>
          <cell r="J17">
            <v>1.4659</v>
          </cell>
          <cell r="K17">
            <v>1.2127906014726562</v>
          </cell>
          <cell r="L17">
            <v>121.27906014726564</v>
          </cell>
        </row>
        <row r="18">
          <cell r="B18">
            <v>36178</v>
          </cell>
          <cell r="C18">
            <v>12</v>
          </cell>
          <cell r="D18">
            <v>3.0947210191445418</v>
          </cell>
          <cell r="E18">
            <v>1.0112483710018789</v>
          </cell>
          <cell r="F18">
            <v>101.12483710018789</v>
          </cell>
          <cell r="G18">
            <v>29.67</v>
          </cell>
          <cell r="H18">
            <v>1.0355541428277437E-3</v>
          </cell>
          <cell r="J18">
            <v>1.5384</v>
          </cell>
          <cell r="K18">
            <v>1.2727724000992797</v>
          </cell>
          <cell r="L18">
            <v>127.27724000992799</v>
          </cell>
        </row>
        <row r="19">
          <cell r="B19">
            <v>36179</v>
          </cell>
          <cell r="C19">
            <v>13</v>
          </cell>
          <cell r="D19">
            <v>3.2925063999744708</v>
          </cell>
          <cell r="E19">
            <v>1.0122915481983172</v>
          </cell>
          <cell r="F19">
            <v>101.22915481983172</v>
          </cell>
          <cell r="G19">
            <v>31.84</v>
          </cell>
          <cell r="H19">
            <v>1.0315736730481806E-3</v>
          </cell>
          <cell r="J19">
            <v>1.5580000000000001</v>
          </cell>
          <cell r="K19">
            <v>1.2889881691073048</v>
          </cell>
          <cell r="L19">
            <v>128.89881691073049</v>
          </cell>
        </row>
        <row r="20">
          <cell r="B20">
            <v>36180</v>
          </cell>
          <cell r="C20">
            <v>14</v>
          </cell>
          <cell r="D20">
            <v>3.3367187262072218</v>
          </cell>
          <cell r="E20">
            <v>1.0134025403320115</v>
          </cell>
          <cell r="F20">
            <v>101.34025403320115</v>
          </cell>
          <cell r="G20">
            <v>32.33</v>
          </cell>
          <cell r="H20">
            <v>1.0975021333248236E-3</v>
          </cell>
          <cell r="J20">
            <v>1.5734999999999999</v>
          </cell>
          <cell r="K20">
            <v>1.3018118639861</v>
          </cell>
          <cell r="L20">
            <v>130.18118639861001</v>
          </cell>
        </row>
        <row r="21">
          <cell r="B21">
            <v>36181</v>
          </cell>
          <cell r="C21">
            <v>15</v>
          </cell>
          <cell r="D21">
            <v>3.3457216128081058</v>
          </cell>
          <cell r="E21">
            <v>1.0145296867431821</v>
          </cell>
          <cell r="F21">
            <v>101.4529686743182</v>
          </cell>
          <cell r="G21">
            <v>32.43</v>
          </cell>
          <cell r="H21">
            <v>1.1122395754024073E-3</v>
          </cell>
          <cell r="J21">
            <v>1.6601999999999999</v>
          </cell>
          <cell r="K21">
            <v>1.3735418217920072</v>
          </cell>
          <cell r="L21">
            <v>137.35418217920073</v>
          </cell>
        </row>
        <row r="22">
          <cell r="B22">
            <v>36182</v>
          </cell>
          <cell r="C22">
            <v>16</v>
          </cell>
          <cell r="D22">
            <v>3.3340165388040521</v>
          </cell>
          <cell r="E22">
            <v>1.0156611313764394</v>
          </cell>
          <cell r="F22">
            <v>101.56611313764394</v>
          </cell>
          <cell r="G22">
            <v>32.299999999999997</v>
          </cell>
          <cell r="H22">
            <v>1.1152405376027019E-3</v>
          </cell>
          <cell r="J22">
            <v>1.7049000000000001</v>
          </cell>
          <cell r="K22">
            <v>1.4105237031521463</v>
          </cell>
          <cell r="L22">
            <v>141.05237031521463</v>
          </cell>
        </row>
        <row r="23">
          <cell r="B23">
            <v>36185</v>
          </cell>
          <cell r="C23">
            <v>17</v>
          </cell>
          <cell r="D23">
            <v>3.3322147414533987</v>
          </cell>
          <cell r="E23">
            <v>1.0167898750463826</v>
          </cell>
          <cell r="F23">
            <v>101.67898750463826</v>
          </cell>
          <cell r="G23">
            <v>32.28</v>
          </cell>
          <cell r="H23">
            <v>1.1113388462680174E-3</v>
          </cell>
          <cell r="J23">
            <v>1.7605999999999999</v>
          </cell>
          <cell r="K23">
            <v>1.4566062712004624</v>
          </cell>
          <cell r="L23">
            <v>145.66062712004626</v>
          </cell>
        </row>
        <row r="24">
          <cell r="B24">
            <v>36186</v>
          </cell>
          <cell r="C24">
            <v>18</v>
          </cell>
          <cell r="D24">
            <v>3.32861033258669</v>
          </cell>
          <cell r="E24">
            <v>1.0179192624499127</v>
          </cell>
          <cell r="F24">
            <v>101.79192624499126</v>
          </cell>
          <cell r="G24">
            <v>32.24</v>
          </cell>
          <cell r="H24">
            <v>1.1107382471511329E-3</v>
          </cell>
          <cell r="J24">
            <v>1.877</v>
          </cell>
          <cell r="K24">
            <v>1.5529080830644486</v>
          </cell>
          <cell r="L24">
            <v>155.29080830644486</v>
          </cell>
        </row>
        <row r="25">
          <cell r="B25">
            <v>36187</v>
          </cell>
          <cell r="C25">
            <v>19</v>
          </cell>
          <cell r="D25">
            <v>3.5809804969917369</v>
          </cell>
          <cell r="E25">
            <v>1.0190486813081561</v>
          </cell>
          <cell r="F25">
            <v>101.90486813081559</v>
          </cell>
          <cell r="G25">
            <v>35.07</v>
          </cell>
          <cell r="H25">
            <v>1.1095367775288967E-3</v>
          </cell>
          <cell r="J25">
            <v>1.8886000000000001</v>
          </cell>
          <cell r="K25">
            <v>1.5625051708447082</v>
          </cell>
          <cell r="L25">
            <v>156.25051708447083</v>
          </cell>
        </row>
        <row r="26">
          <cell r="B26">
            <v>36188</v>
          </cell>
          <cell r="C26">
            <v>20</v>
          </cell>
          <cell r="D26">
            <v>3.5959723995371284</v>
          </cell>
          <cell r="E26">
            <v>1.020265079125906</v>
          </cell>
          <cell r="F26">
            <v>102.02650791259057</v>
          </cell>
          <cell r="G26">
            <v>35.24</v>
          </cell>
          <cell r="H26">
            <v>1.1936601656639123E-3</v>
          </cell>
          <cell r="J26">
            <v>1.9206000000000001</v>
          </cell>
          <cell r="K26">
            <v>1.5889798957557695</v>
          </cell>
          <cell r="L26">
            <v>158.89798957557696</v>
          </cell>
        </row>
        <row r="27">
          <cell r="B27">
            <v>36189</v>
          </cell>
          <cell r="C27">
            <v>21</v>
          </cell>
          <cell r="D27">
            <v>3.782237329129412</v>
          </cell>
          <cell r="E27">
            <v>1.0214880274808222</v>
          </cell>
          <cell r="F27">
            <v>102.14880274808219</v>
          </cell>
          <cell r="G27">
            <v>37.369999999999997</v>
          </cell>
          <cell r="H27">
            <v>1.1986574665123761E-3</v>
          </cell>
          <cell r="J27">
            <v>1.9832000000000001</v>
          </cell>
          <cell r="K27">
            <v>1.6407710763630334</v>
          </cell>
          <cell r="L27">
            <v>164.07710763630334</v>
          </cell>
        </row>
        <row r="28">
          <cell r="B28">
            <v>36192</v>
          </cell>
          <cell r="C28">
            <v>22</v>
          </cell>
          <cell r="D28">
            <v>3.9716276236352321</v>
          </cell>
          <cell r="E28">
            <v>1.0012607457763765</v>
          </cell>
          <cell r="F28">
            <v>102.27758641970875</v>
          </cell>
          <cell r="G28">
            <v>39.57</v>
          </cell>
          <cell r="H28">
            <v>1.2607457763764707E-3</v>
          </cell>
          <cell r="J28">
            <v>1.9638</v>
          </cell>
          <cell r="K28">
            <v>0.99021782977006856</v>
          </cell>
          <cell r="L28">
            <v>162.47207743857024</v>
          </cell>
        </row>
        <row r="29">
          <cell r="B29">
            <v>36193</v>
          </cell>
          <cell r="C29">
            <v>23</v>
          </cell>
          <cell r="D29">
            <v>3.8661108686264267</v>
          </cell>
          <cell r="E29">
            <v>1.0025862907218388</v>
          </cell>
          <cell r="F29">
            <v>102.41298924887651</v>
          </cell>
          <cell r="G29">
            <v>38.340000000000003</v>
          </cell>
          <cell r="H29">
            <v>1.3238758745450774E-3</v>
          </cell>
          <cell r="J29">
            <v>1.798</v>
          </cell>
          <cell r="K29">
            <v>0.90661557079467525</v>
          </cell>
          <cell r="L29">
            <v>148.75486059402652</v>
          </cell>
        </row>
        <row r="30">
          <cell r="B30">
            <v>36194</v>
          </cell>
          <cell r="C30">
            <v>24</v>
          </cell>
          <cell r="D30">
            <v>3.8592156609529304</v>
          </cell>
          <cell r="E30">
            <v>1.0038783273069374</v>
          </cell>
          <cell r="F30">
            <v>102.54496923915106</v>
          </cell>
          <cell r="G30">
            <v>38.26</v>
          </cell>
          <cell r="H30">
            <v>1.2887036228754756E-3</v>
          </cell>
          <cell r="J30">
            <v>1.7708999999999999</v>
          </cell>
          <cell r="K30">
            <v>0.89295078660750293</v>
          </cell>
          <cell r="L30">
            <v>146.51278232812101</v>
          </cell>
        </row>
        <row r="31">
          <cell r="B31">
            <v>36195</v>
          </cell>
          <cell r="C31">
            <v>25</v>
          </cell>
          <cell r="D31">
            <v>3.8592156609529304</v>
          </cell>
          <cell r="E31">
            <v>1.0051697216277489</v>
          </cell>
          <cell r="F31">
            <v>102.67688362289762</v>
          </cell>
          <cell r="G31">
            <v>38.26</v>
          </cell>
          <cell r="H31">
            <v>1.2864052203176435E-3</v>
          </cell>
          <cell r="J31">
            <v>1.8140000000000001</v>
          </cell>
          <cell r="K31">
            <v>0.91468334005647434</v>
          </cell>
          <cell r="L31">
            <v>150.0785968395796</v>
          </cell>
        </row>
        <row r="32">
          <cell r="B32">
            <v>36196</v>
          </cell>
          <cell r="C32">
            <v>26</v>
          </cell>
          <cell r="D32">
            <v>3.8618018294063194</v>
          </cell>
          <cell r="E32">
            <v>1.0064627772049561</v>
          </cell>
          <cell r="F32">
            <v>102.80896770199607</v>
          </cell>
          <cell r="G32">
            <v>38.29</v>
          </cell>
          <cell r="H32">
            <v>1.2864052203176435E-3</v>
          </cell>
          <cell r="J32">
            <v>1.8317000000000001</v>
          </cell>
          <cell r="K32">
            <v>0.92360830980233966</v>
          </cell>
          <cell r="L32">
            <v>151.54298006122269</v>
          </cell>
        </row>
        <row r="33">
          <cell r="B33">
            <v>36199</v>
          </cell>
          <cell r="C33">
            <v>27</v>
          </cell>
          <cell r="D33">
            <v>3.8652491848940596</v>
          </cell>
          <cell r="E33">
            <v>1.0077583638030359</v>
          </cell>
          <cell r="F33">
            <v>102.94131032184636</v>
          </cell>
          <cell r="G33">
            <v>38.33</v>
          </cell>
          <cell r="H33">
            <v>1.2872672764685511E-3</v>
          </cell>
          <cell r="J33">
            <v>1.8609</v>
          </cell>
          <cell r="K33">
            <v>0.93833198870512291</v>
          </cell>
          <cell r="L33">
            <v>153.95879870935704</v>
          </cell>
        </row>
        <row r="34">
          <cell r="B34">
            <v>36200</v>
          </cell>
          <cell r="C34">
            <v>28</v>
          </cell>
          <cell r="D34">
            <v>3.8661108686264267</v>
          </cell>
          <cell r="E34">
            <v>1.0090567762011224</v>
          </cell>
          <cell r="F34">
            <v>103.07394159378417</v>
          </cell>
          <cell r="G34">
            <v>38.340000000000003</v>
          </cell>
          <cell r="H34">
            <v>1.2884163949646865E-3</v>
          </cell>
          <cell r="J34">
            <v>1.9333</v>
          </cell>
          <cell r="K34">
            <v>0.97483864461476388</v>
          </cell>
          <cell r="L34">
            <v>159.9487052204847</v>
          </cell>
        </row>
        <row r="35">
          <cell r="B35">
            <v>36201</v>
          </cell>
          <cell r="C35">
            <v>29</v>
          </cell>
          <cell r="D35">
            <v>3.8686955476312512</v>
          </cell>
          <cell r="E35">
            <v>1.0103571513242999</v>
          </cell>
          <cell r="F35">
            <v>103.20677335574014</v>
          </cell>
          <cell r="G35">
            <v>38.369999999999997</v>
          </cell>
          <cell r="H35">
            <v>1.2887036228754756E-3</v>
          </cell>
          <cell r="J35">
            <v>1.8953</v>
          </cell>
          <cell r="K35">
            <v>0.95567769261799096</v>
          </cell>
          <cell r="L35">
            <v>156.80483163729616</v>
          </cell>
        </row>
        <row r="36">
          <cell r="B36">
            <v>36202</v>
          </cell>
          <cell r="C36">
            <v>30</v>
          </cell>
          <cell r="D36">
            <v>3.8678340499860298</v>
          </cell>
          <cell r="E36">
            <v>1.0116600727285818</v>
          </cell>
          <cell r="F36">
            <v>103.33986521726239</v>
          </cell>
          <cell r="G36">
            <v>38.36</v>
          </cell>
          <cell r="H36">
            <v>1.2895651825437504E-3</v>
          </cell>
          <cell r="J36">
            <v>1.8868</v>
          </cell>
          <cell r="K36">
            <v>0.95139169019766023</v>
          </cell>
          <cell r="L36">
            <v>156.10159675684611</v>
          </cell>
        </row>
        <row r="37">
          <cell r="B37">
            <v>36203</v>
          </cell>
          <cell r="C37">
            <v>31</v>
          </cell>
          <cell r="D37">
            <v>3.8695569832654098</v>
          </cell>
          <cell r="E37">
            <v>1.0129643838206854</v>
          </cell>
          <cell r="F37">
            <v>103.47309903373181</v>
          </cell>
          <cell r="G37">
            <v>38.380000000000003</v>
          </cell>
          <cell r="H37">
            <v>1.2892780166620099E-3</v>
          </cell>
          <cell r="J37">
            <v>1.8984000000000001</v>
          </cell>
          <cell r="K37">
            <v>0.9572408229124646</v>
          </cell>
          <cell r="L37">
            <v>157.0613055348721</v>
          </cell>
        </row>
        <row r="38">
          <cell r="B38">
            <v>36208</v>
          </cell>
          <cell r="C38">
            <v>32</v>
          </cell>
          <cell r="D38">
            <v>3.8686955476312512</v>
          </cell>
          <cell r="E38">
            <v>1.0142709582890896</v>
          </cell>
          <cell r="F38">
            <v>103.60656405138052</v>
          </cell>
          <cell r="G38">
            <v>38.369999999999997</v>
          </cell>
          <cell r="H38">
            <v>1.2898523277551366E-3</v>
          </cell>
          <cell r="J38">
            <v>1.9178999999999999</v>
          </cell>
          <cell r="K38">
            <v>0.96707341670028213</v>
          </cell>
          <cell r="L38">
            <v>158.67460908413989</v>
          </cell>
        </row>
        <row r="39">
          <cell r="B39">
            <v>36209</v>
          </cell>
          <cell r="C39">
            <v>33</v>
          </cell>
          <cell r="D39">
            <v>3.8695569832654098</v>
          </cell>
          <cell r="E39">
            <v>1.0155789268025646</v>
          </cell>
          <cell r="F39">
            <v>103.74017146906417</v>
          </cell>
          <cell r="G39">
            <v>38.380000000000003</v>
          </cell>
          <cell r="H39">
            <v>1.2895651825437504E-3</v>
          </cell>
          <cell r="J39">
            <v>1.9029</v>
          </cell>
          <cell r="K39">
            <v>0.95950988301734552</v>
          </cell>
          <cell r="L39">
            <v>157.4336063539339</v>
          </cell>
        </row>
        <row r="40">
          <cell r="B40">
            <v>36210</v>
          </cell>
          <cell r="C40">
            <v>34</v>
          </cell>
          <cell r="D40">
            <v>3.8686955476312512</v>
          </cell>
          <cell r="E40">
            <v>1.0168888736453199</v>
          </cell>
          <cell r="F40">
            <v>103.87398097071525</v>
          </cell>
          <cell r="G40">
            <v>38.369999999999997</v>
          </cell>
          <cell r="H40">
            <v>1.2898523277551366E-3</v>
          </cell>
          <cell r="J40">
            <v>1.9208000000000001</v>
          </cell>
          <cell r="K40">
            <v>0.96853569987898325</v>
          </cell>
          <cell r="L40">
            <v>158.91453627864638</v>
          </cell>
        </row>
        <row r="41">
          <cell r="B41">
            <v>36213</v>
          </cell>
          <cell r="C41">
            <v>35</v>
          </cell>
          <cell r="D41">
            <v>3.8686955476312512</v>
          </cell>
          <cell r="E41">
            <v>1.018200218131289</v>
          </cell>
          <cell r="F41">
            <v>104.00793323994729</v>
          </cell>
          <cell r="G41">
            <v>38.369999999999997</v>
          </cell>
          <cell r="H41">
            <v>1.2895651825437504E-3</v>
          </cell>
          <cell r="J41">
            <v>1.9356</v>
          </cell>
          <cell r="K41">
            <v>0.97599838644614745</v>
          </cell>
          <cell r="L41">
            <v>160.13899230578298</v>
          </cell>
        </row>
        <row r="42">
          <cell r="B42">
            <v>36214</v>
          </cell>
          <cell r="C42">
            <v>36</v>
          </cell>
          <cell r="D42">
            <v>3.8686955476312512</v>
          </cell>
          <cell r="E42">
            <v>1.0195132536814495</v>
          </cell>
          <cell r="F42">
            <v>104.14205824936185</v>
          </cell>
          <cell r="G42">
            <v>38.369999999999997</v>
          </cell>
          <cell r="H42">
            <v>1.2895651825437504E-3</v>
          </cell>
          <cell r="J42">
            <v>2.0127999999999999</v>
          </cell>
          <cell r="K42">
            <v>1.0149253731343282</v>
          </cell>
          <cell r="L42">
            <v>166.52601969057656</v>
          </cell>
        </row>
        <row r="43">
          <cell r="B43">
            <v>36215</v>
          </cell>
          <cell r="C43">
            <v>37</v>
          </cell>
          <cell r="D43">
            <v>3.8678340499860298</v>
          </cell>
          <cell r="E43">
            <v>1.0208279824765389</v>
          </cell>
          <cell r="F43">
            <v>104.27635622171866</v>
          </cell>
          <cell r="G43">
            <v>38.36</v>
          </cell>
          <cell r="H43">
            <v>1.2895651825435284E-3</v>
          </cell>
          <cell r="J43">
            <v>2.0032999999999999</v>
          </cell>
          <cell r="K43">
            <v>1.0101351351351349</v>
          </cell>
          <cell r="L43">
            <v>165.74005129477939</v>
          </cell>
        </row>
        <row r="44">
          <cell r="B44">
            <v>36216</v>
          </cell>
          <cell r="C44">
            <v>38</v>
          </cell>
          <cell r="D44">
            <v>3.8669724903210856</v>
          </cell>
          <cell r="E44">
            <v>1.0221441135531393</v>
          </cell>
          <cell r="F44">
            <v>104.41079743545292</v>
          </cell>
          <cell r="G44">
            <v>38.35</v>
          </cell>
          <cell r="H44">
            <v>1.2892780166617879E-3</v>
          </cell>
          <cell r="J44">
            <v>2.0350999999999999</v>
          </cell>
          <cell r="K44">
            <v>1.0261698265429606</v>
          </cell>
          <cell r="L44">
            <v>168.37097708281613</v>
          </cell>
        </row>
        <row r="45">
          <cell r="B45">
            <v>36217</v>
          </cell>
          <cell r="C45">
            <v>39</v>
          </cell>
          <cell r="D45">
            <v>3.8721409181901034</v>
          </cell>
          <cell r="E45">
            <v>1.0234616479425571</v>
          </cell>
          <cell r="F45">
            <v>104.54538199591138</v>
          </cell>
          <cell r="G45">
            <v>38.409999999999997</v>
          </cell>
          <cell r="H45">
            <v>1.2889908301070285E-3</v>
          </cell>
          <cell r="J45">
            <v>2.0648</v>
          </cell>
          <cell r="K45">
            <v>1.0411456232351752</v>
          </cell>
          <cell r="L45">
            <v>170.828162488624</v>
          </cell>
        </row>
        <row r="46">
          <cell r="B46">
            <v>36220</v>
          </cell>
          <cell r="C46">
            <v>40</v>
          </cell>
          <cell r="D46">
            <v>3.8738632315813426</v>
          </cell>
          <cell r="E46">
            <v>1.0012907136393967</v>
          </cell>
          <cell r="F46">
            <v>104.68032014638945</v>
          </cell>
          <cell r="G46">
            <v>38.43</v>
          </cell>
          <cell r="H46">
            <v>1.2907136393967011E-3</v>
          </cell>
          <cell r="J46">
            <v>2.0284</v>
          </cell>
          <cell r="K46">
            <v>0.98237117396357998</v>
          </cell>
          <cell r="L46">
            <v>167.81666252999077</v>
          </cell>
        </row>
        <row r="47">
          <cell r="B47">
            <v>36221</v>
          </cell>
          <cell r="C47">
            <v>41</v>
          </cell>
          <cell r="D47">
            <v>3.871279668535843</v>
          </cell>
          <cell r="E47">
            <v>1.0025836680659606</v>
          </cell>
          <cell r="F47">
            <v>104.81549256081787</v>
          </cell>
          <cell r="G47">
            <v>38.4</v>
          </cell>
          <cell r="H47">
            <v>1.2912877438604475E-3</v>
          </cell>
          <cell r="J47">
            <v>2.1307999999999998</v>
          </cell>
          <cell r="K47">
            <v>1.031964354901201</v>
          </cell>
          <cell r="L47">
            <v>176.28857450153041</v>
          </cell>
        </row>
        <row r="48">
          <cell r="B48">
            <v>36222</v>
          </cell>
          <cell r="C48">
            <v>42</v>
          </cell>
          <cell r="D48">
            <v>3.8721409181901034</v>
          </cell>
          <cell r="E48">
            <v>1.0038774286560239</v>
          </cell>
          <cell r="F48">
            <v>104.9507492559173</v>
          </cell>
          <cell r="G48">
            <v>38.409999999999997</v>
          </cell>
          <cell r="H48">
            <v>1.2904265561786143E-3</v>
          </cell>
          <cell r="J48">
            <v>2.1646999999999998</v>
          </cell>
          <cell r="K48">
            <v>1.0483824099186361</v>
          </cell>
          <cell r="L48">
            <v>179.09324067179597</v>
          </cell>
        </row>
        <row r="49">
          <cell r="B49">
            <v>36223</v>
          </cell>
          <cell r="C49">
            <v>43</v>
          </cell>
          <cell r="D49">
            <v>3.8816105759773567</v>
          </cell>
          <cell r="E49">
            <v>1.0051731469454728</v>
          </cell>
          <cell r="F49">
            <v>105.08621061944683</v>
          </cell>
          <cell r="G49">
            <v>38.520000000000003</v>
          </cell>
          <cell r="H49">
            <v>1.2907136393969232E-3</v>
          </cell>
          <cell r="J49">
            <v>2.1021999999999998</v>
          </cell>
          <cell r="K49">
            <v>1.018113134444014</v>
          </cell>
          <cell r="L49">
            <v>173.9223959626043</v>
          </cell>
        </row>
        <row r="50">
          <cell r="B50">
            <v>36224</v>
          </cell>
          <cell r="C50">
            <v>44</v>
          </cell>
          <cell r="D50">
            <v>4.3664645646162015</v>
          </cell>
          <cell r="E50">
            <v>1.0064737105180968</v>
          </cell>
          <cell r="F50">
            <v>105.22217853495677</v>
          </cell>
          <cell r="G50">
            <v>44.27</v>
          </cell>
          <cell r="H50">
            <v>1.2938701919924522E-3</v>
          </cell>
          <cell r="J50">
            <v>1.9934000000000001</v>
          </cell>
          <cell r="K50">
            <v>0.96542037969779171</v>
          </cell>
          <cell r="L50">
            <v>164.92098949284343</v>
          </cell>
        </row>
        <row r="51">
          <cell r="B51">
            <v>36227</v>
          </cell>
          <cell r="C51">
            <v>45</v>
          </cell>
          <cell r="D51">
            <v>4.3681171973368738</v>
          </cell>
          <cell r="E51">
            <v>1.007938621115495</v>
          </cell>
          <cell r="F51">
            <v>105.37532817295164</v>
          </cell>
          <cell r="G51">
            <v>44.29</v>
          </cell>
          <cell r="H51">
            <v>1.4554881882054005E-3</v>
          </cell>
          <cell r="J51">
            <v>1.9708000000000001</v>
          </cell>
          <cell r="K51">
            <v>0.95447500968616827</v>
          </cell>
          <cell r="L51">
            <v>163.0512120459997</v>
          </cell>
        </row>
        <row r="52">
          <cell r="B52">
            <v>36228</v>
          </cell>
          <cell r="C52">
            <v>46</v>
          </cell>
          <cell r="D52">
            <v>4.358197976611411</v>
          </cell>
          <cell r="E52">
            <v>1.0094062191237465</v>
          </cell>
          <cell r="F52">
            <v>105.52875876734073</v>
          </cell>
          <cell r="G52">
            <v>44.17</v>
          </cell>
          <cell r="H52">
            <v>1.4560390657789579E-3</v>
          </cell>
          <cell r="J52">
            <v>1.9056</v>
          </cell>
          <cell r="K52">
            <v>0.92289810151104223</v>
          </cell>
          <cell r="L52">
            <v>157.65698684537091</v>
          </cell>
        </row>
        <row r="53">
          <cell r="B53">
            <v>36229</v>
          </cell>
          <cell r="C53">
            <v>47</v>
          </cell>
          <cell r="D53">
            <v>4.3590248923726094</v>
          </cell>
          <cell r="E53">
            <v>1.0108726165043345</v>
          </cell>
          <cell r="F53">
            <v>105.68206384165209</v>
          </cell>
          <cell r="G53">
            <v>44.18</v>
          </cell>
          <cell r="H53">
            <v>1.4527326588702483E-3</v>
          </cell>
          <cell r="J53">
            <v>1.8631</v>
          </cell>
          <cell r="K53">
            <v>0.90231499418829919</v>
          </cell>
          <cell r="L53">
            <v>154.14081244312058</v>
          </cell>
        </row>
        <row r="54">
          <cell r="B54">
            <v>36230</v>
          </cell>
          <cell r="C54">
            <v>48</v>
          </cell>
          <cell r="D54">
            <v>4.3714217784016629</v>
          </cell>
          <cell r="E54">
            <v>1.0123414228037879</v>
          </cell>
          <cell r="F54">
            <v>105.83562075730646</v>
          </cell>
          <cell r="G54">
            <v>44.33</v>
          </cell>
          <cell r="H54">
            <v>1.4530082974575365E-3</v>
          </cell>
          <cell r="J54">
            <v>1.8784000000000001</v>
          </cell>
          <cell r="K54">
            <v>0.90972491282448675</v>
          </cell>
          <cell r="L54">
            <v>155.40663522793071</v>
          </cell>
        </row>
        <row r="55">
          <cell r="B55">
            <v>36231</v>
          </cell>
          <cell r="C55">
            <v>49</v>
          </cell>
          <cell r="D55">
            <v>4.3689434281379835</v>
          </cell>
          <cell r="E55">
            <v>1.0138165465847289</v>
          </cell>
          <cell r="F55">
            <v>105.98983813647618</v>
          </cell>
          <cell r="G55">
            <v>44.3</v>
          </cell>
          <cell r="H55">
            <v>1.4571405928005543E-3</v>
          </cell>
          <cell r="J55">
            <v>1.9051</v>
          </cell>
          <cell r="K55">
            <v>0.92265594730724532</v>
          </cell>
          <cell r="L55">
            <v>157.61562008769741</v>
          </cell>
        </row>
        <row r="56">
          <cell r="B56">
            <v>36234</v>
          </cell>
          <cell r="C56">
            <v>50</v>
          </cell>
          <cell r="D56">
            <v>4.3664645646162015</v>
          </cell>
          <cell r="E56">
            <v>1.0152929822975751</v>
          </cell>
          <cell r="F56">
            <v>106.1441926720681</v>
          </cell>
          <cell r="G56">
            <v>44.27</v>
          </cell>
          <cell r="H56">
            <v>1.4563144760459945E-3</v>
          </cell>
          <cell r="J56">
            <v>1.8825000000000001</v>
          </cell>
          <cell r="K56">
            <v>0.91171057729562188</v>
          </cell>
          <cell r="L56">
            <v>155.74584264085368</v>
          </cell>
        </row>
        <row r="57">
          <cell r="B57">
            <v>36235</v>
          </cell>
          <cell r="C57">
            <v>51</v>
          </cell>
          <cell r="D57">
            <v>4.36398518762382</v>
          </cell>
          <cell r="E57">
            <v>1.0167707292408772</v>
          </cell>
          <cell r="F57">
            <v>106.29868429074891</v>
          </cell>
          <cell r="G57">
            <v>44.24</v>
          </cell>
          <cell r="H57">
            <v>1.4554881882056225E-3</v>
          </cell>
          <cell r="J57">
            <v>1.8521000000000001</v>
          </cell>
          <cell r="K57">
            <v>0.89698760170476555</v>
          </cell>
          <cell r="L57">
            <v>153.23074377430282</v>
          </cell>
        </row>
        <row r="58">
          <cell r="B58">
            <v>36236</v>
          </cell>
          <cell r="C58">
            <v>52</v>
          </cell>
          <cell r="D58">
            <v>4.3681171973368738</v>
          </cell>
          <cell r="E58">
            <v>1.0182497867080826</v>
          </cell>
          <cell r="F58">
            <v>106.4533129186518</v>
          </cell>
          <cell r="G58">
            <v>44.29</v>
          </cell>
          <cell r="H58">
            <v>1.454661729207718E-3</v>
          </cell>
          <cell r="J58">
            <v>1.8776999999999999</v>
          </cell>
          <cell r="K58">
            <v>0.90938589693917082</v>
          </cell>
          <cell r="L58">
            <v>155.34872176718773</v>
          </cell>
        </row>
        <row r="59">
          <cell r="B59">
            <v>36237</v>
          </cell>
          <cell r="C59">
            <v>53</v>
          </cell>
          <cell r="D59">
            <v>4.3722477811352078</v>
          </cell>
          <cell r="E59">
            <v>1.0197323981762507</v>
          </cell>
          <cell r="F59">
            <v>106.60831310094295</v>
          </cell>
          <cell r="G59">
            <v>44.34</v>
          </cell>
          <cell r="H59">
            <v>1.4560390657789579E-3</v>
          </cell>
          <cell r="J59">
            <v>1.8595999999999999</v>
          </cell>
          <cell r="K59">
            <v>0.90061991476172021</v>
          </cell>
          <cell r="L59">
            <v>153.85124513940582</v>
          </cell>
        </row>
        <row r="60">
          <cell r="B60">
            <v>36238</v>
          </cell>
          <cell r="C60">
            <v>54</v>
          </cell>
          <cell r="D60">
            <v>4.365638162681984</v>
          </cell>
          <cell r="E60">
            <v>1.0212185724146767</v>
          </cell>
          <cell r="F60">
            <v>106.76368575441168</v>
          </cell>
          <cell r="G60">
            <v>44.26</v>
          </cell>
          <cell r="H60">
            <v>1.4574159270450693E-3</v>
          </cell>
          <cell r="J60">
            <v>1.8507</v>
          </cell>
          <cell r="K60">
            <v>0.89630956993413402</v>
          </cell>
          <cell r="L60">
            <v>153.11491685281692</v>
          </cell>
        </row>
        <row r="61">
          <cell r="B61">
            <v>36241</v>
          </cell>
          <cell r="C61">
            <v>55</v>
          </cell>
          <cell r="D61">
            <v>4.364811703686744</v>
          </cell>
          <cell r="E61">
            <v>1.0227046626720677</v>
          </cell>
          <cell r="F61">
            <v>106.91904962805103</v>
          </cell>
          <cell r="G61">
            <v>44.25</v>
          </cell>
          <cell r="H61">
            <v>1.4552127208939947E-3</v>
          </cell>
          <cell r="J61">
            <v>1.8614999999999999</v>
          </cell>
          <cell r="K61">
            <v>0.90154010073614865</v>
          </cell>
          <cell r="L61">
            <v>154.00843881856522</v>
          </cell>
        </row>
        <row r="62">
          <cell r="B62">
            <v>36242</v>
          </cell>
          <cell r="C62">
            <v>56</v>
          </cell>
          <cell r="D62">
            <v>4.3631586144845524</v>
          </cell>
          <cell r="E62">
            <v>1.0241926337657496</v>
          </cell>
          <cell r="F62">
            <v>107.07461013443888</v>
          </cell>
          <cell r="G62">
            <v>44.23</v>
          </cell>
          <cell r="H62">
            <v>1.454937234562248E-3</v>
          </cell>
          <cell r="J62">
            <v>1.8515999999999999</v>
          </cell>
          <cell r="K62">
            <v>0.89674544750096841</v>
          </cell>
          <cell r="L62">
            <v>153.18937701662927</v>
          </cell>
        </row>
        <row r="63">
          <cell r="B63">
            <v>36243</v>
          </cell>
          <cell r="C63">
            <v>57</v>
          </cell>
          <cell r="D63">
            <v>4.364811703686744</v>
          </cell>
          <cell r="E63">
            <v>1.0256822054033852</v>
          </cell>
          <cell r="F63">
            <v>107.23033797030575</v>
          </cell>
          <cell r="G63">
            <v>44.25</v>
          </cell>
          <cell r="H63">
            <v>1.4543862048279621E-3</v>
          </cell>
          <cell r="J63">
            <v>1.8428</v>
          </cell>
          <cell r="K63">
            <v>0.89248353351414167</v>
          </cell>
          <cell r="L63">
            <v>152.46132208157508</v>
          </cell>
        </row>
        <row r="64">
          <cell r="B64">
            <v>36244</v>
          </cell>
          <cell r="C64">
            <v>58</v>
          </cell>
          <cell r="D64">
            <v>4.1210111445437736</v>
          </cell>
          <cell r="E64">
            <v>1.0271745086348545</v>
          </cell>
          <cell r="F64">
            <v>107.38635138169344</v>
          </cell>
          <cell r="G64">
            <v>41.33</v>
          </cell>
          <cell r="H64">
            <v>1.454937234562248E-3</v>
          </cell>
          <cell r="J64">
            <v>1.81</v>
          </cell>
          <cell r="K64">
            <v>0.87659821774505997</v>
          </cell>
          <cell r="L64">
            <v>149.74766277819128</v>
          </cell>
        </row>
        <row r="65">
          <cell r="B65">
            <v>36245</v>
          </cell>
          <cell r="C65">
            <v>59</v>
          </cell>
          <cell r="D65">
            <v>4.1193240355998917</v>
          </cell>
          <cell r="E65">
            <v>1.0285855078340129</v>
          </cell>
          <cell r="F65">
            <v>107.53386483196539</v>
          </cell>
          <cell r="G65">
            <v>41.31</v>
          </cell>
          <cell r="H65">
            <v>1.3736703815145912E-3</v>
          </cell>
          <cell r="J65">
            <v>1.7749999999999999</v>
          </cell>
          <cell r="K65">
            <v>0.85964742347927137</v>
          </cell>
          <cell r="L65">
            <v>146.85198974104389</v>
          </cell>
        </row>
        <row r="66">
          <cell r="B66">
            <v>36248</v>
          </cell>
          <cell r="C66">
            <v>60</v>
          </cell>
          <cell r="D66">
            <v>4.1193240355998917</v>
          </cell>
          <cell r="E66">
            <v>1.0299978668357097</v>
          </cell>
          <cell r="F66">
            <v>107.68152044331315</v>
          </cell>
          <cell r="G66">
            <v>41.31</v>
          </cell>
          <cell r="H66">
            <v>1.3731080118666306E-3</v>
          </cell>
          <cell r="J66">
            <v>1.7655000000000001</v>
          </cell>
          <cell r="K66">
            <v>0.85504649360712881</v>
          </cell>
          <cell r="L66">
            <v>146.06602134524675</v>
          </cell>
        </row>
        <row r="67">
          <cell r="B67">
            <v>36249</v>
          </cell>
          <cell r="C67">
            <v>61</v>
          </cell>
          <cell r="D67">
            <v>4.1159491040942964</v>
          </cell>
          <cell r="E67">
            <v>1.0314121651588675</v>
          </cell>
          <cell r="F67">
            <v>107.82937880176385</v>
          </cell>
          <cell r="G67">
            <v>41.27</v>
          </cell>
          <cell r="H67">
            <v>1.3731080118666306E-3</v>
          </cell>
          <cell r="J67">
            <v>1.7334000000000001</v>
          </cell>
          <cell r="K67">
            <v>0.83950019372336282</v>
          </cell>
          <cell r="L67">
            <v>143.41027550260591</v>
          </cell>
        </row>
        <row r="68">
          <cell r="B68">
            <v>36250</v>
          </cell>
          <cell r="C68">
            <v>62</v>
          </cell>
          <cell r="D68">
            <v>3.9451215292978237</v>
          </cell>
          <cell r="E68">
            <v>1.0328272451512466</v>
          </cell>
          <cell r="F68">
            <v>107.9773188801219</v>
          </cell>
          <cell r="G68">
            <v>39.26</v>
          </cell>
          <cell r="H68">
            <v>1.3719830346980988E-3</v>
          </cell>
          <cell r="J68">
            <v>1.722</v>
          </cell>
          <cell r="K68">
            <v>0.83397907787679171</v>
          </cell>
          <cell r="L68">
            <v>142.46711342764934</v>
          </cell>
        </row>
        <row r="69">
          <cell r="B69">
            <v>36255</v>
          </cell>
          <cell r="C69">
            <v>63</v>
          </cell>
          <cell r="D69">
            <v>3.8953712614004932</v>
          </cell>
          <cell r="E69">
            <v>1.0013150405097659</v>
          </cell>
          <cell r="F69">
            <v>108.11931342858517</v>
          </cell>
          <cell r="G69">
            <v>38.68</v>
          </cell>
          <cell r="H69">
            <v>1.3150405097659412E-3</v>
          </cell>
          <cell r="J69">
            <v>1.7251000000000001</v>
          </cell>
          <cell r="K69">
            <v>1.0018002322880373</v>
          </cell>
          <cell r="L69">
            <v>142.72358732522525</v>
          </cell>
        </row>
        <row r="70">
          <cell r="B70">
            <v>36256</v>
          </cell>
          <cell r="C70">
            <v>64</v>
          </cell>
          <cell r="D70">
            <v>3.882471082516048</v>
          </cell>
          <cell r="E70">
            <v>1.0026152051205692</v>
          </cell>
          <cell r="F70">
            <v>108.25970171736253</v>
          </cell>
          <cell r="G70">
            <v>38.53</v>
          </cell>
          <cell r="H70">
            <v>1.2984570871334977E-3</v>
          </cell>
          <cell r="J70">
            <v>1.7314000000000001</v>
          </cell>
          <cell r="K70">
            <v>1.0054587688734031</v>
          </cell>
          <cell r="L70">
            <v>143.24480847191177</v>
          </cell>
        </row>
        <row r="71">
          <cell r="B71">
            <v>36257</v>
          </cell>
          <cell r="C71">
            <v>65</v>
          </cell>
          <cell r="D71">
            <v>3.8798893772584719</v>
          </cell>
          <cell r="E71">
            <v>1.0039127466341597</v>
          </cell>
          <cell r="F71">
            <v>108.39980677113569</v>
          </cell>
          <cell r="G71">
            <v>38.5</v>
          </cell>
          <cell r="H71">
            <v>1.2941570275053493E-3</v>
          </cell>
          <cell r="J71">
            <v>1.7295</v>
          </cell>
          <cell r="K71">
            <v>1.0043554006968642</v>
          </cell>
          <cell r="L71">
            <v>143.08761479275233</v>
          </cell>
        </row>
        <row r="72">
          <cell r="B72">
            <v>36258</v>
          </cell>
          <cell r="C72">
            <v>66</v>
          </cell>
          <cell r="D72">
            <v>3.8833315271868951</v>
          </cell>
          <cell r="E72">
            <v>1.0052111034346132</v>
          </cell>
          <cell r="F72">
            <v>108.53999985739841</v>
          </cell>
          <cell r="G72">
            <v>38.54</v>
          </cell>
          <cell r="H72">
            <v>1.2932964590861573E-3</v>
          </cell>
          <cell r="J72">
            <v>1.7205999999999999</v>
          </cell>
          <cell r="K72">
            <v>0.99918699186991866</v>
          </cell>
          <cell r="L72">
            <v>142.35128650616343</v>
          </cell>
        </row>
        <row r="73">
          <cell r="B73">
            <v>36259</v>
          </cell>
          <cell r="C73">
            <v>67</v>
          </cell>
          <cell r="D73">
            <v>3.8850522309596958</v>
          </cell>
          <cell r="E73">
            <v>1.0065122927577619</v>
          </cell>
          <cell r="F73">
            <v>108.68049879186745</v>
          </cell>
          <cell r="G73">
            <v>38.56</v>
          </cell>
          <cell r="H73">
            <v>1.2944438423956317E-3</v>
          </cell>
          <cell r="J73">
            <v>1.7090000000000001</v>
          </cell>
          <cell r="K73">
            <v>0.99245063879210227</v>
          </cell>
          <cell r="L73">
            <v>141.39157772813746</v>
          </cell>
        </row>
        <row r="74">
          <cell r="B74">
            <v>36262</v>
          </cell>
          <cell r="C74">
            <v>68</v>
          </cell>
          <cell r="D74">
            <v>3.8902128583664375</v>
          </cell>
          <cell r="E74">
            <v>1.0078157437005841</v>
          </cell>
          <cell r="F74">
            <v>108.82124192996517</v>
          </cell>
          <cell r="G74">
            <v>38.619999999999997</v>
          </cell>
          <cell r="H74">
            <v>1.2950174103198986E-3</v>
          </cell>
          <cell r="J74">
            <v>1.7054</v>
          </cell>
          <cell r="K74">
            <v>0.99036004645760745</v>
          </cell>
          <cell r="L74">
            <v>141.09373707288802</v>
          </cell>
        </row>
        <row r="75">
          <cell r="B75">
            <v>36263</v>
          </cell>
          <cell r="C75">
            <v>69</v>
          </cell>
          <cell r="D75">
            <v>3.8876328228298895</v>
          </cell>
          <cell r="E75">
            <v>1.0091226162889202</v>
          </cell>
          <cell r="F75">
            <v>108.96235452817163</v>
          </cell>
          <cell r="G75">
            <v>38.590000000000003</v>
          </cell>
          <cell r="H75">
            <v>1.2967376194554792E-3</v>
          </cell>
          <cell r="J75">
            <v>1.6719999999999999</v>
          </cell>
          <cell r="K75">
            <v>0.97096399535423916</v>
          </cell>
          <cell r="L75">
            <v>138.33043766029596</v>
          </cell>
        </row>
        <row r="76">
          <cell r="B76">
            <v>36264</v>
          </cell>
          <cell r="C76">
            <v>70</v>
          </cell>
          <cell r="D76">
            <v>3.3744854144432956</v>
          </cell>
          <cell r="E76">
            <v>1.0104303156907017</v>
          </cell>
          <cell r="F76">
            <v>109.10355640347714</v>
          </cell>
          <cell r="G76">
            <v>32.75</v>
          </cell>
          <cell r="H76">
            <v>1.2958776076099632E-3</v>
          </cell>
          <cell r="J76">
            <v>1.6575</v>
          </cell>
          <cell r="K76">
            <v>0.96254355400696856</v>
          </cell>
          <cell r="L76">
            <v>137.13080168776349</v>
          </cell>
        </row>
        <row r="77">
          <cell r="B77">
            <v>36265</v>
          </cell>
          <cell r="C77">
            <v>71</v>
          </cell>
          <cell r="D77">
            <v>3.4291256160499106</v>
          </cell>
          <cell r="E77">
            <v>1.0115668764782382</v>
          </cell>
          <cell r="F77">
            <v>109.22627919005961</v>
          </cell>
          <cell r="G77">
            <v>33.36</v>
          </cell>
          <cell r="H77">
            <v>1.1248284714810985E-3</v>
          </cell>
          <cell r="J77">
            <v>1.6688000000000001</v>
          </cell>
          <cell r="K77">
            <v>0.96910569105691069</v>
          </cell>
          <cell r="L77">
            <v>138.06569041118536</v>
          </cell>
        </row>
        <row r="78">
          <cell r="B78">
            <v>36266</v>
          </cell>
          <cell r="C78">
            <v>72</v>
          </cell>
          <cell r="D78">
            <v>3.4291256160499106</v>
          </cell>
          <cell r="E78">
            <v>1.0127231397743979</v>
          </cell>
          <cell r="F78">
            <v>109.35112940069843</v>
          </cell>
          <cell r="G78">
            <v>33.36</v>
          </cell>
          <cell r="H78">
            <v>1.1430418720166369E-3</v>
          </cell>
          <cell r="J78">
            <v>1.67</v>
          </cell>
          <cell r="K78">
            <v>0.96980255516840896</v>
          </cell>
          <cell r="L78">
            <v>138.16497062960184</v>
          </cell>
        </row>
        <row r="79">
          <cell r="B79">
            <v>36269</v>
          </cell>
          <cell r="C79">
            <v>73</v>
          </cell>
          <cell r="D79">
            <v>3.4326998780762619</v>
          </cell>
          <cell r="E79">
            <v>1.0138807247279202</v>
          </cell>
          <cell r="F79">
            <v>109.47612232035574</v>
          </cell>
          <cell r="G79">
            <v>33.4</v>
          </cell>
          <cell r="H79">
            <v>1.1430418720166369E-3</v>
          </cell>
          <cell r="J79">
            <v>1.6720999999999999</v>
          </cell>
          <cell r="K79">
            <v>0.97102206736353081</v>
          </cell>
          <cell r="L79">
            <v>138.33871101183067</v>
          </cell>
        </row>
        <row r="80">
          <cell r="B80">
            <v>36270</v>
          </cell>
          <cell r="C80">
            <v>74</v>
          </cell>
          <cell r="D80">
            <v>3.421079620752554</v>
          </cell>
          <cell r="E80">
            <v>1.0150408408079727</v>
          </cell>
          <cell r="F80">
            <v>109.60138854426954</v>
          </cell>
          <cell r="G80">
            <v>33.270000000000003</v>
          </cell>
          <cell r="H80">
            <v>1.1442332926923093E-3</v>
          </cell>
          <cell r="J80">
            <v>1.7101</v>
          </cell>
          <cell r="K80">
            <v>0.99308943089430912</v>
          </cell>
          <cell r="L80">
            <v>141.48258459501923</v>
          </cell>
        </row>
        <row r="81">
          <cell r="B81">
            <v>36272</v>
          </cell>
          <cell r="C81">
            <v>75</v>
          </cell>
          <cell r="D81">
            <v>3.4013888256407832</v>
          </cell>
          <cell r="E81">
            <v>1.0161983526528793</v>
          </cell>
          <cell r="F81">
            <v>109.72637356985453</v>
          </cell>
          <cell r="G81">
            <v>33.049999999999997</v>
          </cell>
          <cell r="H81">
            <v>1.1403598735841847E-3</v>
          </cell>
          <cell r="J81">
            <v>1.7014</v>
          </cell>
          <cell r="K81">
            <v>0.98803716608594683</v>
          </cell>
          <cell r="L81">
            <v>140.76280301149976</v>
          </cell>
        </row>
        <row r="82">
          <cell r="B82">
            <v>36273</v>
          </cell>
          <cell r="C82">
            <v>76</v>
          </cell>
          <cell r="D82">
            <v>3.3466215290209878</v>
          </cell>
          <cell r="E82">
            <v>1.0173505145599953</v>
          </cell>
          <cell r="F82">
            <v>109.85078092350072</v>
          </cell>
          <cell r="G82">
            <v>32.44</v>
          </cell>
          <cell r="H82">
            <v>1.1337962752135944E-3</v>
          </cell>
          <cell r="J82">
            <v>1.6851</v>
          </cell>
          <cell r="K82">
            <v>0.97857142857142887</v>
          </cell>
          <cell r="L82">
            <v>139.41424671134257</v>
          </cell>
        </row>
        <row r="83">
          <cell r="B83">
            <v>36276</v>
          </cell>
          <cell r="C83">
            <v>77</v>
          </cell>
          <cell r="D83">
            <v>3.3439215773107822</v>
          </cell>
          <cell r="E83">
            <v>1.0184854102715242</v>
          </cell>
          <cell r="F83">
            <v>109.97332391964017</v>
          </cell>
          <cell r="G83">
            <v>32.409999999999997</v>
          </cell>
          <cell r="H83">
            <v>1.1155405096736626E-3</v>
          </cell>
          <cell r="J83">
            <v>1.6978</v>
          </cell>
          <cell r="K83">
            <v>0.985946573751452</v>
          </cell>
          <cell r="L83">
            <v>140.46496235625031</v>
          </cell>
        </row>
        <row r="84">
          <cell r="B84">
            <v>36277</v>
          </cell>
          <cell r="C84">
            <v>78</v>
          </cell>
          <cell r="D84">
            <v>3.3349173357450912</v>
          </cell>
          <cell r="E84">
            <v>1.0196206553847185</v>
          </cell>
          <cell r="F84">
            <v>110.09590464323465</v>
          </cell>
          <cell r="G84">
            <v>32.31</v>
          </cell>
          <cell r="H84">
            <v>1.1146405257702607E-3</v>
          </cell>
          <cell r="J84">
            <v>1.7069000000000001</v>
          </cell>
          <cell r="K84">
            <v>0.99123112659698054</v>
          </cell>
          <cell r="L84">
            <v>141.21783734590863</v>
          </cell>
        </row>
        <row r="85">
          <cell r="B85">
            <v>36278</v>
          </cell>
          <cell r="C85">
            <v>79</v>
          </cell>
          <cell r="D85">
            <v>3.3141818295556735</v>
          </cell>
          <cell r="E85">
            <v>1.0207541055845606</v>
          </cell>
          <cell r="F85">
            <v>110.21829155689774</v>
          </cell>
          <cell r="G85">
            <v>32.08</v>
          </cell>
          <cell r="H85">
            <v>1.1116391119150304E-3</v>
          </cell>
          <cell r="J85">
            <v>1.6962999999999999</v>
          </cell>
          <cell r="K85">
            <v>0.98507549361207924</v>
          </cell>
          <cell r="L85">
            <v>140.34086208322972</v>
          </cell>
        </row>
        <row r="86">
          <cell r="B86">
            <v>36279</v>
          </cell>
          <cell r="C86">
            <v>80</v>
          </cell>
          <cell r="D86">
            <v>3.2562931981379162</v>
          </cell>
          <cell r="E86">
            <v>1.0218817604876183</v>
          </cell>
          <cell r="F86">
            <v>110.34005270995193</v>
          </cell>
          <cell r="G86">
            <v>31.44</v>
          </cell>
          <cell r="H86">
            <v>1.1047272765187799E-3</v>
          </cell>
          <cell r="J86">
            <v>1.6676</v>
          </cell>
          <cell r="K86">
            <v>0.96840882694541253</v>
          </cell>
          <cell r="L86">
            <v>137.9664101927689</v>
          </cell>
        </row>
        <row r="87">
          <cell r="B87">
            <v>36280</v>
          </cell>
          <cell r="C87">
            <v>81</v>
          </cell>
          <cell r="D87">
            <v>3.2535727845881546</v>
          </cell>
          <cell r="E87">
            <v>1.0229909426962773</v>
          </cell>
          <cell r="F87">
            <v>110.45981923099247</v>
          </cell>
          <cell r="G87">
            <v>31.41</v>
          </cell>
          <cell r="H87">
            <v>1.0854310660459721E-3</v>
          </cell>
          <cell r="J87">
            <v>1.6607000000000001</v>
          </cell>
          <cell r="K87">
            <v>0.96440185830429759</v>
          </cell>
          <cell r="L87">
            <v>137.39554893687415</v>
          </cell>
        </row>
        <row r="88">
          <cell r="B88">
            <v>36283</v>
          </cell>
          <cell r="C88">
            <v>82</v>
          </cell>
          <cell r="D88">
            <v>3.2490373870726064</v>
          </cell>
          <cell r="E88">
            <v>1.0010845242615294</v>
          </cell>
          <cell r="F88">
            <v>110.57961558487263</v>
          </cell>
          <cell r="G88">
            <v>31.36</v>
          </cell>
          <cell r="H88">
            <v>1.0845242615293849E-3</v>
          </cell>
          <cell r="J88">
            <v>1.6735</v>
          </cell>
          <cell r="K88">
            <v>1.0077075931835973</v>
          </cell>
          <cell r="L88">
            <v>138.4545379333166</v>
          </cell>
        </row>
        <row r="89">
          <cell r="B89">
            <v>36284</v>
          </cell>
          <cell r="C89">
            <v>83</v>
          </cell>
          <cell r="D89">
            <v>3.252665842606639</v>
          </cell>
          <cell r="E89">
            <v>1.002168711277178</v>
          </cell>
          <cell r="F89">
            <v>110.69937468663376</v>
          </cell>
          <cell r="G89">
            <v>31.4</v>
          </cell>
          <cell r="H89">
            <v>1.0830124623575355E-3</v>
          </cell>
          <cell r="J89">
            <v>1.6734</v>
          </cell>
          <cell r="K89">
            <v>1.0076473776118504</v>
          </cell>
          <cell r="L89">
            <v>138.44626458178189</v>
          </cell>
        </row>
        <row r="90">
          <cell r="B90">
            <v>36285</v>
          </cell>
          <cell r="C90">
            <v>84</v>
          </cell>
          <cell r="D90">
            <v>3.2508517523812674</v>
          </cell>
          <cell r="E90">
            <v>1.0032552845890781</v>
          </cell>
          <cell r="F90">
            <v>110.81939737824747</v>
          </cell>
          <cell r="G90">
            <v>31.38</v>
          </cell>
          <cell r="H90">
            <v>1.0842219475355463E-3</v>
          </cell>
          <cell r="J90">
            <v>1.6847000000000001</v>
          </cell>
          <cell r="K90">
            <v>1.014451737219245</v>
          </cell>
          <cell r="L90">
            <v>139.38115330520375</v>
          </cell>
        </row>
        <row r="91">
          <cell r="B91">
            <v>36286</v>
          </cell>
          <cell r="C91">
            <v>85</v>
          </cell>
          <cell r="D91">
            <v>3.3322147414533987</v>
          </cell>
          <cell r="E91">
            <v>1.0043424293224088</v>
          </cell>
          <cell r="F91">
            <v>110.93948318896911</v>
          </cell>
          <cell r="G91">
            <v>32.28</v>
          </cell>
          <cell r="H91">
            <v>1.0836172507937558E-3</v>
          </cell>
          <cell r="J91">
            <v>1.6729000000000001</v>
          </cell>
          <cell r="K91">
            <v>1.0073462997531162</v>
          </cell>
          <cell r="L91">
            <v>138.40489782410836</v>
          </cell>
        </row>
        <row r="92">
          <cell r="B92">
            <v>36287</v>
          </cell>
          <cell r="C92">
            <v>86</v>
          </cell>
          <cell r="D92">
            <v>3.1433306502874903</v>
          </cell>
          <cell r="E92">
            <v>1.0054579908718939</v>
          </cell>
          <cell r="F92">
            <v>111.06270791606629</v>
          </cell>
          <cell r="G92">
            <v>30.2</v>
          </cell>
          <cell r="H92">
            <v>1.1107382471513549E-3</v>
          </cell>
          <cell r="J92">
            <v>1.6712</v>
          </cell>
          <cell r="K92">
            <v>1.0063226350334196</v>
          </cell>
          <cell r="L92">
            <v>138.26425084801832</v>
          </cell>
        </row>
        <row r="93">
          <cell r="B93">
            <v>36290</v>
          </cell>
          <cell r="C93">
            <v>87</v>
          </cell>
          <cell r="D93">
            <v>3.0339108636401324</v>
          </cell>
          <cell r="E93">
            <v>1.0065114865119886</v>
          </cell>
          <cell r="F93">
            <v>111.17907685403179</v>
          </cell>
          <cell r="G93">
            <v>29.01</v>
          </cell>
          <cell r="H93">
            <v>1.0477768834291634E-3</v>
          </cell>
          <cell r="J93">
            <v>1.6517999999999999</v>
          </cell>
          <cell r="K93">
            <v>0.99464081411452987</v>
          </cell>
          <cell r="L93">
            <v>136.65922065028522</v>
          </cell>
        </row>
        <row r="94">
          <cell r="B94">
            <v>36291</v>
          </cell>
          <cell r="C94">
            <v>88</v>
          </cell>
          <cell r="D94">
            <v>3.0283673109425813</v>
          </cell>
          <cell r="E94">
            <v>1.0075293752230912</v>
          </cell>
          <cell r="F94">
            <v>111.29151265705744</v>
          </cell>
          <cell r="G94">
            <v>28.95</v>
          </cell>
          <cell r="H94">
            <v>1.0113036212133775E-3</v>
          </cell>
          <cell r="J94">
            <v>1.6468</v>
          </cell>
          <cell r="K94">
            <v>0.99163003552718731</v>
          </cell>
          <cell r="L94">
            <v>136.2455530735499</v>
          </cell>
        </row>
        <row r="95">
          <cell r="B95">
            <v>36292</v>
          </cell>
          <cell r="C95">
            <v>89</v>
          </cell>
          <cell r="D95">
            <v>3.0265188891036576</v>
          </cell>
          <cell r="E95">
            <v>1.0085464315646713</v>
          </cell>
          <cell r="F95">
            <v>111.40385651669611</v>
          </cell>
          <cell r="G95">
            <v>28.93</v>
          </cell>
          <cell r="H95">
            <v>1.0094557703141938E-3</v>
          </cell>
          <cell r="J95">
            <v>1.6614</v>
          </cell>
          <cell r="K95">
            <v>1.0004215090022279</v>
          </cell>
          <cell r="L95">
            <v>137.45346239761707</v>
          </cell>
        </row>
        <row r="96">
          <cell r="B96">
            <v>36293</v>
          </cell>
          <cell r="C96">
            <v>90</v>
          </cell>
          <cell r="D96">
            <v>2.8063752439277945</v>
          </cell>
          <cell r="E96">
            <v>1.0095638931732274</v>
          </cell>
          <cell r="F96">
            <v>111.51624514205169</v>
          </cell>
          <cell r="G96">
            <v>26.57</v>
          </cell>
          <cell r="H96">
            <v>1.0088396297009972E-3</v>
          </cell>
          <cell r="J96">
            <v>1.651</v>
          </cell>
          <cell r="K96">
            <v>0.99415908954055521</v>
          </cell>
          <cell r="L96">
            <v>136.59303383800759</v>
          </cell>
        </row>
        <row r="97">
          <cell r="B97">
            <v>36294</v>
          </cell>
          <cell r="C97">
            <v>91</v>
          </cell>
          <cell r="D97">
            <v>2.7922451933228842</v>
          </cell>
          <cell r="E97">
            <v>1.0105082982122155</v>
          </cell>
          <cell r="F97">
            <v>111.62056395193916</v>
          </cell>
          <cell r="G97">
            <v>26.42</v>
          </cell>
          <cell r="H97">
            <v>9.3545841464259816E-4</v>
          </cell>
          <cell r="J97">
            <v>1.657</v>
          </cell>
          <cell r="K97">
            <v>0.99777202384536645</v>
          </cell>
          <cell r="L97">
            <v>137.08943493008999</v>
          </cell>
        </row>
        <row r="98">
          <cell r="B98">
            <v>36297</v>
          </cell>
          <cell r="C98">
            <v>92</v>
          </cell>
          <cell r="D98">
            <v>2.7507005052991307</v>
          </cell>
          <cell r="E98">
            <v>1.0114488271917141</v>
          </cell>
          <cell r="F98">
            <v>111.72445461299608</v>
          </cell>
          <cell r="G98">
            <v>25.98</v>
          </cell>
          <cell r="H98">
            <v>9.3074839777429474E-4</v>
          </cell>
          <cell r="J98">
            <v>1.667</v>
          </cell>
          <cell r="K98">
            <v>1.003793581020052</v>
          </cell>
          <cell r="L98">
            <v>137.91677008356066</v>
          </cell>
        </row>
        <row r="99">
          <cell r="B99">
            <v>36298</v>
          </cell>
          <cell r="C99">
            <v>93</v>
          </cell>
          <cell r="D99">
            <v>2.715653181630584</v>
          </cell>
          <cell r="E99">
            <v>1.0123762247917276</v>
          </cell>
          <cell r="F99">
            <v>111.82689478424882</v>
          </cell>
          <cell r="G99">
            <v>25.61</v>
          </cell>
          <cell r="H99">
            <v>9.1690016843304356E-4</v>
          </cell>
          <cell r="J99">
            <v>1.6658999999999999</v>
          </cell>
          <cell r="K99">
            <v>1.0031312097308367</v>
          </cell>
          <cell r="L99">
            <v>137.82576321667889</v>
          </cell>
        </row>
        <row r="100">
          <cell r="B100">
            <v>36299</v>
          </cell>
          <cell r="C100">
            <v>94</v>
          </cell>
          <cell r="D100">
            <v>2.4451077078226913</v>
          </cell>
          <cell r="E100">
            <v>1.0132926456970153</v>
          </cell>
          <cell r="F100">
            <v>111.92812247178639</v>
          </cell>
          <cell r="G100">
            <v>22.79</v>
          </cell>
          <cell r="H100">
            <v>9.0521772721019467E-4</v>
          </cell>
          <cell r="J100">
            <v>1.6636</v>
          </cell>
          <cell r="K100">
            <v>1.001746251580659</v>
          </cell>
          <cell r="L100">
            <v>137.63547613138061</v>
          </cell>
        </row>
        <row r="101">
          <cell r="B101">
            <v>36300</v>
          </cell>
          <cell r="C101">
            <v>95</v>
          </cell>
          <cell r="D101">
            <v>2.4557763840771241</v>
          </cell>
          <cell r="E101">
            <v>1.0141185155831065</v>
          </cell>
          <cell r="F101">
            <v>112.01934791011236</v>
          </cell>
          <cell r="G101">
            <v>22.9</v>
          </cell>
          <cell r="H101">
            <v>8.1503590260756376E-4</v>
          </cell>
          <cell r="J101">
            <v>1.6834</v>
          </cell>
          <cell r="K101">
            <v>1.0136689347865362</v>
          </cell>
          <cell r="L101">
            <v>139.27359973525256</v>
          </cell>
        </row>
        <row r="102">
          <cell r="B102">
            <v>36301</v>
          </cell>
          <cell r="C102">
            <v>96</v>
          </cell>
          <cell r="D102">
            <v>2.4538373323679252</v>
          </cell>
          <cell r="E102">
            <v>1.014948665016848</v>
          </cell>
          <cell r="F102">
            <v>112.11104606649816</v>
          </cell>
          <cell r="G102">
            <v>22.88</v>
          </cell>
          <cell r="H102">
            <v>8.1859212802570802E-4</v>
          </cell>
          <cell r="J102">
            <v>1.6962999999999999</v>
          </cell>
          <cell r="K102">
            <v>1.0214367435418803</v>
          </cell>
          <cell r="L102">
            <v>140.34086208322972</v>
          </cell>
        </row>
        <row r="103">
          <cell r="B103">
            <v>36304</v>
          </cell>
          <cell r="C103">
            <v>97</v>
          </cell>
          <cell r="D103">
            <v>2.4509281653206649</v>
          </cell>
          <cell r="E103">
            <v>1.0157788379917332</v>
          </cell>
          <cell r="F103">
            <v>112.20274682323443</v>
          </cell>
          <cell r="G103">
            <v>22.85</v>
          </cell>
          <cell r="H103">
            <v>8.1794577745597508E-4</v>
          </cell>
          <cell r="J103">
            <v>1.6984999999999999</v>
          </cell>
          <cell r="K103">
            <v>1.0227614861203111</v>
          </cell>
          <cell r="L103">
            <v>140.52287581699326</v>
          </cell>
        </row>
        <row r="104">
          <cell r="B104">
            <v>36305</v>
          </cell>
          <cell r="C104">
            <v>98</v>
          </cell>
          <cell r="D104">
            <v>2.4538373323679252</v>
          </cell>
          <cell r="E104">
            <v>1.0166087049796568</v>
          </cell>
          <cell r="F104">
            <v>112.29441378070624</v>
          </cell>
          <cell r="G104">
            <v>22.88</v>
          </cell>
          <cell r="H104">
            <v>8.1697605510688831E-4</v>
          </cell>
          <cell r="J104">
            <v>1.748</v>
          </cell>
          <cell r="K104">
            <v>1.052568194135004</v>
          </cell>
          <cell r="L104">
            <v>144.61818482667309</v>
          </cell>
        </row>
        <row r="105">
          <cell r="B105">
            <v>36306</v>
          </cell>
          <cell r="C105">
            <v>99</v>
          </cell>
          <cell r="D105">
            <v>2.4518979662842</v>
          </cell>
          <cell r="E105">
            <v>1.0174402357772199</v>
          </cell>
          <cell r="F105">
            <v>112.38626452229006</v>
          </cell>
          <cell r="G105">
            <v>22.86</v>
          </cell>
          <cell r="H105">
            <v>8.1794577745597508E-4</v>
          </cell>
          <cell r="J105">
            <v>1.7185999999999999</v>
          </cell>
          <cell r="K105">
            <v>1.0348648160414289</v>
          </cell>
          <cell r="L105">
            <v>142.18581947546932</v>
          </cell>
        </row>
        <row r="106">
          <cell r="B106">
            <v>36307</v>
          </cell>
          <cell r="C106">
            <v>100</v>
          </cell>
          <cell r="D106">
            <v>2.4247137745532221</v>
          </cell>
          <cell r="E106">
            <v>1.0182717889921924</v>
          </cell>
          <cell r="F106">
            <v>112.47811774009688</v>
          </cell>
          <cell r="G106">
            <v>22.58</v>
          </cell>
          <cell r="H106">
            <v>8.1729932209473333E-4</v>
          </cell>
          <cell r="J106">
            <v>1.7137</v>
          </cell>
          <cell r="K106">
            <v>1.0319142530258332</v>
          </cell>
          <cell r="L106">
            <v>141.78042525026871</v>
          </cell>
        </row>
        <row r="107">
          <cell r="B107">
            <v>36308</v>
          </cell>
          <cell r="C107">
            <v>101</v>
          </cell>
          <cell r="D107">
            <v>2.4120715121649372</v>
          </cell>
          <cell r="E107">
            <v>1.0190947948698619</v>
          </cell>
          <cell r="F107">
            <v>112.5690268205703</v>
          </cell>
          <cell r="G107">
            <v>22.45</v>
          </cell>
          <cell r="H107">
            <v>8.0823792485129609E-4</v>
          </cell>
          <cell r="J107">
            <v>1.7311000000000001</v>
          </cell>
          <cell r="K107">
            <v>1.0423917625097856</v>
          </cell>
          <cell r="L107">
            <v>143.21998841730766</v>
          </cell>
        </row>
        <row r="108">
          <cell r="B108">
            <v>36311</v>
          </cell>
          <cell r="C108">
            <v>102</v>
          </cell>
          <cell r="D108">
            <v>2.4052586017404565</v>
          </cell>
          <cell r="E108">
            <v>1.0199141713774955</v>
          </cell>
          <cell r="F108">
            <v>112.65953500148564</v>
          </cell>
          <cell r="G108">
            <v>22.38</v>
          </cell>
          <cell r="H108">
            <v>8.040238373883124E-4</v>
          </cell>
          <cell r="J108">
            <v>1.724</v>
          </cell>
          <cell r="K108">
            <v>1.0381164569157588</v>
          </cell>
          <cell r="L108">
            <v>142.63258045834348</v>
          </cell>
        </row>
        <row r="109">
          <cell r="B109">
            <v>36312</v>
          </cell>
          <cell r="C109">
            <v>103</v>
          </cell>
          <cell r="D109">
            <v>2.4062321122619856</v>
          </cell>
          <cell r="E109">
            <v>1.0008017528672468</v>
          </cell>
          <cell r="F109">
            <v>112.74986010669578</v>
          </cell>
          <cell r="G109">
            <v>22.39</v>
          </cell>
          <cell r="H109">
            <v>8.0175286724681882E-4</v>
          </cell>
          <cell r="J109">
            <v>1.7336</v>
          </cell>
          <cell r="K109">
            <v>1.0055684454756382</v>
          </cell>
          <cell r="L109">
            <v>143.42682220567534</v>
          </cell>
        </row>
        <row r="110">
          <cell r="B110">
            <v>36313</v>
          </cell>
          <cell r="C110">
            <v>104</v>
          </cell>
          <cell r="D110">
            <v>2.4169355021357308</v>
          </cell>
          <cell r="E110">
            <v>1.0016044733058325</v>
          </cell>
          <cell r="F110">
            <v>112.84029421804303</v>
          </cell>
          <cell r="G110">
            <v>22.5</v>
          </cell>
          <cell r="H110">
            <v>8.0207737075399521E-4</v>
          </cell>
          <cell r="J110">
            <v>1.7542</v>
          </cell>
          <cell r="K110">
            <v>1.0175174013921116</v>
          </cell>
          <cell r="L110">
            <v>145.13113262182492</v>
          </cell>
        </row>
        <row r="111">
          <cell r="B111">
            <v>36315</v>
          </cell>
          <cell r="C111">
            <v>105</v>
          </cell>
          <cell r="D111">
            <v>2.4208252705797406</v>
          </cell>
          <cell r="E111">
            <v>1.002411411109376</v>
          </cell>
          <cell r="F111">
            <v>112.93120345576537</v>
          </cell>
          <cell r="G111">
            <v>22.54</v>
          </cell>
          <cell r="H111">
            <v>8.0564516737857694E-4</v>
          </cell>
          <cell r="J111">
            <v>1.7364999999999999</v>
          </cell>
          <cell r="K111">
            <v>1.007250580046404</v>
          </cell>
          <cell r="L111">
            <v>143.66674940018186</v>
          </cell>
        </row>
        <row r="112">
          <cell r="B112">
            <v>36318</v>
          </cell>
          <cell r="C112">
            <v>106</v>
          </cell>
          <cell r="D112">
            <v>2.4198529470447205</v>
          </cell>
          <cell r="E112">
            <v>1.0032202987345531</v>
          </cell>
          <cell r="F112">
            <v>113.02233235948628</v>
          </cell>
          <cell r="G112">
            <v>22.53</v>
          </cell>
          <cell r="H112">
            <v>8.0694175686013558E-4</v>
          </cell>
          <cell r="J112">
            <v>1.7412000000000001</v>
          </cell>
          <cell r="K112">
            <v>1.0099767981438519</v>
          </cell>
          <cell r="L112">
            <v>144.0555969223131</v>
          </cell>
        </row>
        <row r="113">
          <cell r="B113">
            <v>36319</v>
          </cell>
          <cell r="C113">
            <v>107</v>
          </cell>
          <cell r="D113">
            <v>2.4247137745532221</v>
          </cell>
          <cell r="E113">
            <v>1.0040295139333624</v>
          </cell>
          <cell r="F113">
            <v>113.11349816750028</v>
          </cell>
          <cell r="G113">
            <v>22.58</v>
          </cell>
          <cell r="H113">
            <v>8.0661764901490685E-4</v>
          </cell>
          <cell r="J113">
            <v>1.7479</v>
          </cell>
          <cell r="K113">
            <v>1.0138631090487242</v>
          </cell>
          <cell r="L113">
            <v>144.60991147513843</v>
          </cell>
        </row>
        <row r="114">
          <cell r="B114">
            <v>36320</v>
          </cell>
          <cell r="C114">
            <v>108</v>
          </cell>
          <cell r="D114">
            <v>2.3290796288906179</v>
          </cell>
          <cell r="E114">
            <v>1.004841008664193</v>
          </cell>
          <cell r="F114">
            <v>113.20492078653182</v>
          </cell>
          <cell r="G114">
            <v>21.6</v>
          </cell>
          <cell r="H114">
            <v>8.08237924850852E-4</v>
          </cell>
          <cell r="J114">
            <v>1.7491000000000001</v>
          </cell>
          <cell r="K114">
            <v>1.0145591647331789</v>
          </cell>
          <cell r="L114">
            <v>144.70919169355491</v>
          </cell>
        </row>
        <row r="115">
          <cell r="B115">
            <v>36321</v>
          </cell>
          <cell r="C115">
            <v>109</v>
          </cell>
          <cell r="D115">
            <v>2.3320185780766334</v>
          </cell>
          <cell r="E115">
            <v>1.0056211269053776</v>
          </cell>
          <cell r="F115">
            <v>113.29280854482985</v>
          </cell>
          <cell r="G115">
            <v>21.63</v>
          </cell>
          <cell r="H115">
            <v>7.7635987629687264E-4</v>
          </cell>
          <cell r="J115">
            <v>1.7597</v>
          </cell>
          <cell r="K115">
            <v>1.0207076566125293</v>
          </cell>
          <cell r="L115">
            <v>145.58616695623382</v>
          </cell>
        </row>
        <row r="116">
          <cell r="B116">
            <v>36322</v>
          </cell>
          <cell r="C116">
            <v>110</v>
          </cell>
          <cell r="D116">
            <v>2.3329980673603146</v>
          </cell>
          <cell r="E116">
            <v>1.0064028359555275</v>
          </cell>
          <cell r="F116">
            <v>113.38087552292619</v>
          </cell>
          <cell r="G116">
            <v>21.64</v>
          </cell>
          <cell r="H116">
            <v>7.7733952602554446E-4</v>
          </cell>
          <cell r="J116">
            <v>1.7729999999999999</v>
          </cell>
          <cell r="K116">
            <v>1.0284222737819029</v>
          </cell>
          <cell r="L116">
            <v>146.68652271034981</v>
          </cell>
        </row>
        <row r="117">
          <cell r="B117">
            <v>36325</v>
          </cell>
          <cell r="C117">
            <v>111</v>
          </cell>
          <cell r="D117">
            <v>2.3329980673603146</v>
          </cell>
          <cell r="E117">
            <v>1.0071854812459509</v>
          </cell>
          <cell r="F117">
            <v>113.46904797741638</v>
          </cell>
          <cell r="G117">
            <v>21.64</v>
          </cell>
          <cell r="H117">
            <v>7.7766602245343819E-4</v>
          </cell>
          <cell r="J117">
            <v>1.7783</v>
          </cell>
          <cell r="K117">
            <v>1.0314965197215782</v>
          </cell>
          <cell r="L117">
            <v>147.12501034168926</v>
          </cell>
        </row>
        <row r="118">
          <cell r="B118">
            <v>36326</v>
          </cell>
          <cell r="C118">
            <v>112</v>
          </cell>
          <cell r="D118">
            <v>2.3378943110274886</v>
          </cell>
          <cell r="E118">
            <v>1.0079687351730242</v>
          </cell>
          <cell r="F118">
            <v>113.55728900062854</v>
          </cell>
          <cell r="G118">
            <v>21.69</v>
          </cell>
          <cell r="H118">
            <v>7.7766602245321614E-4</v>
          </cell>
          <cell r="J118">
            <v>1.7891999999999999</v>
          </cell>
          <cell r="K118">
            <v>1.0378190255220423</v>
          </cell>
          <cell r="L118">
            <v>148.02680565897231</v>
          </cell>
        </row>
        <row r="119">
          <cell r="B119">
            <v>36327</v>
          </cell>
          <cell r="C119">
            <v>113</v>
          </cell>
          <cell r="D119">
            <v>2.3310390085797827</v>
          </cell>
          <cell r="E119">
            <v>1.008754243296909</v>
          </cell>
          <cell r="F119">
            <v>113.64578398060529</v>
          </cell>
          <cell r="G119">
            <v>21.62</v>
          </cell>
          <cell r="H119">
            <v>7.7929810367560748E-4</v>
          </cell>
          <cell r="J119">
            <v>1.7675000000000001</v>
          </cell>
          <cell r="K119">
            <v>1.0252320185614856</v>
          </cell>
          <cell r="L119">
            <v>146.23148837594096</v>
          </cell>
        </row>
        <row r="120">
          <cell r="B120">
            <v>36328</v>
          </cell>
          <cell r="C120">
            <v>114</v>
          </cell>
          <cell r="D120">
            <v>2.3222192713032719</v>
          </cell>
          <cell r="E120">
            <v>1.0095380584606408</v>
          </cell>
          <cell r="F120">
            <v>113.73408823247843</v>
          </cell>
          <cell r="G120">
            <v>21.53</v>
          </cell>
          <cell r="H120">
            <v>7.7701300285992758E-4</v>
          </cell>
          <cell r="J120">
            <v>1.7605</v>
          </cell>
          <cell r="K120">
            <v>1.0211716937354993</v>
          </cell>
          <cell r="L120">
            <v>145.65235376851146</v>
          </cell>
        </row>
        <row r="121">
          <cell r="B121">
            <v>36329</v>
          </cell>
          <cell r="C121">
            <v>115</v>
          </cell>
          <cell r="D121">
            <v>2.3182972996511619</v>
          </cell>
          <cell r="E121">
            <v>1.0103195147054647</v>
          </cell>
          <cell r="F121">
            <v>113.8221267296443</v>
          </cell>
          <cell r="G121">
            <v>21.49</v>
          </cell>
          <cell r="H121">
            <v>7.7407309043442396E-4</v>
          </cell>
          <cell r="J121">
            <v>1.7484999999999999</v>
          </cell>
          <cell r="K121">
            <v>1.0142111368909519</v>
          </cell>
          <cell r="L121">
            <v>144.65955158434667</v>
          </cell>
        </row>
        <row r="122">
          <cell r="B122">
            <v>36332</v>
          </cell>
          <cell r="C122">
            <v>116</v>
          </cell>
          <cell r="D122">
            <v>2.3202584462216347</v>
          </cell>
          <cell r="E122">
            <v>1.0111002550397068</v>
          </cell>
          <cell r="F122">
            <v>113.91008457265693</v>
          </cell>
          <cell r="G122">
            <v>21.51</v>
          </cell>
          <cell r="H122">
            <v>7.7276576655038731E-4</v>
          </cell>
          <cell r="J122">
            <v>1.7636000000000001</v>
          </cell>
          <cell r="K122">
            <v>1.0229698375870075</v>
          </cell>
          <cell r="L122">
            <v>145.9088276660874</v>
          </cell>
        </row>
        <row r="123">
          <cell r="B123">
            <v>36333</v>
          </cell>
          <cell r="C123">
            <v>117</v>
          </cell>
          <cell r="D123">
            <v>2.3173166057743888</v>
          </cell>
          <cell r="E123">
            <v>1.0118822596752843</v>
          </cell>
          <cell r="F123">
            <v>113.9981848512701</v>
          </cell>
          <cell r="G123">
            <v>21.48</v>
          </cell>
          <cell r="H123">
            <v>7.7341948207387823E-4</v>
          </cell>
          <cell r="J123">
            <v>1.7687999999999999</v>
          </cell>
          <cell r="K123">
            <v>1.0259860788863113</v>
          </cell>
          <cell r="L123">
            <v>146.33904194589212</v>
          </cell>
        </row>
        <row r="124">
          <cell r="B124">
            <v>36334</v>
          </cell>
          <cell r="C124">
            <v>118</v>
          </cell>
          <cell r="D124">
            <v>2.1573730647594935</v>
          </cell>
          <cell r="E124">
            <v>1.0126638768630958</v>
          </cell>
          <cell r="F124">
            <v>114.0862414801981</v>
          </cell>
          <cell r="G124">
            <v>19.86</v>
          </cell>
          <cell r="H124">
            <v>7.7243886859146293E-4</v>
          </cell>
          <cell r="J124">
            <v>1.7847999999999999</v>
          </cell>
          <cell r="K124">
            <v>1.0352668213457081</v>
          </cell>
          <cell r="L124">
            <v>147.6627781914452</v>
          </cell>
        </row>
        <row r="125">
          <cell r="B125">
            <v>36335</v>
          </cell>
          <cell r="C125">
            <v>119</v>
          </cell>
          <cell r="D125">
            <v>2.2306991434790646</v>
          </cell>
          <cell r="E125">
            <v>1.0133921081202957</v>
          </cell>
          <cell r="F125">
            <v>114.16828367500779</v>
          </cell>
          <cell r="G125">
            <v>20.6</v>
          </cell>
          <cell r="H125">
            <v>7.1912435491983118E-4</v>
          </cell>
          <cell r="J125">
            <v>1.8003</v>
          </cell>
          <cell r="K125">
            <v>1.0442575406032488</v>
          </cell>
          <cell r="L125">
            <v>148.94514767932475</v>
          </cell>
        </row>
        <row r="126">
          <cell r="B126">
            <v>36336</v>
          </cell>
          <cell r="C126">
            <v>120</v>
          </cell>
          <cell r="D126">
            <v>2.2346499383170126</v>
          </cell>
          <cell r="E126">
            <v>1.0141456324228264</v>
          </cell>
          <cell r="F126">
            <v>114.25317537254321</v>
          </cell>
          <cell r="G126">
            <v>20.64</v>
          </cell>
          <cell r="H126">
            <v>7.4356638115968821E-4</v>
          </cell>
          <cell r="J126">
            <v>1.7904</v>
          </cell>
          <cell r="K126">
            <v>1.0385150812064972</v>
          </cell>
          <cell r="L126">
            <v>148.12608587738879</v>
          </cell>
        </row>
        <row r="127">
          <cell r="B127">
            <v>36339</v>
          </cell>
          <cell r="C127">
            <v>121</v>
          </cell>
          <cell r="D127">
            <v>2.2297112408353748</v>
          </cell>
          <cell r="E127">
            <v>1.0149010525811391</v>
          </cell>
          <cell r="F127">
            <v>114.33828065630945</v>
          </cell>
          <cell r="G127">
            <v>20.59</v>
          </cell>
          <cell r="H127">
            <v>7.448833127721155E-4</v>
          </cell>
          <cell r="J127">
            <v>1.79</v>
          </cell>
          <cell r="K127">
            <v>1.0382830626450124</v>
          </cell>
          <cell r="L127">
            <v>148.09299247124997</v>
          </cell>
        </row>
        <row r="128">
          <cell r="B128">
            <v>36340</v>
          </cell>
          <cell r="C128">
            <v>122</v>
          </cell>
          <cell r="D128">
            <v>2.2287232565909587</v>
          </cell>
          <cell r="E128">
            <v>1.015655364676231</v>
          </cell>
          <cell r="F128">
            <v>114.42326110618851</v>
          </cell>
          <cell r="G128">
            <v>20.58</v>
          </cell>
          <cell r="H128">
            <v>7.4323708027845825E-4</v>
          </cell>
          <cell r="J128">
            <v>1.7672000000000001</v>
          </cell>
          <cell r="K128">
            <v>1.0250580046403719</v>
          </cell>
          <cell r="L128">
            <v>146.20666832133682</v>
          </cell>
        </row>
        <row r="129">
          <cell r="B129">
            <v>36341</v>
          </cell>
          <cell r="C129">
            <v>123</v>
          </cell>
          <cell r="D129">
            <v>2.2218050809246215</v>
          </cell>
          <cell r="E129">
            <v>1.0164099029202094</v>
          </cell>
          <cell r="F129">
            <v>114.50826703389596</v>
          </cell>
          <cell r="G129">
            <v>20.51</v>
          </cell>
          <cell r="H129">
            <v>7.4290775219698624E-4</v>
          </cell>
          <cell r="J129">
            <v>1.7695000000000001</v>
          </cell>
          <cell r="K129">
            <v>1.0263921113689101</v>
          </cell>
          <cell r="L129">
            <v>146.39695540663507</v>
          </cell>
        </row>
        <row r="130">
          <cell r="B130">
            <v>36342</v>
          </cell>
          <cell r="C130">
            <v>124</v>
          </cell>
          <cell r="D130">
            <v>2.2129043999490339</v>
          </cell>
          <cell r="E130">
            <v>1.0007406016936415</v>
          </cell>
          <cell r="F130">
            <v>114.59307205039723</v>
          </cell>
          <cell r="G130">
            <v>20.420000000000002</v>
          </cell>
          <cell r="H130">
            <v>7.4060169364154049E-4</v>
          </cell>
          <cell r="J130">
            <v>1.7575000000000001</v>
          </cell>
          <cell r="K130">
            <v>0.99321842328341337</v>
          </cell>
          <cell r="L130">
            <v>145.40415322247026</v>
          </cell>
        </row>
        <row r="131">
          <cell r="B131">
            <v>36343</v>
          </cell>
          <cell r="C131">
            <v>125</v>
          </cell>
          <cell r="D131">
            <v>2.2129043999490339</v>
          </cell>
          <cell r="E131">
            <v>1.0014787827872067</v>
          </cell>
          <cell r="F131">
            <v>114.67759988817856</v>
          </cell>
          <cell r="G131">
            <v>20.420000000000002</v>
          </cell>
          <cell r="H131">
            <v>7.3763479998301129E-4</v>
          </cell>
          <cell r="J131">
            <v>1.7706</v>
          </cell>
          <cell r="K131">
            <v>1.0006216445323537</v>
          </cell>
          <cell r="L131">
            <v>146.48796227351681</v>
          </cell>
        </row>
        <row r="132">
          <cell r="B132">
            <v>36346</v>
          </cell>
          <cell r="C132">
            <v>126</v>
          </cell>
          <cell r="D132">
            <v>2.2049871193372539</v>
          </cell>
          <cell r="E132">
            <v>1.0022175083888352</v>
          </cell>
          <cell r="F132">
            <v>114.76219007663461</v>
          </cell>
          <cell r="G132">
            <v>20.34</v>
          </cell>
          <cell r="H132">
            <v>7.3763479998301129E-4</v>
          </cell>
          <cell r="J132">
            <v>1.7663</v>
          </cell>
          <cell r="K132">
            <v>0.99819157954224358</v>
          </cell>
          <cell r="L132">
            <v>146.13220815752445</v>
          </cell>
        </row>
        <row r="133">
          <cell r="B133">
            <v>36347</v>
          </cell>
          <cell r="C133">
            <v>127</v>
          </cell>
          <cell r="D133">
            <v>2.2059770660591838</v>
          </cell>
          <cell r="E133">
            <v>1.0029541339544257</v>
          </cell>
          <cell r="F133">
            <v>114.84653979360324</v>
          </cell>
          <cell r="G133">
            <v>20.350000000000001</v>
          </cell>
          <cell r="H133">
            <v>7.349957064457513E-4</v>
          </cell>
          <cell r="J133">
            <v>1.7754000000000001</v>
          </cell>
          <cell r="K133">
            <v>1.0033342752189884</v>
          </cell>
          <cell r="L133">
            <v>146.88508314718277</v>
          </cell>
        </row>
        <row r="134">
          <cell r="B134">
            <v>36348</v>
          </cell>
          <cell r="C134">
            <v>128</v>
          </cell>
          <cell r="D134">
            <v>2.2020167874807761</v>
          </cell>
          <cell r="E134">
            <v>1.0036916318936966</v>
          </cell>
          <cell r="F134">
            <v>114.93098940457023</v>
          </cell>
          <cell r="G134">
            <v>20.309999999999999</v>
          </cell>
          <cell r="H134">
            <v>7.3532568868639459E-4</v>
          </cell>
          <cell r="J134">
            <v>1.7815000000000001</v>
          </cell>
          <cell r="K134">
            <v>1.0067815767165866</v>
          </cell>
          <cell r="L134">
            <v>147.38975759079986</v>
          </cell>
        </row>
        <row r="135">
          <cell r="B135">
            <v>36349</v>
          </cell>
          <cell r="C135">
            <v>129</v>
          </cell>
          <cell r="D135">
            <v>2.1911192554007197</v>
          </cell>
          <cell r="E135">
            <v>1.0044283471679911</v>
          </cell>
          <cell r="F135">
            <v>115.0153493939271</v>
          </cell>
          <cell r="G135">
            <v>20.2</v>
          </cell>
          <cell r="H135">
            <v>7.3400559582692537E-4</v>
          </cell>
          <cell r="J135">
            <v>1.7910999999999999</v>
          </cell>
          <cell r="K135">
            <v>1.0122068380898559</v>
          </cell>
          <cell r="L135">
            <v>148.18399933813171</v>
          </cell>
        </row>
        <row r="136">
          <cell r="B136">
            <v>36350</v>
          </cell>
          <cell r="C136">
            <v>130</v>
          </cell>
          <cell r="D136">
            <v>2.1891368187725302</v>
          </cell>
          <cell r="E136">
            <v>1.0051619545987078</v>
          </cell>
          <cell r="F136">
            <v>115.09935350950165</v>
          </cell>
          <cell r="G136">
            <v>20.18</v>
          </cell>
          <cell r="H136">
            <v>7.3037308513357324E-4</v>
          </cell>
          <cell r="J136">
            <v>1.8044</v>
          </cell>
          <cell r="K136">
            <v>1.0197230856174062</v>
          </cell>
          <cell r="L136">
            <v>149.28435509224772</v>
          </cell>
        </row>
        <row r="137">
          <cell r="B137">
            <v>36353</v>
          </cell>
          <cell r="C137">
            <v>131</v>
          </cell>
          <cell r="D137">
            <v>2.1960739099340376</v>
          </cell>
          <cell r="E137">
            <v>1.0058954336132551</v>
          </cell>
          <cell r="F137">
            <v>115.18334292036319</v>
          </cell>
          <cell r="G137">
            <v>20.25</v>
          </cell>
          <cell r="H137">
            <v>7.2971227292417673E-4</v>
          </cell>
          <cell r="J137">
            <v>1.819</v>
          </cell>
          <cell r="K137">
            <v>1.0279740039559198</v>
          </cell>
          <cell r="L137">
            <v>150.4922644163149</v>
          </cell>
        </row>
        <row r="138">
          <cell r="B138">
            <v>36354</v>
          </cell>
          <cell r="C138">
            <v>132</v>
          </cell>
          <cell r="D138">
            <v>2.2079567137389677</v>
          </cell>
          <cell r="E138">
            <v>1.0066317738525483</v>
          </cell>
          <cell r="F138">
            <v>115.26765996511199</v>
          </cell>
          <cell r="G138">
            <v>20.37</v>
          </cell>
          <cell r="H138">
            <v>7.3202463664467921E-4</v>
          </cell>
          <cell r="J138">
            <v>1.8391999999999999</v>
          </cell>
          <cell r="K138">
            <v>1.0393896580955073</v>
          </cell>
          <cell r="L138">
            <v>152.16348142632566</v>
          </cell>
        </row>
        <row r="139">
          <cell r="B139">
            <v>36355</v>
          </cell>
          <cell r="C139">
            <v>133</v>
          </cell>
          <cell r="D139">
            <v>2.2079567137389677</v>
          </cell>
          <cell r="E139">
            <v>1.0073726403136618</v>
          </cell>
          <cell r="F139">
            <v>115.35249529967763</v>
          </cell>
          <cell r="G139">
            <v>20.37</v>
          </cell>
          <cell r="H139">
            <v>7.3598557124632258E-4</v>
          </cell>
          <cell r="J139">
            <v>1.8109</v>
          </cell>
          <cell r="K139">
            <v>1.0233964396722239</v>
          </cell>
          <cell r="L139">
            <v>149.82212294200369</v>
          </cell>
        </row>
        <row r="140">
          <cell r="B140">
            <v>36356</v>
          </cell>
          <cell r="C140">
            <v>134</v>
          </cell>
          <cell r="D140">
            <v>2.2079567137389677</v>
          </cell>
          <cell r="E140">
            <v>1.008114052041801</v>
          </cell>
          <cell r="F140">
            <v>115.43739307182545</v>
          </cell>
          <cell r="G140">
            <v>20.37</v>
          </cell>
          <cell r="H140">
            <v>7.3598557124632258E-4</v>
          </cell>
          <cell r="J140">
            <v>1.8281000000000001</v>
          </cell>
          <cell r="K140">
            <v>1.0331166996326646</v>
          </cell>
          <cell r="L140">
            <v>151.24513940597322</v>
          </cell>
        </row>
        <row r="141">
          <cell r="B141">
            <v>36357</v>
          </cell>
          <cell r="C141">
            <v>135</v>
          </cell>
          <cell r="D141">
            <v>2.2079567137389677</v>
          </cell>
          <cell r="E141">
            <v>1.0088560094382746</v>
          </cell>
          <cell r="F141">
            <v>115.52235332750863</v>
          </cell>
          <cell r="G141">
            <v>20.37</v>
          </cell>
          <cell r="H141">
            <v>7.3598557124654462E-4</v>
          </cell>
          <cell r="J141">
            <v>1.8107</v>
          </cell>
          <cell r="K141">
            <v>1.0232834133936139</v>
          </cell>
          <cell r="L141">
            <v>149.80557623893424</v>
          </cell>
        </row>
        <row r="142">
          <cell r="B142">
            <v>36360</v>
          </cell>
          <cell r="C142">
            <v>136</v>
          </cell>
          <cell r="D142">
            <v>2.2099360338241336</v>
          </cell>
          <cell r="E142">
            <v>1.0095985129046863</v>
          </cell>
          <cell r="F142">
            <v>115.60737611271409</v>
          </cell>
          <cell r="G142">
            <v>20.39</v>
          </cell>
          <cell r="H142">
            <v>7.3598557124632258E-4</v>
          </cell>
          <cell r="J142">
            <v>1.7928999999999999</v>
          </cell>
          <cell r="K142">
            <v>1.0132240745973438</v>
          </cell>
          <cell r="L142">
            <v>148.33291966575644</v>
          </cell>
        </row>
        <row r="143">
          <cell r="B143">
            <v>36361</v>
          </cell>
          <cell r="C143">
            <v>137</v>
          </cell>
          <cell r="D143">
            <v>2.2138936916449303</v>
          </cell>
          <cell r="E143">
            <v>1.0103422289491406</v>
          </cell>
          <cell r="F143">
            <v>115.69253774812987</v>
          </cell>
          <cell r="G143">
            <v>20.43</v>
          </cell>
          <cell r="H143">
            <v>7.3664534460804454E-4</v>
          </cell>
          <cell r="J143">
            <v>1.7982</v>
          </cell>
          <cell r="K143">
            <v>1.0162192709805029</v>
          </cell>
          <cell r="L143">
            <v>148.77140729709592</v>
          </cell>
        </row>
        <row r="144">
          <cell r="B144">
            <v>36362</v>
          </cell>
          <cell r="C144">
            <v>138</v>
          </cell>
          <cell r="D144">
            <v>2.2099360338241336</v>
          </cell>
          <cell r="E144">
            <v>1.0110878257114984</v>
          </cell>
          <cell r="F144">
            <v>115.77791474129353</v>
          </cell>
          <cell r="G144">
            <v>20.39</v>
          </cell>
          <cell r="H144">
            <v>7.3796456388164344E-4</v>
          </cell>
          <cell r="J144">
            <v>1.8170999999999999</v>
          </cell>
          <cell r="K144">
            <v>1.0269002543091268</v>
          </cell>
          <cell r="L144">
            <v>150.33507073715549</v>
          </cell>
        </row>
        <row r="145">
          <cell r="B145">
            <v>36363</v>
          </cell>
          <cell r="C145">
            <v>139</v>
          </cell>
          <cell r="D145">
            <v>2.2158720295970546</v>
          </cell>
          <cell r="E145">
            <v>1.0118326388512986</v>
          </cell>
          <cell r="F145">
            <v>115.86320200319614</v>
          </cell>
          <cell r="G145">
            <v>20.45</v>
          </cell>
          <cell r="H145">
            <v>7.3664534460804454E-4</v>
          </cell>
          <cell r="J145">
            <v>1.8170999999999999</v>
          </cell>
          <cell r="K145">
            <v>1.0269002543091268</v>
          </cell>
          <cell r="L145">
            <v>150.33507073715549</v>
          </cell>
        </row>
        <row r="146">
          <cell r="B146">
            <v>36364</v>
          </cell>
          <cell r="C146">
            <v>140</v>
          </cell>
          <cell r="D146">
            <v>2.2089464147241333</v>
          </cell>
          <cell r="E146">
            <v>1.01258000273232</v>
          </cell>
          <cell r="F146">
            <v>115.94878134605561</v>
          </cell>
          <cell r="G146">
            <v>20.38</v>
          </cell>
          <cell r="H146">
            <v>7.3862400986568488E-4</v>
          </cell>
          <cell r="J146">
            <v>1.8147</v>
          </cell>
          <cell r="K146">
            <v>1.0255439389658094</v>
          </cell>
          <cell r="L146">
            <v>150.13651030032253</v>
          </cell>
        </row>
        <row r="147">
          <cell r="B147">
            <v>36367</v>
          </cell>
          <cell r="C147">
            <v>141</v>
          </cell>
          <cell r="D147">
            <v>2.2119150264232612</v>
          </cell>
          <cell r="E147">
            <v>1.013325581054539</v>
          </cell>
          <cell r="F147">
            <v>116.03415622767095</v>
          </cell>
          <cell r="G147">
            <v>20.41</v>
          </cell>
          <cell r="H147">
            <v>7.3631547157471111E-4</v>
          </cell>
          <cell r="J147">
            <v>1.8203</v>
          </cell>
          <cell r="K147">
            <v>1.0287086747668832</v>
          </cell>
          <cell r="L147">
            <v>150.59981798626612</v>
          </cell>
        </row>
        <row r="148">
          <cell r="B148">
            <v>36368</v>
          </cell>
          <cell r="C148">
            <v>142</v>
          </cell>
          <cell r="D148">
            <v>2.2119150264232612</v>
          </cell>
          <cell r="E148">
            <v>1.0140727110810035</v>
          </cell>
          <cell r="F148">
            <v>116.11970879225039</v>
          </cell>
          <cell r="G148">
            <v>20.41</v>
          </cell>
          <cell r="H148">
            <v>7.3730500880775374E-4</v>
          </cell>
          <cell r="J148">
            <v>1.8172999999999999</v>
          </cell>
          <cell r="K148">
            <v>1.0270132805877366</v>
          </cell>
          <cell r="L148">
            <v>150.35161744022491</v>
          </cell>
        </row>
        <row r="149">
          <cell r="B149">
            <v>36369</v>
          </cell>
          <cell r="C149">
            <v>143</v>
          </cell>
          <cell r="D149">
            <v>2.1782275401400764</v>
          </cell>
          <cell r="E149">
            <v>1.0148203919701788</v>
          </cell>
          <cell r="F149">
            <v>116.20532443516421</v>
          </cell>
          <cell r="G149">
            <v>20.07</v>
          </cell>
          <cell r="H149">
            <v>7.3730500880775374E-4</v>
          </cell>
          <cell r="J149">
            <v>1.7915000000000001</v>
          </cell>
          <cell r="K149">
            <v>1.0124328906470754</v>
          </cell>
          <cell r="L149">
            <v>148.21709274427059</v>
          </cell>
        </row>
        <row r="150">
          <cell r="B150">
            <v>36370</v>
          </cell>
          <cell r="C150">
            <v>144</v>
          </cell>
          <cell r="D150">
            <v>2.0975877053290848</v>
          </cell>
          <cell r="E150">
            <v>1.0155572285455405</v>
          </cell>
          <cell r="F150">
            <v>116.28969831449608</v>
          </cell>
          <cell r="G150">
            <v>19.260000000000002</v>
          </cell>
          <cell r="H150">
            <v>7.2607584671335879E-4</v>
          </cell>
          <cell r="J150">
            <v>1.7939000000000001</v>
          </cell>
          <cell r="K150">
            <v>1.0137892059903928</v>
          </cell>
          <cell r="L150">
            <v>148.41565318110355</v>
          </cell>
        </row>
        <row r="151">
          <cell r="B151">
            <v>36371</v>
          </cell>
          <cell r="C151">
            <v>145</v>
          </cell>
          <cell r="D151">
            <v>2.0995853727485692</v>
          </cell>
          <cell r="E151">
            <v>1.0162673019977588</v>
          </cell>
          <cell r="F151">
            <v>116.37100759497636</v>
          </cell>
          <cell r="G151">
            <v>19.28</v>
          </cell>
          <cell r="H151">
            <v>6.9919590177613955E-4</v>
          </cell>
          <cell r="J151">
            <v>1.7891999999999999</v>
          </cell>
          <cell r="K151">
            <v>1.0111330884430629</v>
          </cell>
          <cell r="L151">
            <v>148.02680565897231</v>
          </cell>
        </row>
        <row r="152">
          <cell r="B152">
            <v>36374</v>
          </cell>
          <cell r="C152">
            <v>146</v>
          </cell>
          <cell r="D152">
            <v>2.0985865807454651</v>
          </cell>
          <cell r="E152">
            <v>1.0006998617909162</v>
          </cell>
          <cell r="F152">
            <v>116.4524512167625</v>
          </cell>
          <cell r="G152">
            <v>19.27</v>
          </cell>
          <cell r="H152">
            <v>6.9986179091618972E-4</v>
          </cell>
          <cell r="J152">
            <v>1.8115000000000001</v>
          </cell>
          <cell r="K152">
            <v>1.0124636709143753</v>
          </cell>
          <cell r="L152">
            <v>149.87176305121193</v>
          </cell>
        </row>
        <row r="153">
          <cell r="B153">
            <v>36375</v>
          </cell>
          <cell r="C153">
            <v>147</v>
          </cell>
          <cell r="D153">
            <v>2.0965887464854394</v>
          </cell>
          <cell r="E153">
            <v>1.0013998802246855</v>
          </cell>
          <cell r="F153">
            <v>116.53391306723529</v>
          </cell>
          <cell r="G153">
            <v>19.25</v>
          </cell>
          <cell r="H153">
            <v>6.9952886024848837E-4</v>
          </cell>
          <cell r="J153">
            <v>1.8278000000000001</v>
          </cell>
          <cell r="K153">
            <v>1.0215738877710709</v>
          </cell>
          <cell r="L153">
            <v>151.22031935136911</v>
          </cell>
        </row>
        <row r="154">
          <cell r="B154">
            <v>36376</v>
          </cell>
          <cell r="C154">
            <v>148</v>
          </cell>
          <cell r="D154">
            <v>2.09558970420054</v>
          </cell>
          <cell r="E154">
            <v>1.0020997214645557</v>
          </cell>
          <cell r="F154">
            <v>116.61535429747551</v>
          </cell>
          <cell r="G154">
            <v>19.239999999999998</v>
          </cell>
          <cell r="H154">
            <v>6.9886291549514645E-4</v>
          </cell>
          <cell r="J154">
            <v>1.8217000000000001</v>
          </cell>
          <cell r="K154">
            <v>1.0181645428124302</v>
          </cell>
          <cell r="L154">
            <v>150.71564490775199</v>
          </cell>
        </row>
        <row r="155">
          <cell r="B155">
            <v>36377</v>
          </cell>
          <cell r="C155">
            <v>149</v>
          </cell>
          <cell r="D155">
            <v>2.09558970420054</v>
          </cell>
          <cell r="E155">
            <v>1.0027997180841834</v>
          </cell>
          <cell r="F155">
            <v>116.69681360941466</v>
          </cell>
          <cell r="G155">
            <v>19.239999999999998</v>
          </cell>
          <cell r="H155">
            <v>6.9852990140018001E-4</v>
          </cell>
          <cell r="J155">
            <v>1.8475999999999999</v>
          </cell>
          <cell r="K155">
            <v>1.032640286161413</v>
          </cell>
          <cell r="L155">
            <v>152.85844295524103</v>
          </cell>
        </row>
        <row r="156">
          <cell r="B156">
            <v>36378</v>
          </cell>
          <cell r="C156">
            <v>150</v>
          </cell>
          <cell r="D156">
            <v>2.0935913692510244</v>
          </cell>
          <cell r="E156">
            <v>1.003500203672381</v>
          </cell>
          <cell r="F156">
            <v>116.77832982311897</v>
          </cell>
          <cell r="G156">
            <v>19.22</v>
          </cell>
          <cell r="H156">
            <v>6.9852990140018001E-4</v>
          </cell>
          <cell r="J156">
            <v>1.8492999999999999</v>
          </cell>
          <cell r="K156">
            <v>1.0335904314777555</v>
          </cell>
          <cell r="L156">
            <v>152.99908993133104</v>
          </cell>
        </row>
        <row r="157">
          <cell r="B157">
            <v>36381</v>
          </cell>
          <cell r="C157">
            <v>151</v>
          </cell>
          <cell r="D157">
            <v>2.0925920765590966</v>
          </cell>
          <cell r="E157">
            <v>1.0042005101275311</v>
          </cell>
          <cell r="F157">
            <v>116.85982519093004</v>
          </cell>
          <cell r="G157">
            <v>19.21</v>
          </cell>
          <cell r="H157">
            <v>6.9786378975034147E-4</v>
          </cell>
          <cell r="J157">
            <v>1.8453999999999999</v>
          </cell>
          <cell r="K157">
            <v>1.0314106863402639</v>
          </cell>
          <cell r="L157">
            <v>152.67642922147749</v>
          </cell>
        </row>
        <row r="158">
          <cell r="B158">
            <v>36382</v>
          </cell>
          <cell r="C158">
            <v>152</v>
          </cell>
          <cell r="D158">
            <v>2.094590578460398</v>
          </cell>
          <cell r="E158">
            <v>1.0049009708044543</v>
          </cell>
          <cell r="F158">
            <v>116.94133850568424</v>
          </cell>
          <cell r="G158">
            <v>19.23</v>
          </cell>
          <cell r="H158">
            <v>6.9753069218636554E-4</v>
          </cell>
          <cell r="J158">
            <v>1.8729</v>
          </cell>
          <cell r="K158">
            <v>1.0467806841046279</v>
          </cell>
          <cell r="L158">
            <v>154.95160089352183</v>
          </cell>
        </row>
        <row r="159">
          <cell r="B159">
            <v>36383</v>
          </cell>
          <cell r="C159">
            <v>153</v>
          </cell>
          <cell r="D159">
            <v>2.09558970420054</v>
          </cell>
          <cell r="E159">
            <v>1.0056025895063652</v>
          </cell>
          <cell r="F159">
            <v>117.0229865809731</v>
          </cell>
          <cell r="G159">
            <v>19.239999999999998</v>
          </cell>
          <cell r="H159">
            <v>6.9819685948679933E-4</v>
          </cell>
          <cell r="J159">
            <v>1.863</v>
          </cell>
          <cell r="K159">
            <v>1.0412474849094568</v>
          </cell>
          <cell r="L159">
            <v>154.13253909158587</v>
          </cell>
        </row>
        <row r="160">
          <cell r="B160">
            <v>36384</v>
          </cell>
          <cell r="C160">
            <v>154</v>
          </cell>
          <cell r="D160">
            <v>2.094590578460398</v>
          </cell>
          <cell r="E160">
            <v>1.0063050329840608</v>
          </cell>
          <cell r="F160">
            <v>117.10473063625106</v>
          </cell>
          <cell r="G160">
            <v>19.23</v>
          </cell>
          <cell r="H160">
            <v>6.9852990140018001E-4</v>
          </cell>
          <cell r="J160">
            <v>1.8511</v>
          </cell>
          <cell r="K160">
            <v>1.0345964676950594</v>
          </cell>
          <cell r="L160">
            <v>153.14801025895576</v>
          </cell>
        </row>
        <row r="161">
          <cell r="B161">
            <v>36385</v>
          </cell>
          <cell r="C161">
            <v>155</v>
          </cell>
          <cell r="D161">
            <v>2.09558970420054</v>
          </cell>
          <cell r="E161">
            <v>1.0070076319977761</v>
          </cell>
          <cell r="F161">
            <v>117.18649279141235</v>
          </cell>
          <cell r="G161">
            <v>19.239999999999998</v>
          </cell>
          <cell r="H161">
            <v>6.9819685948679933E-4</v>
          </cell>
          <cell r="J161">
            <v>1.8711</v>
          </cell>
          <cell r="K161">
            <v>1.0457746478873242</v>
          </cell>
          <cell r="L161">
            <v>154.80268056589711</v>
          </cell>
        </row>
        <row r="162">
          <cell r="B162">
            <v>36388</v>
          </cell>
          <cell r="C162">
            <v>156</v>
          </cell>
          <cell r="D162">
            <v>2.094590578460398</v>
          </cell>
          <cell r="E162">
            <v>1.0077110569396648</v>
          </cell>
          <cell r="F162">
            <v>117.26835106066737</v>
          </cell>
          <cell r="G162">
            <v>19.23</v>
          </cell>
          <cell r="H162">
            <v>6.9852990140018001E-4</v>
          </cell>
          <cell r="J162">
            <v>1.8768</v>
          </cell>
          <cell r="K162">
            <v>1.0489604292421197</v>
          </cell>
          <cell r="L162">
            <v>155.27426160337541</v>
          </cell>
        </row>
        <row r="163">
          <cell r="B163">
            <v>36389</v>
          </cell>
          <cell r="C163">
            <v>157</v>
          </cell>
          <cell r="D163">
            <v>2.0925920765590966</v>
          </cell>
          <cell r="E163">
            <v>1.0084146376348901</v>
          </cell>
          <cell r="F163">
            <v>117.35022745509511</v>
          </cell>
          <cell r="G163">
            <v>19.21</v>
          </cell>
          <cell r="H163">
            <v>6.9819685948657728E-4</v>
          </cell>
          <cell r="J163">
            <v>1.8819999999999999</v>
          </cell>
          <cell r="K163">
            <v>1.0518667560921087</v>
          </cell>
          <cell r="L163">
            <v>155.70447588318015</v>
          </cell>
        </row>
        <row r="164">
          <cell r="B164">
            <v>36390</v>
          </cell>
          <cell r="C164">
            <v>158</v>
          </cell>
          <cell r="D164">
            <v>2.0925920765590966</v>
          </cell>
          <cell r="E164">
            <v>1.0091180377950906</v>
          </cell>
          <cell r="F164">
            <v>117.43208284048009</v>
          </cell>
          <cell r="G164">
            <v>19.21</v>
          </cell>
          <cell r="H164">
            <v>6.9753069218636554E-4</v>
          </cell>
          <cell r="J164">
            <v>1.8927</v>
          </cell>
          <cell r="K164">
            <v>1.0578470824949704</v>
          </cell>
          <cell r="L164">
            <v>156.5897244973938</v>
          </cell>
        </row>
        <row r="165">
          <cell r="B165">
            <v>36391</v>
          </cell>
          <cell r="C165">
            <v>159</v>
          </cell>
          <cell r="D165">
            <v>2.0935913692510244</v>
          </cell>
          <cell r="E165">
            <v>1.0098219285984915</v>
          </cell>
          <cell r="F165">
            <v>117.51399532250869</v>
          </cell>
          <cell r="G165">
            <v>19.22</v>
          </cell>
          <cell r="H165">
            <v>6.9753069218636554E-4</v>
          </cell>
          <cell r="J165">
            <v>1.9171</v>
          </cell>
          <cell r="K165">
            <v>1.0714844623295334</v>
          </cell>
          <cell r="L165">
            <v>158.60842227186225</v>
          </cell>
        </row>
        <row r="166">
          <cell r="B166">
            <v>36392</v>
          </cell>
          <cell r="C166">
            <v>160</v>
          </cell>
          <cell r="D166">
            <v>2.0905932406689587</v>
          </cell>
          <cell r="E166">
            <v>1.0105266467565563</v>
          </cell>
          <cell r="F166">
            <v>117.59600408463317</v>
          </cell>
          <cell r="G166">
            <v>19.190000000000001</v>
          </cell>
          <cell r="H166">
            <v>6.9786378975034147E-4</v>
          </cell>
          <cell r="J166">
            <v>1.9497</v>
          </cell>
          <cell r="K166">
            <v>1.0897048960429248</v>
          </cell>
          <cell r="L166">
            <v>161.30553487217662</v>
          </cell>
        </row>
        <row r="167">
          <cell r="B167">
            <v>36395</v>
          </cell>
          <cell r="C167">
            <v>161</v>
          </cell>
          <cell r="D167">
            <v>2.089593697443437</v>
          </cell>
          <cell r="E167">
            <v>1.0112308468156315</v>
          </cell>
          <cell r="F167">
            <v>117.67795255505618</v>
          </cell>
          <cell r="G167">
            <v>19.18</v>
          </cell>
          <cell r="H167">
            <v>6.9686441355631956E-4</v>
          </cell>
          <cell r="J167">
            <v>1.8706</v>
          </cell>
          <cell r="K167">
            <v>1.0454951933825178</v>
          </cell>
          <cell r="L167">
            <v>154.76131380822363</v>
          </cell>
        </row>
        <row r="168">
          <cell r="B168">
            <v>36396</v>
          </cell>
          <cell r="C168">
            <v>162</v>
          </cell>
          <cell r="D168">
            <v>2.089593697443437</v>
          </cell>
          <cell r="E168">
            <v>1.0119352006836868</v>
          </cell>
          <cell r="F168">
            <v>117.75991892438519</v>
          </cell>
          <cell r="G168">
            <v>19.18</v>
          </cell>
          <cell r="H168">
            <v>6.9653123248092363E-4</v>
          </cell>
          <cell r="J168">
            <v>1.9026000000000001</v>
          </cell>
          <cell r="K168">
            <v>1.0633802816901412</v>
          </cell>
          <cell r="L168">
            <v>157.40878629932976</v>
          </cell>
        </row>
        <row r="169">
          <cell r="B169">
            <v>36397</v>
          </cell>
          <cell r="C169">
            <v>163</v>
          </cell>
          <cell r="D169">
            <v>2.0875943603615443</v>
          </cell>
          <cell r="E169">
            <v>1.0126400451562101</v>
          </cell>
          <cell r="F169">
            <v>117.84194238585047</v>
          </cell>
          <cell r="G169">
            <v>19.16</v>
          </cell>
          <cell r="H169">
            <v>6.9653123248114568E-4</v>
          </cell>
          <cell r="J169">
            <v>1.9311</v>
          </cell>
          <cell r="K169">
            <v>1.0793091884641186</v>
          </cell>
          <cell r="L169">
            <v>159.76669148672119</v>
          </cell>
        </row>
        <row r="170">
          <cell r="B170">
            <v>36398</v>
          </cell>
          <cell r="C170">
            <v>164</v>
          </cell>
          <cell r="D170">
            <v>2.094590578460398</v>
          </cell>
          <cell r="E170">
            <v>1.0133447057053249</v>
          </cell>
          <cell r="F170">
            <v>117.92394444396338</v>
          </cell>
          <cell r="G170">
            <v>19.23</v>
          </cell>
          <cell r="H170">
            <v>6.9586478678718144E-4</v>
          </cell>
          <cell r="J170">
            <v>1.9087000000000001</v>
          </cell>
          <cell r="K170">
            <v>1.0667896266487822</v>
          </cell>
          <cell r="L170">
            <v>157.91346074294688</v>
          </cell>
        </row>
        <row r="171">
          <cell r="B171">
            <v>36399</v>
          </cell>
          <cell r="C171">
            <v>165</v>
          </cell>
          <cell r="D171">
            <v>2.089593697443437</v>
          </cell>
          <cell r="E171">
            <v>1.0140522197964259</v>
          </cell>
          <cell r="F171">
            <v>118.00627857163245</v>
          </cell>
          <cell r="G171">
            <v>19.18</v>
          </cell>
          <cell r="H171">
            <v>6.9819685948679933E-4</v>
          </cell>
          <cell r="J171">
            <v>1.9242999999999999</v>
          </cell>
          <cell r="K171">
            <v>1.0755086071987485</v>
          </cell>
          <cell r="L171">
            <v>159.20410358236111</v>
          </cell>
        </row>
        <row r="172">
          <cell r="B172">
            <v>36402</v>
          </cell>
          <cell r="C172">
            <v>166</v>
          </cell>
          <cell r="D172">
            <v>2.0925920765590966</v>
          </cell>
          <cell r="E172">
            <v>1.0147585388388809</v>
          </cell>
          <cell r="F172">
            <v>118.08847363028646</v>
          </cell>
          <cell r="G172">
            <v>19.21</v>
          </cell>
          <cell r="H172">
            <v>6.9653123248114568E-4</v>
          </cell>
          <cell r="J172">
            <v>1.9436</v>
          </cell>
          <cell r="K172">
            <v>1.086295551084284</v>
          </cell>
          <cell r="L172">
            <v>160.8008604285595</v>
          </cell>
        </row>
        <row r="173">
          <cell r="B173">
            <v>36403</v>
          </cell>
          <cell r="C173">
            <v>167</v>
          </cell>
          <cell r="D173">
            <v>2.0925920765590966</v>
          </cell>
          <cell r="E173">
            <v>1.0154663640648791</v>
          </cell>
          <cell r="F173">
            <v>118.17084396503701</v>
          </cell>
          <cell r="G173">
            <v>19.21</v>
          </cell>
          <cell r="H173">
            <v>6.975306921861435E-4</v>
          </cell>
          <cell r="J173">
            <v>1.9158999999999999</v>
          </cell>
          <cell r="K173">
            <v>1.0708137715179973</v>
          </cell>
          <cell r="L173">
            <v>158.50914205344574</v>
          </cell>
        </row>
        <row r="174">
          <cell r="B174">
            <v>36404</v>
          </cell>
          <cell r="C174">
            <v>168</v>
          </cell>
          <cell r="D174">
            <v>2.0685839706118259</v>
          </cell>
          <cell r="E174">
            <v>1.0006975306921864</v>
          </cell>
          <cell r="F174">
            <v>118.25327175562418</v>
          </cell>
          <cell r="G174">
            <v>18.97</v>
          </cell>
          <cell r="H174">
            <v>6.9753069218636554E-4</v>
          </cell>
          <cell r="J174">
            <v>1.9217</v>
          </cell>
          <cell r="K174">
            <v>1.003027297875672</v>
          </cell>
          <cell r="L174">
            <v>158.98899644245873</v>
          </cell>
        </row>
        <row r="175">
          <cell r="B175">
            <v>36405</v>
          </cell>
          <cell r="C175">
            <v>169</v>
          </cell>
          <cell r="D175">
            <v>2.094590578460398</v>
          </cell>
          <cell r="E175">
            <v>1.0013875396493266</v>
          </cell>
          <cell r="F175">
            <v>118.33481069643288</v>
          </cell>
          <cell r="G175">
            <v>19.23</v>
          </cell>
          <cell r="H175">
            <v>6.8952799020394195E-4</v>
          </cell>
          <cell r="J175">
            <v>1.9244000000000001</v>
          </cell>
          <cell r="K175">
            <v>1.0044365572315883</v>
          </cell>
          <cell r="L175">
            <v>159.2123769338958</v>
          </cell>
        </row>
        <row r="176">
          <cell r="B176">
            <v>36406</v>
          </cell>
          <cell r="C176">
            <v>170</v>
          </cell>
          <cell r="D176">
            <v>2.0925920765590966</v>
          </cell>
          <cell r="E176">
            <v>1.0020867052846389</v>
          </cell>
          <cell r="F176">
            <v>118.4174316896291</v>
          </cell>
          <cell r="G176">
            <v>19.21</v>
          </cell>
          <cell r="H176">
            <v>6.9819685948679933E-4</v>
          </cell>
          <cell r="J176">
            <v>1.9039999999999999</v>
          </cell>
          <cell r="K176">
            <v>0.99378881987577639</v>
          </cell>
          <cell r="L176">
            <v>157.52461322081561</v>
          </cell>
        </row>
        <row r="177">
          <cell r="B177">
            <v>36409</v>
          </cell>
          <cell r="C177">
            <v>171</v>
          </cell>
          <cell r="D177">
            <v>2.0865945664765295</v>
          </cell>
          <cell r="E177">
            <v>1.0027856915178068</v>
          </cell>
          <cell r="F177">
            <v>118.50003148272249</v>
          </cell>
          <cell r="G177">
            <v>19.149999999999999</v>
          </cell>
          <cell r="H177">
            <v>6.9753069218636554E-4</v>
          </cell>
          <cell r="J177">
            <v>1.9058999999999999</v>
          </cell>
          <cell r="K177">
            <v>0.99478052090401392</v>
          </cell>
          <cell r="L177">
            <v>157.68180689997504</v>
          </cell>
        </row>
        <row r="178">
          <cell r="B178">
            <v>36411</v>
          </cell>
          <cell r="C178">
            <v>172</v>
          </cell>
          <cell r="D178">
            <v>2.0905932406689587</v>
          </cell>
          <cell r="E178">
            <v>1.0034831605762273</v>
          </cell>
          <cell r="F178">
            <v>118.58245198999553</v>
          </cell>
          <cell r="G178">
            <v>19.190000000000001</v>
          </cell>
          <cell r="H178">
            <v>6.9553152215884317E-4</v>
          </cell>
          <cell r="J178">
            <v>1.8983000000000001</v>
          </cell>
          <cell r="K178">
            <v>0.99081371679106456</v>
          </cell>
          <cell r="L178">
            <v>157.05303218333736</v>
          </cell>
        </row>
        <row r="179">
          <cell r="B179">
            <v>36412</v>
          </cell>
          <cell r="C179">
            <v>173</v>
          </cell>
          <cell r="D179">
            <v>2.0905932406689587</v>
          </cell>
          <cell r="E179">
            <v>1.0041824522804359</v>
          </cell>
          <cell r="F179">
            <v>118.6650878808596</v>
          </cell>
          <cell r="G179">
            <v>19.190000000000001</v>
          </cell>
          <cell r="H179">
            <v>6.9686441355631956E-4</v>
          </cell>
          <cell r="J179">
            <v>1.8734999999999999</v>
          </cell>
          <cell r="K179">
            <v>0.97786940863301863</v>
          </cell>
          <cell r="L179">
            <v>155.0012410027301</v>
          </cell>
        </row>
        <row r="180">
          <cell r="B180">
            <v>36413</v>
          </cell>
          <cell r="C180">
            <v>174</v>
          </cell>
          <cell r="D180">
            <v>2.1075727075707817</v>
          </cell>
          <cell r="E180">
            <v>1.0048822312961478</v>
          </cell>
          <cell r="F180">
            <v>118.74778135773531</v>
          </cell>
          <cell r="G180">
            <v>19.36</v>
          </cell>
          <cell r="H180">
            <v>6.9686441355631956E-4</v>
          </cell>
          <cell r="J180">
            <v>1.8621000000000001</v>
          </cell>
          <cell r="K180">
            <v>0.97191920246359442</v>
          </cell>
          <cell r="L180">
            <v>154.05807892777355</v>
          </cell>
        </row>
        <row r="181">
          <cell r="B181">
            <v>36416</v>
          </cell>
          <cell r="C181">
            <v>175</v>
          </cell>
          <cell r="D181">
            <v>2.1095687081196246</v>
          </cell>
          <cell r="E181">
            <v>1.0055881854178155</v>
          </cell>
          <cell r="F181">
            <v>118.83120455209337</v>
          </cell>
          <cell r="G181">
            <v>19.38</v>
          </cell>
          <cell r="H181">
            <v>7.0252423585714929E-4</v>
          </cell>
          <cell r="J181">
            <v>1.8822000000000001</v>
          </cell>
          <cell r="K181">
            <v>0.98241035544652666</v>
          </cell>
          <cell r="L181">
            <v>155.7210225862496</v>
          </cell>
        </row>
        <row r="182">
          <cell r="B182">
            <v>36417</v>
          </cell>
          <cell r="C182">
            <v>176</v>
          </cell>
          <cell r="D182">
            <v>2.0975877053290848</v>
          </cell>
          <cell r="E182">
            <v>1.0062953045408862</v>
          </cell>
          <cell r="F182">
            <v>118.91476541565046</v>
          </cell>
          <cell r="G182">
            <v>19.260000000000002</v>
          </cell>
          <cell r="H182">
            <v>7.031895693732082E-4</v>
          </cell>
          <cell r="J182">
            <v>1.8923000000000001</v>
          </cell>
          <cell r="K182">
            <v>0.98768202933347282</v>
          </cell>
          <cell r="L182">
            <v>156.55663109125499</v>
          </cell>
        </row>
        <row r="183">
          <cell r="B183">
            <v>36418</v>
          </cell>
          <cell r="C183">
            <v>177</v>
          </cell>
          <cell r="D183">
            <v>2.0875943603615443</v>
          </cell>
          <cell r="E183">
            <v>1.0069989020937979</v>
          </cell>
          <cell r="F183">
            <v>118.99791013228977</v>
          </cell>
          <cell r="G183">
            <v>19.16</v>
          </cell>
          <cell r="H183">
            <v>6.9919590177636159E-4</v>
          </cell>
          <cell r="J183">
            <v>1.8778999999999999</v>
          </cell>
          <cell r="K183">
            <v>0.98016597943525252</v>
          </cell>
          <cell r="L183">
            <v>155.36526847025721</v>
          </cell>
        </row>
        <row r="184">
          <cell r="B184">
            <v>36419</v>
          </cell>
          <cell r="C184">
            <v>178</v>
          </cell>
          <cell r="D184">
            <v>2.0905932406689587</v>
          </cell>
          <cell r="E184">
            <v>1.0076996371700984</v>
          </cell>
          <cell r="F184">
            <v>119.08071658765211</v>
          </cell>
          <cell r="G184">
            <v>19.190000000000001</v>
          </cell>
          <cell r="H184">
            <v>6.9586478678718144E-4</v>
          </cell>
          <cell r="J184">
            <v>1.8794</v>
          </cell>
          <cell r="K184">
            <v>0.98094890129965051</v>
          </cell>
          <cell r="L184">
            <v>155.48936874327782</v>
          </cell>
        </row>
        <row r="185">
          <cell r="B185">
            <v>36420</v>
          </cell>
          <cell r="C185">
            <v>179</v>
          </cell>
          <cell r="D185">
            <v>2.0925920765590966</v>
          </cell>
          <cell r="E185">
            <v>1.0084018671867958</v>
          </cell>
          <cell r="F185">
            <v>119.16369970138282</v>
          </cell>
          <cell r="G185">
            <v>19.21</v>
          </cell>
          <cell r="H185">
            <v>6.9686441355631956E-4</v>
          </cell>
          <cell r="J185">
            <v>1.8861000000000001</v>
          </cell>
          <cell r="K185">
            <v>0.98444595229396137</v>
          </cell>
          <cell r="L185">
            <v>156.04368329610318</v>
          </cell>
        </row>
        <row r="186">
          <cell r="B186">
            <v>36423</v>
          </cell>
          <cell r="C186">
            <v>180</v>
          </cell>
          <cell r="D186">
            <v>2.094590578460398</v>
          </cell>
          <cell r="E186">
            <v>1.0091052584392166</v>
          </cell>
          <cell r="F186">
            <v>119.24682003931902</v>
          </cell>
          <cell r="G186">
            <v>19.23</v>
          </cell>
          <cell r="H186">
            <v>6.9753069218636554E-4</v>
          </cell>
          <cell r="J186">
            <v>1.8745000000000001</v>
          </cell>
          <cell r="K186">
            <v>0.97839135654261733</v>
          </cell>
          <cell r="L186">
            <v>155.08397451807721</v>
          </cell>
        </row>
        <row r="187">
          <cell r="B187">
            <v>36424</v>
          </cell>
          <cell r="C187">
            <v>181</v>
          </cell>
          <cell r="D187">
            <v>2.0985865807454651</v>
          </cell>
          <cell r="E187">
            <v>1.0098098125615504</v>
          </cell>
          <cell r="F187">
            <v>119.33007779457425</v>
          </cell>
          <cell r="G187">
            <v>19.27</v>
          </cell>
          <cell r="H187">
            <v>6.9819685948679933E-4</v>
          </cell>
          <cell r="J187">
            <v>1.8791</v>
          </cell>
          <cell r="K187">
            <v>0.98079231692677094</v>
          </cell>
          <cell r="L187">
            <v>155.46454868867372</v>
          </cell>
        </row>
        <row r="188">
          <cell r="B188">
            <v>36425</v>
          </cell>
          <cell r="C188">
            <v>182</v>
          </cell>
          <cell r="D188">
            <v>2.0635762103826671</v>
          </cell>
          <cell r="E188">
            <v>1.0105162036687994</v>
          </cell>
          <cell r="F188">
            <v>119.41355262788726</v>
          </cell>
          <cell r="G188">
            <v>18.920000000000002</v>
          </cell>
          <cell r="H188">
            <v>6.9952886024848837E-4</v>
          </cell>
          <cell r="J188">
            <v>1.8906000000000001</v>
          </cell>
          <cell r="K188">
            <v>0.98679471788715512</v>
          </cell>
          <cell r="L188">
            <v>156.415984115165</v>
          </cell>
        </row>
        <row r="189">
          <cell r="B189">
            <v>36426</v>
          </cell>
          <cell r="C189">
            <v>183</v>
          </cell>
          <cell r="D189">
            <v>2.0615725190611389</v>
          </cell>
          <cell r="E189">
            <v>1.011211296068165</v>
          </cell>
          <cell r="F189">
            <v>119.49569228335397</v>
          </cell>
          <cell r="G189">
            <v>18.899999999999999</v>
          </cell>
          <cell r="H189">
            <v>6.8785873679422238E-4</v>
          </cell>
          <cell r="J189">
            <v>1.8914</v>
          </cell>
          <cell r="K189">
            <v>0.98721227621483387</v>
          </cell>
          <cell r="L189">
            <v>156.48217092744264</v>
          </cell>
        </row>
        <row r="190">
          <cell r="B190">
            <v>36427</v>
          </cell>
          <cell r="C190">
            <v>184</v>
          </cell>
          <cell r="D190">
            <v>2.0615725190611389</v>
          </cell>
          <cell r="E190">
            <v>1.0119061912078111</v>
          </cell>
          <cell r="F190">
            <v>119.57780862847316</v>
          </cell>
          <cell r="G190">
            <v>18.899999999999999</v>
          </cell>
          <cell r="H190">
            <v>6.8719083968704631E-4</v>
          </cell>
          <cell r="J190">
            <v>1.9144000000000001</v>
          </cell>
          <cell r="K190">
            <v>0.99921707813560223</v>
          </cell>
          <cell r="L190">
            <v>158.38504178042518</v>
          </cell>
        </row>
        <row r="191">
          <cell r="B191">
            <v>36430</v>
          </cell>
          <cell r="C191">
            <v>185</v>
          </cell>
          <cell r="D191">
            <v>2.0615725190611389</v>
          </cell>
          <cell r="E191">
            <v>1.0126015638730317</v>
          </cell>
          <cell r="F191">
            <v>119.65998140319249</v>
          </cell>
          <cell r="G191">
            <v>18.899999999999999</v>
          </cell>
          <cell r="H191">
            <v>6.8719083968704631E-4</v>
          </cell>
          <cell r="J191">
            <v>1.9174</v>
          </cell>
          <cell r="K191">
            <v>1.000782921864398</v>
          </cell>
          <cell r="L191">
            <v>158.63324232646639</v>
          </cell>
        </row>
        <row r="192">
          <cell r="B192">
            <v>36431</v>
          </cell>
          <cell r="C192">
            <v>186</v>
          </cell>
          <cell r="D192">
            <v>2.0605705475087444</v>
          </cell>
          <cell r="E192">
            <v>1.013297414391978</v>
          </cell>
          <cell r="F192">
            <v>119.74221064628988</v>
          </cell>
          <cell r="G192">
            <v>18.89</v>
          </cell>
          <cell r="H192">
            <v>6.8719083968704631E-4</v>
          </cell>
          <cell r="J192">
            <v>1.9393</v>
          </cell>
          <cell r="K192">
            <v>1.0122135810846078</v>
          </cell>
          <cell r="L192">
            <v>160.44510631256713</v>
          </cell>
        </row>
        <row r="193">
          <cell r="B193">
            <v>36432</v>
          </cell>
          <cell r="C193">
            <v>187</v>
          </cell>
          <cell r="D193">
            <v>2.0595684920108326</v>
          </cell>
          <cell r="E193">
            <v>1.0139934046612988</v>
          </cell>
          <cell r="F193">
            <v>119.82445640380698</v>
          </cell>
          <cell r="G193">
            <v>18.88</v>
          </cell>
          <cell r="H193">
            <v>6.8685684916958145E-4</v>
          </cell>
          <cell r="J193">
            <v>1.9224000000000001</v>
          </cell>
          <cell r="K193">
            <v>1.0033926614123911</v>
          </cell>
          <cell r="L193">
            <v>159.04690990320171</v>
          </cell>
        </row>
        <row r="194">
          <cell r="B194">
            <v>36433</v>
          </cell>
          <cell r="C194">
            <v>188</v>
          </cell>
          <cell r="D194">
            <v>2.0575641291191715</v>
          </cell>
          <cell r="E194">
            <v>1.0146895342837479</v>
          </cell>
          <cell r="F194">
            <v>119.90671862880085</v>
          </cell>
          <cell r="G194">
            <v>18.86</v>
          </cell>
          <cell r="H194">
            <v>6.8652283067027753E-4</v>
          </cell>
          <cell r="J194">
            <v>1.9222999999999999</v>
          </cell>
          <cell r="K194">
            <v>1.0033404666214312</v>
          </cell>
          <cell r="L194">
            <v>159.03863655166697</v>
          </cell>
        </row>
        <row r="195">
          <cell r="B195">
            <v>36434</v>
          </cell>
          <cell r="C195">
            <v>189</v>
          </cell>
          <cell r="D195">
            <v>2.0615725190611389</v>
          </cell>
          <cell r="E195">
            <v>1.0006858547097064</v>
          </cell>
          <cell r="F195">
            <v>119.98895721649785</v>
          </cell>
          <cell r="G195">
            <v>18.899999999999999</v>
          </cell>
          <cell r="H195">
            <v>6.8585470970639051E-4</v>
          </cell>
          <cell r="J195">
            <v>1.9564999999999999</v>
          </cell>
          <cell r="K195">
            <v>1.0177911876398065</v>
          </cell>
          <cell r="L195">
            <v>161.86812277653667</v>
          </cell>
        </row>
        <row r="196">
          <cell r="B196">
            <v>36437</v>
          </cell>
          <cell r="C196">
            <v>190</v>
          </cell>
          <cell r="D196">
            <v>2.0585663525520825</v>
          </cell>
          <cell r="E196">
            <v>1.0013735168624673</v>
          </cell>
          <cell r="F196">
            <v>120.07141252876065</v>
          </cell>
          <cell r="G196">
            <v>18.87</v>
          </cell>
          <cell r="H196">
            <v>6.8719083968726835E-4</v>
          </cell>
          <cell r="J196">
            <v>1.9388000000000001</v>
          </cell>
          <cell r="K196">
            <v>1.0085834677209593</v>
          </cell>
          <cell r="L196">
            <v>160.40373955489358</v>
          </cell>
        </row>
        <row r="197">
          <cell r="B197">
            <v>36438</v>
          </cell>
          <cell r="C197">
            <v>191</v>
          </cell>
          <cell r="D197">
            <v>2.0575641291191715</v>
          </cell>
          <cell r="E197">
            <v>1.0020606481385173</v>
          </cell>
          <cell r="F197">
            <v>120.15380418533901</v>
          </cell>
          <cell r="G197">
            <v>18.86</v>
          </cell>
          <cell r="H197">
            <v>6.8618878418402751E-4</v>
          </cell>
          <cell r="J197">
            <v>1.9524999999999999</v>
          </cell>
          <cell r="K197">
            <v>1.0157103469801798</v>
          </cell>
          <cell r="L197">
            <v>161.53718871514837</v>
          </cell>
        </row>
        <row r="198">
          <cell r="B198">
            <v>36439</v>
          </cell>
          <cell r="C198">
            <v>192</v>
          </cell>
          <cell r="D198">
            <v>2.0425206910879012</v>
          </cell>
          <cell r="E198">
            <v>1.0027479161534545</v>
          </cell>
          <cell r="F198">
            <v>120.23621223782867</v>
          </cell>
          <cell r="G198">
            <v>18.71</v>
          </cell>
          <cell r="H198">
            <v>6.8585470970639051E-4</v>
          </cell>
          <cell r="J198">
            <v>1.96</v>
          </cell>
          <cell r="K198">
            <v>1.0196119232169794</v>
          </cell>
          <cell r="L198">
            <v>162.15769008025137</v>
          </cell>
        </row>
        <row r="199">
          <cell r="B199">
            <v>36440</v>
          </cell>
          <cell r="C199">
            <v>193</v>
          </cell>
          <cell r="D199">
            <v>2.0545569548315878</v>
          </cell>
          <cell r="E199">
            <v>1.0034306272756841</v>
          </cell>
          <cell r="F199">
            <v>120.31807388826661</v>
          </cell>
          <cell r="G199">
            <v>18.829999999999998</v>
          </cell>
          <cell r="H199">
            <v>6.8084023036263375E-4</v>
          </cell>
          <cell r="J199">
            <v>1.9339</v>
          </cell>
          <cell r="K199">
            <v>1.0060344379129165</v>
          </cell>
          <cell r="L199">
            <v>159.99834532969291</v>
          </cell>
        </row>
        <row r="200">
          <cell r="B200">
            <v>36441</v>
          </cell>
          <cell r="C200">
            <v>194</v>
          </cell>
          <cell r="D200">
            <v>2.0535543953601465</v>
          </cell>
          <cell r="E200">
            <v>1.0041178290670043</v>
          </cell>
          <cell r="F200">
            <v>120.40047400009965</v>
          </cell>
          <cell r="G200">
            <v>18.82</v>
          </cell>
          <cell r="H200">
            <v>6.8485231827719595E-4</v>
          </cell>
          <cell r="J200">
            <v>1.9430000000000001</v>
          </cell>
          <cell r="K200">
            <v>1.0107683504135667</v>
          </cell>
          <cell r="L200">
            <v>160.75122031935123</v>
          </cell>
        </row>
        <row r="201">
          <cell r="B201">
            <v>36444</v>
          </cell>
          <cell r="C201">
            <v>195</v>
          </cell>
          <cell r="D201">
            <v>2.0485403370422706</v>
          </cell>
          <cell r="E201">
            <v>1.0048051659274511</v>
          </cell>
          <cell r="F201">
            <v>120.48289030762845</v>
          </cell>
          <cell r="G201">
            <v>18.77</v>
          </cell>
          <cell r="H201">
            <v>6.8451813178693754E-4</v>
          </cell>
          <cell r="J201">
            <v>1.9550000000000001</v>
          </cell>
          <cell r="K201">
            <v>1.017010872392446</v>
          </cell>
          <cell r="L201">
            <v>161.74402250351602</v>
          </cell>
        </row>
        <row r="202">
          <cell r="B202">
            <v>36446</v>
          </cell>
          <cell r="C202">
            <v>196</v>
          </cell>
          <cell r="D202">
            <v>2.0495433168801203</v>
          </cell>
          <cell r="E202">
            <v>1.0054912938985414</v>
          </cell>
          <cell r="F202">
            <v>120.56516166120134</v>
          </cell>
          <cell r="G202">
            <v>18.78</v>
          </cell>
          <cell r="H202">
            <v>6.8284677901431223E-4</v>
          </cell>
          <cell r="J202">
            <v>1.9587000000000001</v>
          </cell>
          <cell r="K202">
            <v>1.0189356500026006</v>
          </cell>
          <cell r="L202">
            <v>162.05013651030018</v>
          </cell>
        </row>
        <row r="203">
          <cell r="B203">
            <v>36447</v>
          </cell>
          <cell r="C203">
            <v>197</v>
          </cell>
          <cell r="D203">
            <v>2.0495433168801203</v>
          </cell>
          <cell r="E203">
            <v>1.0061782265524051</v>
          </cell>
          <cell r="F203">
            <v>120.64752950164511</v>
          </cell>
          <cell r="G203">
            <v>18.78</v>
          </cell>
          <cell r="H203">
            <v>6.8318110562670675E-4</v>
          </cell>
          <cell r="J203">
            <v>1.9648000000000001</v>
          </cell>
          <cell r="K203">
            <v>1.022108932008531</v>
          </cell>
          <cell r="L203">
            <v>162.5548109539173</v>
          </cell>
        </row>
        <row r="204">
          <cell r="B204">
            <v>36448</v>
          </cell>
          <cell r="C204">
            <v>198</v>
          </cell>
          <cell r="D204">
            <v>2.0485403370422706</v>
          </cell>
          <cell r="E204">
            <v>1.0068656285056787</v>
          </cell>
          <cell r="F204">
            <v>120.72995361424118</v>
          </cell>
          <cell r="G204">
            <v>18.77</v>
          </cell>
          <cell r="H204">
            <v>6.8318110562670675E-4</v>
          </cell>
          <cell r="J204">
            <v>1.9794</v>
          </cell>
          <cell r="K204">
            <v>1.0297040004161677</v>
          </cell>
          <cell r="L204">
            <v>163.76272027798447</v>
          </cell>
        </row>
        <row r="205">
          <cell r="B205">
            <v>36451</v>
          </cell>
          <cell r="C205">
            <v>199</v>
          </cell>
          <cell r="D205">
            <v>2.0485403370422706</v>
          </cell>
          <cell r="E205">
            <v>1.0075531634570039</v>
          </cell>
          <cell r="F205">
            <v>120.8123936741972</v>
          </cell>
          <cell r="G205">
            <v>18.77</v>
          </cell>
          <cell r="H205">
            <v>6.8284677901409019E-4</v>
          </cell>
          <cell r="J205">
            <v>1.9829000000000001</v>
          </cell>
          <cell r="K205">
            <v>1.0315247359933408</v>
          </cell>
          <cell r="L205">
            <v>164.0522875816992</v>
          </cell>
        </row>
        <row r="206">
          <cell r="B206">
            <v>36452</v>
          </cell>
          <cell r="C206">
            <v>200</v>
          </cell>
          <cell r="D206">
            <v>2.0495433168801203</v>
          </cell>
          <cell r="E206">
            <v>1.0082411678893559</v>
          </cell>
          <cell r="F206">
            <v>120.8948900280826</v>
          </cell>
          <cell r="G206">
            <v>18.78</v>
          </cell>
          <cell r="H206">
            <v>6.8284677901409019E-4</v>
          </cell>
          <cell r="J206">
            <v>1.9933000000000001</v>
          </cell>
          <cell r="K206">
            <v>1.0369349217083697</v>
          </cell>
          <cell r="L206">
            <v>164.91271614130869</v>
          </cell>
        </row>
        <row r="207">
          <cell r="B207">
            <v>36453</v>
          </cell>
          <cell r="C207">
            <v>201</v>
          </cell>
          <cell r="D207">
            <v>2.0485403370422706</v>
          </cell>
          <cell r="E207">
            <v>1.0089299792051729</v>
          </cell>
          <cell r="F207">
            <v>120.97748313271661</v>
          </cell>
          <cell r="G207">
            <v>18.77</v>
          </cell>
          <cell r="H207">
            <v>6.8318110562670675E-4</v>
          </cell>
          <cell r="J207">
            <v>2.0024999999999999</v>
          </cell>
          <cell r="K207">
            <v>1.0417208552255106</v>
          </cell>
          <cell r="L207">
            <v>165.6738644825017</v>
          </cell>
        </row>
        <row r="208">
          <cell r="B208">
            <v>36454</v>
          </cell>
          <cell r="C208">
            <v>202</v>
          </cell>
          <cell r="D208">
            <v>2.04653412500444</v>
          </cell>
          <cell r="E208">
            <v>1.0096189237917239</v>
          </cell>
          <cell r="F208">
            <v>121.06009221740702</v>
          </cell>
          <cell r="G208">
            <v>18.75</v>
          </cell>
          <cell r="H208">
            <v>6.8284677901409019E-4</v>
          </cell>
          <cell r="J208">
            <v>1.9936</v>
          </cell>
          <cell r="K208">
            <v>1.0370909847578418</v>
          </cell>
          <cell r="L208">
            <v>164.93753619591283</v>
          </cell>
        </row>
        <row r="209">
          <cell r="B209">
            <v>36455</v>
          </cell>
          <cell r="C209">
            <v>203</v>
          </cell>
          <cell r="D209">
            <v>2.0445275763905091</v>
          </cell>
          <cell r="E209">
            <v>1.0103076636519872</v>
          </cell>
          <cell r="F209">
            <v>121.14267675404004</v>
          </cell>
          <cell r="G209">
            <v>18.73</v>
          </cell>
          <cell r="H209">
            <v>6.8217804166792462E-4</v>
          </cell>
          <cell r="J209">
            <v>1.9834000000000001</v>
          </cell>
          <cell r="K209">
            <v>1.0317848410757942</v>
          </cell>
          <cell r="L209">
            <v>164.09365433937273</v>
          </cell>
        </row>
        <row r="210">
          <cell r="B210">
            <v>36458</v>
          </cell>
          <cell r="C210">
            <v>204</v>
          </cell>
          <cell r="D210">
            <v>2.0405134689833737</v>
          </cell>
          <cell r="E210">
            <v>1.0109961976116455</v>
          </cell>
          <cell r="F210">
            <v>121.22523660180717</v>
          </cell>
          <cell r="G210">
            <v>18.690000000000001</v>
          </cell>
          <cell r="H210">
            <v>6.8150919213016969E-4</v>
          </cell>
          <cell r="J210">
            <v>1.9777</v>
          </cell>
          <cell r="K210">
            <v>1.0288196431358265</v>
          </cell>
          <cell r="L210">
            <v>163.62207330189446</v>
          </cell>
        </row>
        <row r="211">
          <cell r="B211">
            <v>36459</v>
          </cell>
          <cell r="C211">
            <v>205</v>
          </cell>
          <cell r="D211">
            <v>2.0415171221432882</v>
          </cell>
          <cell r="E211">
            <v>1.0116838480644179</v>
          </cell>
          <cell r="F211">
            <v>121.30769051116272</v>
          </cell>
          <cell r="G211">
            <v>18.7</v>
          </cell>
          <cell r="H211">
            <v>6.8017115632779124E-4</v>
          </cell>
          <cell r="J211">
            <v>1.9869000000000001</v>
          </cell>
          <cell r="K211">
            <v>1.0336055766529675</v>
          </cell>
          <cell r="L211">
            <v>164.3832216430875</v>
          </cell>
        </row>
        <row r="212">
          <cell r="B212">
            <v>36460</v>
          </cell>
          <cell r="C212">
            <v>206</v>
          </cell>
          <cell r="D212">
            <v>2.0405134689833737</v>
          </cell>
          <cell r="E212">
            <v>1.0123723046970909</v>
          </cell>
          <cell r="F212">
            <v>121.39024108690478</v>
          </cell>
          <cell r="G212">
            <v>18.690000000000001</v>
          </cell>
          <cell r="H212">
            <v>6.8050570738109606E-4</v>
          </cell>
          <cell r="J212">
            <v>1.9954000000000001</v>
          </cell>
          <cell r="K212">
            <v>1.0380273630546737</v>
          </cell>
          <cell r="L212">
            <v>165.08645652353755</v>
          </cell>
        </row>
        <row r="213">
          <cell r="B213">
            <v>36461</v>
          </cell>
          <cell r="C213">
            <v>207</v>
          </cell>
          <cell r="D213">
            <v>2.0405134689833737</v>
          </cell>
          <cell r="E213">
            <v>1.0130608911382111</v>
          </cell>
          <cell r="F213">
            <v>121.47280722755177</v>
          </cell>
          <cell r="G213">
            <v>18.690000000000001</v>
          </cell>
          <cell r="H213">
            <v>6.8017115632779124E-4</v>
          </cell>
          <cell r="J213">
            <v>1.9789000000000001</v>
          </cell>
          <cell r="K213">
            <v>1.0294438953337144</v>
          </cell>
          <cell r="L213">
            <v>163.72135352031094</v>
          </cell>
        </row>
        <row r="214">
          <cell r="B214">
            <v>36462</v>
          </cell>
          <cell r="C214">
            <v>208</v>
          </cell>
          <cell r="D214">
            <v>2.0415171221432882</v>
          </cell>
          <cell r="E214">
            <v>1.0137499459359671</v>
          </cell>
          <cell r="F214">
            <v>121.55542952730613</v>
          </cell>
          <cell r="G214">
            <v>18.7</v>
          </cell>
          <cell r="H214">
            <v>6.8017115632801328E-4</v>
          </cell>
          <cell r="J214">
            <v>1.9530000000000001</v>
          </cell>
          <cell r="K214">
            <v>1.0159704520626329</v>
          </cell>
          <cell r="L214">
            <v>161.5785554728219</v>
          </cell>
        </row>
        <row r="215">
          <cell r="B215">
            <v>36465</v>
          </cell>
          <cell r="C215">
            <v>209</v>
          </cell>
          <cell r="D215">
            <v>2.0425206910879012</v>
          </cell>
          <cell r="E215">
            <v>1.0006805057073811</v>
          </cell>
          <cell r="F215">
            <v>121.63814869086262</v>
          </cell>
          <cell r="G215">
            <v>18.71</v>
          </cell>
          <cell r="H215">
            <v>6.8050570738109606E-4</v>
          </cell>
          <cell r="J215">
            <v>1.9431</v>
          </cell>
          <cell r="K215">
            <v>0.99493087557603688</v>
          </cell>
          <cell r="L215">
            <v>160.75949367088594</v>
          </cell>
        </row>
        <row r="216">
          <cell r="B216">
            <v>36467</v>
          </cell>
          <cell r="C216">
            <v>210</v>
          </cell>
          <cell r="D216">
            <v>2.0415171221432882</v>
          </cell>
          <cell r="E216">
            <v>1.0013618092534062</v>
          </cell>
          <cell r="F216">
            <v>121.72096483603819</v>
          </cell>
          <cell r="G216">
            <v>18.7</v>
          </cell>
          <cell r="H216">
            <v>6.8084023036263375E-4</v>
          </cell>
          <cell r="J216">
            <v>1.9414</v>
          </cell>
          <cell r="K216">
            <v>0.99406041986687144</v>
          </cell>
          <cell r="L216">
            <v>160.61884669479593</v>
          </cell>
        </row>
        <row r="217">
          <cell r="B217">
            <v>36468</v>
          </cell>
          <cell r="C217">
            <v>211</v>
          </cell>
          <cell r="D217">
            <v>2.0415171221432882</v>
          </cell>
          <cell r="E217">
            <v>1.0020432416797567</v>
          </cell>
          <cell r="F217">
            <v>121.80379664731706</v>
          </cell>
          <cell r="G217">
            <v>18.7</v>
          </cell>
          <cell r="H217">
            <v>6.8050570738109606E-4</v>
          </cell>
          <cell r="J217">
            <v>1.9295</v>
          </cell>
          <cell r="K217">
            <v>0.98796722990271379</v>
          </cell>
          <cell r="L217">
            <v>159.63431786216583</v>
          </cell>
        </row>
        <row r="218">
          <cell r="B218">
            <v>36469</v>
          </cell>
          <cell r="C218">
            <v>212</v>
          </cell>
          <cell r="D218">
            <v>2.0405134689833737</v>
          </cell>
          <cell r="E218">
            <v>1.0027251378247624</v>
          </cell>
          <cell r="F218">
            <v>121.88668482611624</v>
          </cell>
          <cell r="G218">
            <v>18.690000000000001</v>
          </cell>
          <cell r="H218">
            <v>6.8050570738109606E-4</v>
          </cell>
          <cell r="J218">
            <v>1.9155</v>
          </cell>
          <cell r="K218">
            <v>0.98079877112135172</v>
          </cell>
          <cell r="L218">
            <v>158.47604864730687</v>
          </cell>
        </row>
        <row r="219">
          <cell r="B219">
            <v>36472</v>
          </cell>
          <cell r="C219">
            <v>213</v>
          </cell>
          <cell r="D219">
            <v>2.0405134689833737</v>
          </cell>
          <cell r="E219">
            <v>1.0034071625412355</v>
          </cell>
          <cell r="F219">
            <v>121.96958863347537</v>
          </cell>
          <cell r="G219">
            <v>18.690000000000001</v>
          </cell>
          <cell r="H219">
            <v>6.8017115632779124E-4</v>
          </cell>
          <cell r="J219">
            <v>1.9266000000000001</v>
          </cell>
          <cell r="K219">
            <v>0.98648233486943171</v>
          </cell>
          <cell r="L219">
            <v>159.39439066765934</v>
          </cell>
        </row>
        <row r="220">
          <cell r="B220">
            <v>36473</v>
          </cell>
          <cell r="C220">
            <v>214</v>
          </cell>
          <cell r="D220">
            <v>2.0395097315948352</v>
          </cell>
          <cell r="E220">
            <v>1.0040896511512487</v>
          </cell>
          <cell r="F220">
            <v>122.05254882961302</v>
          </cell>
          <cell r="G220">
            <v>18.68</v>
          </cell>
          <cell r="H220">
            <v>6.8017115632779124E-4</v>
          </cell>
          <cell r="J220">
            <v>1.9240999999999999</v>
          </cell>
          <cell r="K220">
            <v>0.98520225294418839</v>
          </cell>
          <cell r="L220">
            <v>159.18755687929166</v>
          </cell>
        </row>
        <row r="221">
          <cell r="B221">
            <v>36474</v>
          </cell>
          <cell r="C221">
            <v>215</v>
          </cell>
          <cell r="D221">
            <v>2.0174061704334445</v>
          </cell>
          <cell r="E221">
            <v>1.0047722680228877</v>
          </cell>
          <cell r="F221">
            <v>122.13552461664767</v>
          </cell>
          <cell r="G221">
            <v>18.46</v>
          </cell>
          <cell r="H221">
            <v>6.7983657719827839E-4</v>
          </cell>
          <cell r="J221">
            <v>1.9348000000000001</v>
          </cell>
          <cell r="K221">
            <v>0.99068100358422928</v>
          </cell>
          <cell r="L221">
            <v>160.07280549350529</v>
          </cell>
        </row>
        <row r="222">
          <cell r="B222">
            <v>36475</v>
          </cell>
          <cell r="C222">
            <v>216</v>
          </cell>
          <cell r="D222">
            <v>2.0455308927764815</v>
          </cell>
          <cell r="E222">
            <v>1.0054479459473509</v>
          </cell>
          <cell r="F222">
            <v>122.21765693697792</v>
          </cell>
          <cell r="G222">
            <v>18.739999999999998</v>
          </cell>
          <cell r="H222">
            <v>6.7246872347781483E-4</v>
          </cell>
          <cell r="J222">
            <v>1.9288000000000001</v>
          </cell>
          <cell r="K222">
            <v>0.98760880696364561</v>
          </cell>
          <cell r="L222">
            <v>159.57640440142288</v>
          </cell>
        </row>
        <row r="223">
          <cell r="B223">
            <v>36476</v>
          </cell>
          <cell r="C223">
            <v>217</v>
          </cell>
          <cell r="D223">
            <v>2.0475372730877073</v>
          </cell>
          <cell r="E223">
            <v>1.0061335042255222</v>
          </cell>
          <cell r="F223">
            <v>122.30099026794703</v>
          </cell>
          <cell r="G223">
            <v>18.760000000000002</v>
          </cell>
          <cell r="H223">
            <v>6.8184363092549383E-4</v>
          </cell>
          <cell r="J223">
            <v>1.9331</v>
          </cell>
          <cell r="K223">
            <v>0.98981054787506395</v>
          </cell>
          <cell r="L223">
            <v>159.93215851741525</v>
          </cell>
        </row>
        <row r="224">
          <cell r="B224">
            <v>36480</v>
          </cell>
          <cell r="C224">
            <v>218</v>
          </cell>
          <cell r="D224">
            <v>2.0485403370422706</v>
          </cell>
          <cell r="E224">
            <v>1.0068202028427236</v>
          </cell>
          <cell r="F224">
            <v>122.38446221331675</v>
          </cell>
          <cell r="G224">
            <v>18.77</v>
          </cell>
          <cell r="H224">
            <v>6.8251242436256909E-4</v>
          </cell>
          <cell r="J224">
            <v>1.9331</v>
          </cell>
          <cell r="K224">
            <v>0.98981054787506395</v>
          </cell>
          <cell r="L224">
            <v>159.93215851741525</v>
          </cell>
        </row>
        <row r="225">
          <cell r="B225">
            <v>36481</v>
          </cell>
          <cell r="C225">
            <v>219</v>
          </cell>
          <cell r="D225">
            <v>2.0485403370422706</v>
          </cell>
          <cell r="E225">
            <v>1.0075077067752811</v>
          </cell>
          <cell r="F225">
            <v>122.4680320491405</v>
          </cell>
          <cell r="G225">
            <v>18.77</v>
          </cell>
          <cell r="H225">
            <v>6.8284677901431223E-4</v>
          </cell>
          <cell r="J225">
            <v>1.9327000000000001</v>
          </cell>
          <cell r="K225">
            <v>0.98960573476702496</v>
          </cell>
          <cell r="L225">
            <v>159.8990651112764</v>
          </cell>
        </row>
        <row r="226">
          <cell r="B226">
            <v>36482</v>
          </cell>
          <cell r="C226">
            <v>220</v>
          </cell>
          <cell r="D226">
            <v>2.0505462126172436</v>
          </cell>
          <cell r="E226">
            <v>1.0081956801676846</v>
          </cell>
          <cell r="F226">
            <v>122.55165895035746</v>
          </cell>
          <cell r="G226">
            <v>18.79</v>
          </cell>
          <cell r="H226">
            <v>6.8284677901409019E-4</v>
          </cell>
          <cell r="J226">
            <v>1.929</v>
          </cell>
          <cell r="K226">
            <v>0.987711213517665</v>
          </cell>
          <cell r="L226">
            <v>159.59295110449224</v>
          </cell>
        </row>
        <row r="227">
          <cell r="B227">
            <v>36483</v>
          </cell>
          <cell r="C227">
            <v>221</v>
          </cell>
          <cell r="D227">
            <v>2.051549024266297</v>
          </cell>
          <cell r="E227">
            <v>1.0088847974455328</v>
          </cell>
          <cell r="F227">
            <v>122.635424897061</v>
          </cell>
          <cell r="G227">
            <v>18.8</v>
          </cell>
          <cell r="H227">
            <v>6.8351540420574786E-4</v>
          </cell>
          <cell r="J227">
            <v>1.9313</v>
          </cell>
          <cell r="K227">
            <v>0.9888888888888886</v>
          </cell>
          <cell r="L227">
            <v>159.78323818979047</v>
          </cell>
        </row>
        <row r="228">
          <cell r="B228">
            <v>36486</v>
          </cell>
          <cell r="C228">
            <v>222</v>
          </cell>
          <cell r="D228">
            <v>2.0505462126172436</v>
          </cell>
          <cell r="E228">
            <v>1.0095747229861316</v>
          </cell>
          <cell r="F228">
            <v>122.71928909249034</v>
          </cell>
          <cell r="G228">
            <v>18.79</v>
          </cell>
          <cell r="H228">
            <v>6.8384967475543235E-4</v>
          </cell>
          <cell r="J228">
            <v>1.9321999999999999</v>
          </cell>
          <cell r="K228">
            <v>0.98934971838197616</v>
          </cell>
          <cell r="L228">
            <v>159.85769835360281</v>
          </cell>
        </row>
        <row r="229">
          <cell r="B229">
            <v>36487</v>
          </cell>
          <cell r="C229">
            <v>223</v>
          </cell>
          <cell r="D229">
            <v>2.0495433168801203</v>
          </cell>
          <cell r="E229">
            <v>1.0102647828609894</v>
          </cell>
          <cell r="F229">
            <v>122.80316961697825</v>
          </cell>
          <cell r="G229">
            <v>18.78</v>
          </cell>
          <cell r="H229">
            <v>6.835154042059699E-4</v>
          </cell>
          <cell r="J229">
            <v>1.9328000000000001</v>
          </cell>
          <cell r="K229">
            <v>0.98965693804403454</v>
          </cell>
          <cell r="L229">
            <v>159.90733846281105</v>
          </cell>
        </row>
        <row r="230">
          <cell r="B230">
            <v>36488</v>
          </cell>
          <cell r="C230">
            <v>224</v>
          </cell>
          <cell r="D230">
            <v>2.0495433168801203</v>
          </cell>
          <cell r="E230">
            <v>1.01095497667232</v>
          </cell>
          <cell r="F230">
            <v>122.88706642217163</v>
          </cell>
          <cell r="G230">
            <v>18.78</v>
          </cell>
          <cell r="H230">
            <v>6.8318110562648471E-4</v>
          </cell>
          <cell r="J230">
            <v>1.9295</v>
          </cell>
          <cell r="K230">
            <v>0.98796722990271346</v>
          </cell>
          <cell r="L230">
            <v>159.63431786216572</v>
          </cell>
        </row>
        <row r="231">
          <cell r="B231">
            <v>36489</v>
          </cell>
          <cell r="C231">
            <v>225</v>
          </cell>
          <cell r="D231">
            <v>2.0495433168801203</v>
          </cell>
          <cell r="E231">
            <v>1.0116456420110218</v>
          </cell>
          <cell r="F231">
            <v>122.97102054407713</v>
          </cell>
          <cell r="G231">
            <v>18.78</v>
          </cell>
          <cell r="H231">
            <v>6.8318110562648471E-4</v>
          </cell>
          <cell r="J231">
            <v>1.93</v>
          </cell>
          <cell r="K231">
            <v>0.98822324628776215</v>
          </cell>
          <cell r="L231">
            <v>159.67568461983925</v>
          </cell>
        </row>
        <row r="232">
          <cell r="B232">
            <v>36490</v>
          </cell>
          <cell r="C232">
            <v>226</v>
          </cell>
          <cell r="D232">
            <v>2.051549024266297</v>
          </cell>
          <cell r="E232">
            <v>1.0123367791992333</v>
          </cell>
          <cell r="F232">
            <v>123.05503202185248</v>
          </cell>
          <cell r="G232">
            <v>18.8</v>
          </cell>
          <cell r="H232">
            <v>6.8318110562670675E-4</v>
          </cell>
          <cell r="J232">
            <v>1.9262999999999999</v>
          </cell>
          <cell r="K232">
            <v>0.98632872503840219</v>
          </cell>
          <cell r="L232">
            <v>159.36957061305509</v>
          </cell>
        </row>
        <row r="233">
          <cell r="B233">
            <v>36493</v>
          </cell>
          <cell r="C233">
            <v>227</v>
          </cell>
          <cell r="D233">
            <v>2.0495433168801203</v>
          </cell>
          <cell r="E233">
            <v>1.0130290653764316</v>
          </cell>
          <cell r="F233">
            <v>123.13918316547763</v>
          </cell>
          <cell r="G233">
            <v>18.78</v>
          </cell>
          <cell r="H233">
            <v>6.838496747552103E-4</v>
          </cell>
          <cell r="J233">
            <v>1.9213</v>
          </cell>
          <cell r="K233">
            <v>0.98376856118791589</v>
          </cell>
          <cell r="L233">
            <v>158.95590303631977</v>
          </cell>
        </row>
        <row r="234">
          <cell r="B234">
            <v>36494</v>
          </cell>
          <cell r="C234">
            <v>228</v>
          </cell>
          <cell r="D234">
            <v>2.0525517518426017</v>
          </cell>
          <cell r="E234">
            <v>1.0137211476933474</v>
          </cell>
          <cell r="F234">
            <v>123.22330952877859</v>
          </cell>
          <cell r="G234">
            <v>18.809999999999999</v>
          </cell>
          <cell r="H234">
            <v>6.8318110562670675E-4</v>
          </cell>
          <cell r="J234">
            <v>1.9227000000000001</v>
          </cell>
          <cell r="K234">
            <v>0.98448540706605214</v>
          </cell>
          <cell r="L234">
            <v>159.07172995780567</v>
          </cell>
        </row>
        <row r="235">
          <cell r="B235">
            <v>36495</v>
          </cell>
          <cell r="C235">
            <v>229</v>
          </cell>
          <cell r="D235">
            <v>2.0525517518426017</v>
          </cell>
          <cell r="E235">
            <v>1.0006841839172809</v>
          </cell>
          <cell r="F235">
            <v>123.3076169353923</v>
          </cell>
          <cell r="G235">
            <v>18.809999999999999</v>
          </cell>
          <cell r="H235">
            <v>6.8418391728086725E-4</v>
          </cell>
          <cell r="J235">
            <v>1.9220999999999999</v>
          </cell>
          <cell r="K235">
            <v>0.99968793883601181</v>
          </cell>
          <cell r="L235">
            <v>159.02208984859743</v>
          </cell>
        </row>
        <row r="236">
          <cell r="B236">
            <v>36496</v>
          </cell>
          <cell r="C236">
            <v>230</v>
          </cell>
          <cell r="D236">
            <v>2.051549024266297</v>
          </cell>
          <cell r="E236">
            <v>1.0013688359421944</v>
          </cell>
          <cell r="F236">
            <v>123.39198202377773</v>
          </cell>
          <cell r="G236">
            <v>18.8</v>
          </cell>
          <cell r="H236">
            <v>6.8418391728086725E-4</v>
          </cell>
          <cell r="J236">
            <v>1.895</v>
          </cell>
          <cell r="K236">
            <v>0.9855931762625475</v>
          </cell>
          <cell r="L236">
            <v>156.78001158269194</v>
          </cell>
        </row>
        <row r="237">
          <cell r="B237">
            <v>36497</v>
          </cell>
          <cell r="C237">
            <v>231</v>
          </cell>
          <cell r="D237">
            <v>2.0525517518426017</v>
          </cell>
          <cell r="E237">
            <v>1.0020536216949636</v>
          </cell>
          <cell r="F237">
            <v>123.47636359055211</v>
          </cell>
          <cell r="G237">
            <v>18.809999999999999</v>
          </cell>
          <cell r="H237">
            <v>6.8384967475543235E-4</v>
          </cell>
          <cell r="J237">
            <v>1.8774</v>
          </cell>
          <cell r="K237">
            <v>0.97643938211889525</v>
          </cell>
          <cell r="L237">
            <v>155.32390171258356</v>
          </cell>
        </row>
        <row r="238">
          <cell r="B238">
            <v>36500</v>
          </cell>
          <cell r="C238">
            <v>232</v>
          </cell>
          <cell r="D238">
            <v>2.0535543953601465</v>
          </cell>
          <cell r="E238">
            <v>1.0027392106671804</v>
          </cell>
          <cell r="F238">
            <v>123.56084413268511</v>
          </cell>
          <cell r="G238">
            <v>18.82</v>
          </cell>
          <cell r="H238">
            <v>6.8418391728086725E-4</v>
          </cell>
          <cell r="J238">
            <v>1.8669</v>
          </cell>
          <cell r="K238">
            <v>0.97097831174910276</v>
          </cell>
          <cell r="L238">
            <v>154.45519980143936</v>
          </cell>
        </row>
        <row r="239">
          <cell r="B239">
            <v>36501</v>
          </cell>
          <cell r="C239">
            <v>233</v>
          </cell>
          <cell r="D239">
            <v>2.0495433168801203</v>
          </cell>
          <cell r="E239">
            <v>1.0034256038383356</v>
          </cell>
          <cell r="F239">
            <v>123.6454237708728</v>
          </cell>
          <cell r="G239">
            <v>18.78</v>
          </cell>
          <cell r="H239">
            <v>6.845181317867155E-4</v>
          </cell>
          <cell r="J239">
            <v>1.8593999999999999</v>
          </cell>
          <cell r="K239">
            <v>0.96707754719925088</v>
          </cell>
          <cell r="L239">
            <v>153.83469843633634</v>
          </cell>
        </row>
        <row r="240">
          <cell r="B240">
            <v>36502</v>
          </cell>
          <cell r="C240">
            <v>234</v>
          </cell>
          <cell r="D240">
            <v>2.04653412500444</v>
          </cell>
          <cell r="E240">
            <v>1.00411112525178</v>
          </cell>
          <cell r="F240">
            <v>123.72989598819028</v>
          </cell>
          <cell r="G240">
            <v>18.75</v>
          </cell>
          <cell r="H240">
            <v>6.831811056269288E-4</v>
          </cell>
          <cell r="J240">
            <v>1.8627</v>
          </cell>
          <cell r="K240">
            <v>0.96879388360118568</v>
          </cell>
          <cell r="L240">
            <v>154.10771903698165</v>
          </cell>
        </row>
        <row r="241">
          <cell r="B241">
            <v>36503</v>
          </cell>
          <cell r="C241">
            <v>235</v>
          </cell>
          <cell r="D241">
            <v>2.04653412500444</v>
          </cell>
          <cell r="E241">
            <v>1.0047961078128216</v>
          </cell>
          <cell r="F241">
            <v>123.81430180633131</v>
          </cell>
          <cell r="G241">
            <v>18.75</v>
          </cell>
          <cell r="H241">
            <v>6.8217804166814666E-4</v>
          </cell>
          <cell r="J241">
            <v>1.8668</v>
          </cell>
          <cell r="K241">
            <v>0.97092630155510451</v>
          </cell>
          <cell r="L241">
            <v>154.44692644990459</v>
          </cell>
        </row>
        <row r="242">
          <cell r="B242">
            <v>36504</v>
          </cell>
          <cell r="C242">
            <v>236</v>
          </cell>
          <cell r="D242">
            <v>2.0455308927764815</v>
          </cell>
          <cell r="E242">
            <v>1.0054815576539251</v>
          </cell>
          <cell r="F242">
            <v>123.89876520426806</v>
          </cell>
          <cell r="G242">
            <v>18.739999999999998</v>
          </cell>
          <cell r="H242">
            <v>6.8217804166814666E-4</v>
          </cell>
          <cell r="J242">
            <v>1.8667</v>
          </cell>
          <cell r="K242">
            <v>0.97087429136110648</v>
          </cell>
          <cell r="L242">
            <v>154.43865309836988</v>
          </cell>
        </row>
        <row r="243">
          <cell r="B243">
            <v>36507</v>
          </cell>
          <cell r="C243">
            <v>237</v>
          </cell>
          <cell r="D243">
            <v>2.0455308927764815</v>
          </cell>
          <cell r="E243">
            <v>1.0061671388500244</v>
          </cell>
          <cell r="F243">
            <v>123.98324478820211</v>
          </cell>
          <cell r="G243">
            <v>18.739999999999998</v>
          </cell>
          <cell r="H243">
            <v>6.8184363092549383E-4</v>
          </cell>
          <cell r="J243">
            <v>1.8564000000000001</v>
          </cell>
          <cell r="K243">
            <v>0.96551724137931005</v>
          </cell>
          <cell r="L243">
            <v>153.58649789029511</v>
          </cell>
        </row>
        <row r="244">
          <cell r="B244">
            <v>36508</v>
          </cell>
          <cell r="C244">
            <v>238</v>
          </cell>
          <cell r="D244">
            <v>2.0455308927764815</v>
          </cell>
          <cell r="E244">
            <v>1.0068531875052957</v>
          </cell>
          <cell r="F244">
            <v>124.06778197400241</v>
          </cell>
          <cell r="G244">
            <v>18.739999999999998</v>
          </cell>
          <cell r="H244">
            <v>6.8184363092549383E-4</v>
          </cell>
          <cell r="J244">
            <v>1.8463000000000001</v>
          </cell>
          <cell r="K244">
            <v>0.96026421178550969</v>
          </cell>
          <cell r="L244">
            <v>152.75088938528972</v>
          </cell>
        </row>
        <row r="245">
          <cell r="B245">
            <v>36509</v>
          </cell>
          <cell r="C245">
            <v>239</v>
          </cell>
          <cell r="D245">
            <v>2.0455308927764815</v>
          </cell>
          <cell r="E245">
            <v>1.0075397039384733</v>
          </cell>
          <cell r="F245">
            <v>124.15237680094445</v>
          </cell>
          <cell r="G245">
            <v>18.739999999999998</v>
          </cell>
          <cell r="H245">
            <v>6.8184363092549383E-4</v>
          </cell>
          <cell r="J245">
            <v>1.8501000000000001</v>
          </cell>
          <cell r="K245">
            <v>0.96224059915743454</v>
          </cell>
          <cell r="L245">
            <v>153.06527674360856</v>
          </cell>
        </row>
        <row r="246">
          <cell r="B246">
            <v>36510</v>
          </cell>
          <cell r="C246">
            <v>240</v>
          </cell>
          <cell r="D246">
            <v>2.0475372730877073</v>
          </cell>
          <cell r="E246">
            <v>1.0082266884685083</v>
          </cell>
          <cell r="F246">
            <v>124.23702930833045</v>
          </cell>
          <cell r="G246">
            <v>18.760000000000002</v>
          </cell>
          <cell r="H246">
            <v>6.8184363092549383E-4</v>
          </cell>
          <cell r="J246">
            <v>1.8407</v>
          </cell>
          <cell r="K246">
            <v>0.95735164092162028</v>
          </cell>
          <cell r="L246">
            <v>152.28758169934613</v>
          </cell>
        </row>
        <row r="247">
          <cell r="B247">
            <v>36511</v>
          </cell>
          <cell r="C247">
            <v>241</v>
          </cell>
          <cell r="D247">
            <v>2.04653412500444</v>
          </cell>
          <cell r="E247">
            <v>1.0089148157099619</v>
          </cell>
          <cell r="F247">
            <v>124.32182262439927</v>
          </cell>
          <cell r="G247">
            <v>18.75</v>
          </cell>
          <cell r="H247">
            <v>6.8251242436256909E-4</v>
          </cell>
          <cell r="J247">
            <v>1.8178000000000001</v>
          </cell>
          <cell r="K247">
            <v>0.94544130649607294</v>
          </cell>
          <cell r="L247">
            <v>150.3929841978983</v>
          </cell>
        </row>
        <row r="248">
          <cell r="B248">
            <v>36514</v>
          </cell>
          <cell r="C248">
            <v>242</v>
          </cell>
          <cell r="D248">
            <v>2.0485403370422706</v>
          </cell>
          <cell r="E248">
            <v>1.0096030752431528</v>
          </cell>
          <cell r="F248">
            <v>124.4066322418938</v>
          </cell>
          <cell r="G248">
            <v>18.77</v>
          </cell>
          <cell r="H248">
            <v>6.8217804166814666E-4</v>
          </cell>
          <cell r="J248">
            <v>1.8048</v>
          </cell>
          <cell r="K248">
            <v>0.93867998127632979</v>
          </cell>
          <cell r="L248">
            <v>149.31744849838643</v>
          </cell>
        </row>
        <row r="249">
          <cell r="B249">
            <v>36515</v>
          </cell>
          <cell r="C249">
            <v>243</v>
          </cell>
          <cell r="D249">
            <v>2.0495433168801203</v>
          </cell>
          <cell r="E249">
            <v>1.0102924794511654</v>
          </cell>
          <cell r="F249">
            <v>124.49158291000818</v>
          </cell>
          <cell r="G249">
            <v>18.78</v>
          </cell>
          <cell r="H249">
            <v>6.8284677901409019E-4</v>
          </cell>
          <cell r="J249">
            <v>1.8233999999999999</v>
          </cell>
          <cell r="K249">
            <v>0.94835387735996224</v>
          </cell>
          <cell r="L249">
            <v>150.85629188384189</v>
          </cell>
        </row>
        <row r="250">
          <cell r="B250">
            <v>36516</v>
          </cell>
          <cell r="C250">
            <v>244</v>
          </cell>
          <cell r="D250">
            <v>2.0485403370422706</v>
          </cell>
          <cell r="E250">
            <v>1.0109826921842833</v>
          </cell>
          <cell r="F250">
            <v>124.57663320726186</v>
          </cell>
          <cell r="G250">
            <v>18.77</v>
          </cell>
          <cell r="H250">
            <v>6.8318110562670675E-4</v>
          </cell>
          <cell r="J250">
            <v>1.8204</v>
          </cell>
          <cell r="K250">
            <v>0.94679357154002153</v>
          </cell>
          <cell r="L250">
            <v>150.60809133780069</v>
          </cell>
        </row>
        <row r="251">
          <cell r="B251">
            <v>36517</v>
          </cell>
          <cell r="C251">
            <v>245</v>
          </cell>
          <cell r="D251">
            <v>2.0495433168801203</v>
          </cell>
          <cell r="E251">
            <v>1.0116730384592802</v>
          </cell>
          <cell r="F251">
            <v>124.66169995998786</v>
          </cell>
          <cell r="G251">
            <v>18.78</v>
          </cell>
          <cell r="H251">
            <v>6.8284677901409019E-4</v>
          </cell>
          <cell r="J251">
            <v>1.8286</v>
          </cell>
          <cell r="K251">
            <v>0.95105840744785941</v>
          </cell>
          <cell r="L251">
            <v>151.28650616364664</v>
          </cell>
        </row>
        <row r="252">
          <cell r="B252">
            <v>36518</v>
          </cell>
          <cell r="C252">
            <v>246</v>
          </cell>
          <cell r="D252">
            <v>2.0495433168801203</v>
          </cell>
          <cell r="E252">
            <v>1.0123641943642276</v>
          </cell>
          <cell r="F252">
            <v>124.74686647799584</v>
          </cell>
          <cell r="G252">
            <v>18.78</v>
          </cell>
          <cell r="H252">
            <v>6.8318110562670675E-4</v>
          </cell>
          <cell r="J252">
            <v>1.829</v>
          </cell>
          <cell r="K252">
            <v>0.95126644822385154</v>
          </cell>
          <cell r="L252">
            <v>151.31959956978545</v>
          </cell>
        </row>
        <row r="253">
          <cell r="B253">
            <v>36521</v>
          </cell>
          <cell r="C253">
            <v>247</v>
          </cell>
          <cell r="D253">
            <v>2.0455308927764815</v>
          </cell>
          <cell r="E253">
            <v>1.0130558224538302</v>
          </cell>
          <cell r="F253">
            <v>124.83209118015974</v>
          </cell>
          <cell r="G253">
            <v>18.739999999999998</v>
          </cell>
          <cell r="H253">
            <v>6.8318110562670675E-4</v>
          </cell>
          <cell r="J253">
            <v>1.8267</v>
          </cell>
          <cell r="K253">
            <v>0.95007021376189693</v>
          </cell>
          <cell r="L253">
            <v>151.1293124844872</v>
          </cell>
        </row>
        <row r="254">
          <cell r="B254">
            <v>36522</v>
          </cell>
          <cell r="C254">
            <v>248</v>
          </cell>
          <cell r="D254">
            <v>2.0455308927764815</v>
          </cell>
          <cell r="E254">
            <v>1.0137465681141424</v>
          </cell>
          <cell r="F254">
            <v>124.91720714646605</v>
          </cell>
          <cell r="G254">
            <v>18.739999999999998</v>
          </cell>
          <cell r="H254">
            <v>6.8184363092571587E-4</v>
          </cell>
          <cell r="J254">
            <v>1.8289</v>
          </cell>
          <cell r="K254">
            <v>0.95121443802985339</v>
          </cell>
          <cell r="L254">
            <v>151.31132621825074</v>
          </cell>
        </row>
        <row r="255">
          <cell r="B255">
            <v>36523</v>
          </cell>
          <cell r="C255">
            <v>249</v>
          </cell>
          <cell r="D255">
            <v>2.0445275763905091</v>
          </cell>
          <cell r="E255">
            <v>1.0144377847549837</v>
          </cell>
          <cell r="F255">
            <v>125.00238114855188</v>
          </cell>
          <cell r="G255">
            <v>18.73</v>
          </cell>
          <cell r="H255">
            <v>6.8184363092549383E-4</v>
          </cell>
          <cell r="J255">
            <v>1.8169999999999999</v>
          </cell>
          <cell r="K255">
            <v>0.94502522494408858</v>
          </cell>
          <cell r="L255">
            <v>150.32679738562064</v>
          </cell>
        </row>
        <row r="256">
          <cell r="B256">
            <v>36524</v>
          </cell>
          <cell r="C256">
            <v>250</v>
          </cell>
          <cell r="D256">
            <v>2.0545569548315878</v>
          </cell>
          <cell r="E256">
            <v>1.0151291334301384</v>
          </cell>
          <cell r="F256">
            <v>125.08757142034278</v>
          </cell>
          <cell r="G256">
            <v>18.829999999999998</v>
          </cell>
          <cell r="H256">
            <v>6.8150919213016969E-4</v>
          </cell>
          <cell r="J256">
            <v>1.7889999999999999</v>
          </cell>
          <cell r="K256">
            <v>0.93046237062464188</v>
          </cell>
          <cell r="L256">
            <v>148.01025895590274</v>
          </cell>
        </row>
        <row r="257">
          <cell r="B257">
            <v>36525</v>
          </cell>
          <cell r="C257">
            <v>251</v>
          </cell>
          <cell r="D257">
            <v>2.0545569548315878</v>
          </cell>
          <cell r="E257">
            <v>1.0158243469705188</v>
          </cell>
          <cell r="F257">
            <v>125.17323793361767</v>
          </cell>
          <cell r="G257">
            <v>18.829999999999998</v>
          </cell>
          <cell r="H257">
            <v>6.8485231827719595E-4</v>
          </cell>
          <cell r="J257">
            <v>1.7889999999999999</v>
          </cell>
          <cell r="K257">
            <v>0.93046237062464188</v>
          </cell>
          <cell r="L257">
            <v>148.01025895590274</v>
          </cell>
        </row>
        <row r="258">
          <cell r="B258">
            <v>36528</v>
          </cell>
          <cell r="C258">
            <v>252</v>
          </cell>
          <cell r="D258">
            <v>2.0495433168801203</v>
          </cell>
          <cell r="E258">
            <v>1.0006848523182772</v>
          </cell>
          <cell r="F258">
            <v>125.25896311580277</v>
          </cell>
          <cell r="G258">
            <v>18.78</v>
          </cell>
          <cell r="H258">
            <v>6.8485231827719595E-4</v>
          </cell>
          <cell r="J258">
            <v>1.8010999999999999</v>
          </cell>
          <cell r="K258">
            <v>1.006763555058692</v>
          </cell>
          <cell r="L258">
            <v>149.01133449160224</v>
          </cell>
        </row>
        <row r="259">
          <cell r="B259">
            <v>36529</v>
          </cell>
          <cell r="C259">
            <v>253</v>
          </cell>
          <cell r="D259">
            <v>2.04653412500444</v>
          </cell>
          <cell r="E259">
            <v>1.0013685013020679</v>
          </cell>
          <cell r="F259">
            <v>125.34453767271387</v>
          </cell>
          <cell r="G259">
            <v>18.75</v>
          </cell>
          <cell r="H259">
            <v>6.8318110562670675E-4</v>
          </cell>
          <cell r="J259">
            <v>1.8337000000000001</v>
          </cell>
          <cell r="K259">
            <v>1.0249860257126888</v>
          </cell>
          <cell r="L259">
            <v>151.70844709191664</v>
          </cell>
        </row>
        <row r="260">
          <cell r="B260">
            <v>36530</v>
          </cell>
          <cell r="C260">
            <v>254</v>
          </cell>
          <cell r="D260">
            <v>2.0455308927764815</v>
          </cell>
          <cell r="E260">
            <v>1.0020516129052743</v>
          </cell>
          <cell r="F260">
            <v>125.43004496395724</v>
          </cell>
          <cell r="G260">
            <v>18.739999999999998</v>
          </cell>
          <cell r="H260">
            <v>6.8217804166814666E-4</v>
          </cell>
          <cell r="J260">
            <v>1.8544</v>
          </cell>
          <cell r="K260">
            <v>1.0365567356064842</v>
          </cell>
          <cell r="L260">
            <v>153.42103085960093</v>
          </cell>
        </row>
        <row r="261">
          <cell r="B261">
            <v>36531</v>
          </cell>
          <cell r="C261">
            <v>255</v>
          </cell>
          <cell r="D261">
            <v>2.04653412500444</v>
          </cell>
          <cell r="E261">
            <v>1.0027348554153923</v>
          </cell>
          <cell r="F261">
            <v>125.5155686412426</v>
          </cell>
          <cell r="G261">
            <v>18.75</v>
          </cell>
          <cell r="H261">
            <v>6.8184363092527178E-4</v>
          </cell>
          <cell r="J261">
            <v>1.8461000000000001</v>
          </cell>
          <cell r="K261">
            <v>1.031917272219117</v>
          </cell>
          <cell r="L261">
            <v>152.73434268222027</v>
          </cell>
        </row>
        <row r="262">
          <cell r="B262">
            <v>36532</v>
          </cell>
          <cell r="C262">
            <v>256</v>
          </cell>
          <cell r="D262">
            <v>2.04653412500444</v>
          </cell>
          <cell r="E262">
            <v>1.0034188991153721</v>
          </cell>
          <cell r="F262">
            <v>125.60119260605715</v>
          </cell>
          <cell r="G262">
            <v>18.75</v>
          </cell>
          <cell r="H262">
            <v>6.8217804166814666E-4</v>
          </cell>
          <cell r="J262">
            <v>1.8281000000000001</v>
          </cell>
          <cell r="K262">
            <v>1.021855785354947</v>
          </cell>
          <cell r="L262">
            <v>151.24513940597308</v>
          </cell>
        </row>
        <row r="263">
          <cell r="B263">
            <v>36535</v>
          </cell>
          <cell r="C263">
            <v>257</v>
          </cell>
          <cell r="D263">
            <v>2.04653412500444</v>
          </cell>
          <cell r="E263">
            <v>1.0041034094549435</v>
          </cell>
          <cell r="F263">
            <v>125.68687498166034</v>
          </cell>
          <cell r="G263">
            <v>18.75</v>
          </cell>
          <cell r="H263">
            <v>6.8217804166814666E-4</v>
          </cell>
          <cell r="J263">
            <v>1.8161</v>
          </cell>
          <cell r="K263">
            <v>1.0151481274455005</v>
          </cell>
          <cell r="L263">
            <v>150.25233722180829</v>
          </cell>
        </row>
        <row r="264">
          <cell r="B264">
            <v>36536</v>
          </cell>
          <cell r="C264">
            <v>258</v>
          </cell>
          <cell r="D264">
            <v>2.0485403370422706</v>
          </cell>
          <cell r="E264">
            <v>1.0047883867524379</v>
          </cell>
          <cell r="F264">
            <v>125.77261580789873</v>
          </cell>
          <cell r="G264">
            <v>18.77</v>
          </cell>
          <cell r="H264">
            <v>6.8217804166836871E-4</v>
          </cell>
          <cell r="J264">
            <v>1.8219000000000001</v>
          </cell>
          <cell r="K264">
            <v>1.0183901621017333</v>
          </cell>
          <cell r="L264">
            <v>150.7321916108213</v>
          </cell>
        </row>
        <row r="265">
          <cell r="B265">
            <v>36537</v>
          </cell>
          <cell r="C265">
            <v>259</v>
          </cell>
          <cell r="D265">
            <v>2.0455308927764815</v>
          </cell>
          <cell r="E265">
            <v>1.0054745032659225</v>
          </cell>
          <cell r="F265">
            <v>125.85849923349133</v>
          </cell>
          <cell r="G265">
            <v>18.739999999999998</v>
          </cell>
          <cell r="H265">
            <v>6.8284677901409019E-4</v>
          </cell>
          <cell r="J265">
            <v>1.8313999999999999</v>
          </cell>
          <cell r="K265">
            <v>1.0237003912800451</v>
          </cell>
          <cell r="L265">
            <v>151.51816000661842</v>
          </cell>
        </row>
        <row r="266">
          <cell r="B266">
            <v>36538</v>
          </cell>
          <cell r="C266">
            <v>260</v>
          </cell>
          <cell r="D266">
            <v>2.0455308927764815</v>
          </cell>
          <cell r="E266">
            <v>1.0061600796520322</v>
          </cell>
          <cell r="F266">
            <v>125.94431504959152</v>
          </cell>
          <cell r="G266">
            <v>18.739999999999998</v>
          </cell>
          <cell r="H266">
            <v>6.8184363092549383E-4</v>
          </cell>
          <cell r="J266">
            <v>1.8192999999999999</v>
          </cell>
          <cell r="K266">
            <v>1.0169368362213531</v>
          </cell>
          <cell r="L266">
            <v>150.51708447091892</v>
          </cell>
        </row>
        <row r="267">
          <cell r="B267">
            <v>36539</v>
          </cell>
          <cell r="C267">
            <v>261</v>
          </cell>
          <cell r="D267">
            <v>2.0475372730877073</v>
          </cell>
          <cell r="E267">
            <v>1.0068461234940345</v>
          </cell>
          <cell r="F267">
            <v>126.03018937865936</v>
          </cell>
          <cell r="G267">
            <v>18.760000000000002</v>
          </cell>
          <cell r="H267">
            <v>6.8184363092549383E-4</v>
          </cell>
          <cell r="J267">
            <v>1.7997000000000001</v>
          </cell>
          <cell r="K267">
            <v>1.0059809949692571</v>
          </cell>
          <cell r="L267">
            <v>148.89550757011642</v>
          </cell>
        </row>
        <row r="268">
          <cell r="B268">
            <v>36542</v>
          </cell>
          <cell r="C268">
            <v>262</v>
          </cell>
          <cell r="D268">
            <v>2.0455308927764815</v>
          </cell>
          <cell r="E268">
            <v>1.0075333084827405</v>
          </cell>
          <cell r="F268">
            <v>126.11620654875507</v>
          </cell>
          <cell r="G268">
            <v>18.739999999999998</v>
          </cell>
          <cell r="H268">
            <v>6.8251242436256909E-4</v>
          </cell>
          <cell r="J268">
            <v>1.7957000000000001</v>
          </cell>
          <cell r="K268">
            <v>1.0037451089994416</v>
          </cell>
          <cell r="L268">
            <v>148.56457350872816</v>
          </cell>
        </row>
        <row r="269">
          <cell r="B269">
            <v>36543</v>
          </cell>
          <cell r="C269">
            <v>263</v>
          </cell>
          <cell r="D269">
            <v>2.0445275763905091</v>
          </cell>
          <cell r="E269">
            <v>1.0082202886520748</v>
          </cell>
          <cell r="F269">
            <v>126.20219808094684</v>
          </cell>
          <cell r="G269">
            <v>18.73</v>
          </cell>
          <cell r="H269">
            <v>6.8184363092571587E-4</v>
          </cell>
          <cell r="J269">
            <v>1.7924</v>
          </cell>
          <cell r="K269">
            <v>1.0019005030743438</v>
          </cell>
          <cell r="L269">
            <v>148.29155290808285</v>
          </cell>
        </row>
        <row r="270">
          <cell r="B270">
            <v>36544</v>
          </cell>
          <cell r="C270">
            <v>264</v>
          </cell>
          <cell r="D270">
            <v>2.0395097315948352</v>
          </cell>
          <cell r="E270">
            <v>1.0089074000464833</v>
          </cell>
          <cell r="F270">
            <v>126.28820603900604</v>
          </cell>
          <cell r="G270">
            <v>18.68</v>
          </cell>
          <cell r="H270">
            <v>6.8150919213016969E-4</v>
          </cell>
          <cell r="J270">
            <v>1.7984</v>
          </cell>
          <cell r="K270">
            <v>1.005254332029067</v>
          </cell>
          <cell r="L270">
            <v>148.78795400016526</v>
          </cell>
        </row>
        <row r="271">
          <cell r="B271">
            <v>36545</v>
          </cell>
          <cell r="C271">
            <v>265</v>
          </cell>
          <cell r="D271">
            <v>2.0385059099630176</v>
          </cell>
          <cell r="E271">
            <v>1.0095932922000408</v>
          </cell>
          <cell r="F271">
            <v>126.3740613807401</v>
          </cell>
          <cell r="G271">
            <v>18.670000000000002</v>
          </cell>
          <cell r="H271">
            <v>6.7983657719827839E-4</v>
          </cell>
          <cell r="J271">
            <v>1.7801</v>
          </cell>
          <cell r="K271">
            <v>0.99502515371716094</v>
          </cell>
          <cell r="L271">
            <v>147.27393066931393</v>
          </cell>
        </row>
        <row r="272">
          <cell r="B272">
            <v>36546</v>
          </cell>
          <cell r="C272">
            <v>266</v>
          </cell>
          <cell r="D272">
            <v>2.0475372730877073</v>
          </cell>
          <cell r="E272">
            <v>1.010279312830977</v>
          </cell>
          <cell r="F272">
            <v>126.45993280440365</v>
          </cell>
          <cell r="G272">
            <v>18.760000000000002</v>
          </cell>
          <cell r="H272">
            <v>6.7950196998767254E-4</v>
          </cell>
          <cell r="J272">
            <v>1.7784</v>
          </cell>
          <cell r="K272">
            <v>0.99407490217998928</v>
          </cell>
          <cell r="L272">
            <v>147.13328369322392</v>
          </cell>
        </row>
        <row r="273">
          <cell r="B273">
            <v>36549</v>
          </cell>
          <cell r="C273">
            <v>267</v>
          </cell>
          <cell r="D273">
            <v>2.0475372730877073</v>
          </cell>
          <cell r="E273">
            <v>1.0109688410140607</v>
          </cell>
          <cell r="F273">
            <v>126.54624327972672</v>
          </cell>
          <cell r="G273">
            <v>18.760000000000002</v>
          </cell>
          <cell r="H273">
            <v>6.8251242436256909E-4</v>
          </cell>
          <cell r="J273">
            <v>1.7652000000000001</v>
          </cell>
          <cell r="K273">
            <v>0.98669647847959807</v>
          </cell>
          <cell r="L273">
            <v>146.04120129064265</v>
          </cell>
        </row>
        <row r="274">
          <cell r="B274">
            <v>36550</v>
          </cell>
          <cell r="C274">
            <v>268</v>
          </cell>
          <cell r="D274">
            <v>2.0485403370422706</v>
          </cell>
          <cell r="E274">
            <v>1.0116588398086963</v>
          </cell>
          <cell r="F274">
            <v>126.63261266302155</v>
          </cell>
          <cell r="G274">
            <v>18.77</v>
          </cell>
          <cell r="H274">
            <v>6.8251242436256909E-4</v>
          </cell>
          <cell r="J274">
            <v>1.7741</v>
          </cell>
          <cell r="K274">
            <v>0.99167132476243758</v>
          </cell>
          <cell r="L274">
            <v>146.77752957723155</v>
          </cell>
        </row>
        <row r="275">
          <cell r="B275">
            <v>36551</v>
          </cell>
          <cell r="C275">
            <v>269</v>
          </cell>
          <cell r="D275">
            <v>2.043524175832534</v>
          </cell>
          <cell r="E275">
            <v>1.0123496477889209</v>
          </cell>
          <cell r="F275">
            <v>126.71908333469665</v>
          </cell>
          <cell r="G275">
            <v>18.72</v>
          </cell>
          <cell r="H275">
            <v>6.8284677901431223E-4</v>
          </cell>
          <cell r="J275">
            <v>1.7768999999999999</v>
          </cell>
          <cell r="K275">
            <v>0.99323644494130836</v>
          </cell>
          <cell r="L275">
            <v>147.00918342020333</v>
          </cell>
        </row>
        <row r="276">
          <cell r="B276">
            <v>36552</v>
          </cell>
          <cell r="C276">
            <v>270</v>
          </cell>
          <cell r="D276">
            <v>2.0405134689833737</v>
          </cell>
          <cell r="E276">
            <v>1.0130392347821382</v>
          </cell>
          <cell r="F276">
            <v>126.80540117147456</v>
          </cell>
          <cell r="G276">
            <v>18.690000000000001</v>
          </cell>
          <cell r="H276">
            <v>6.8117472527728928E-4</v>
          </cell>
          <cell r="J276">
            <v>1.7753000000000001</v>
          </cell>
          <cell r="K276">
            <v>0.99234209055338229</v>
          </cell>
          <cell r="L276">
            <v>146.87680979564803</v>
          </cell>
        </row>
        <row r="277">
          <cell r="B277">
            <v>36553</v>
          </cell>
          <cell r="C277">
            <v>271</v>
          </cell>
          <cell r="D277">
            <v>2.0405134689833737</v>
          </cell>
          <cell r="E277">
            <v>1.0137282748498655</v>
          </cell>
          <cell r="F277">
            <v>126.89165054781797</v>
          </cell>
          <cell r="G277">
            <v>18.690000000000001</v>
          </cell>
          <cell r="H277">
            <v>6.8017115632779124E-4</v>
          </cell>
          <cell r="J277">
            <v>1.7875000000000001</v>
          </cell>
          <cell r="K277">
            <v>0.99916154276131963</v>
          </cell>
          <cell r="L277">
            <v>147.88615868288224</v>
          </cell>
        </row>
        <row r="278">
          <cell r="B278">
            <v>36556</v>
          </cell>
          <cell r="C278">
            <v>272</v>
          </cell>
          <cell r="D278">
            <v>2.0395097315948352</v>
          </cell>
          <cell r="E278">
            <v>1.0144177835827723</v>
          </cell>
          <cell r="F278">
            <v>126.97795858849942</v>
          </cell>
          <cell r="G278">
            <v>18.68</v>
          </cell>
          <cell r="H278">
            <v>6.8017115632779124E-4</v>
          </cell>
          <cell r="J278">
            <v>1.8024</v>
          </cell>
          <cell r="K278">
            <v>1.0074902179988825</v>
          </cell>
          <cell r="L278">
            <v>149.11888806155352</v>
          </cell>
        </row>
        <row r="279">
          <cell r="B279">
            <v>36557</v>
          </cell>
          <cell r="C279">
            <v>273</v>
          </cell>
          <cell r="D279">
            <v>2.0425206910879012</v>
          </cell>
          <cell r="E279">
            <v>1.0006798365771983</v>
          </cell>
          <cell r="F279">
            <v>127.06428284924586</v>
          </cell>
          <cell r="G279">
            <v>18.71</v>
          </cell>
          <cell r="H279">
            <v>6.7983657719827839E-4</v>
          </cell>
          <cell r="J279">
            <v>1.7931999999999999</v>
          </cell>
          <cell r="K279">
            <v>0.99489569462938299</v>
          </cell>
          <cell r="L279">
            <v>148.35773972036048</v>
          </cell>
        </row>
        <row r="280">
          <cell r="B280">
            <v>36558</v>
          </cell>
          <cell r="C280">
            <v>274</v>
          </cell>
          <cell r="D280">
            <v>2.0415171221432882</v>
          </cell>
          <cell r="E280">
            <v>1.0013611396676527</v>
          </cell>
          <cell r="F280">
            <v>127.15079332485179</v>
          </cell>
          <cell r="G280">
            <v>18.7</v>
          </cell>
          <cell r="H280">
            <v>6.8084023036263375E-4</v>
          </cell>
          <cell r="J280">
            <v>1.79</v>
          </cell>
          <cell r="K280">
            <v>0.9931202840656902</v>
          </cell>
          <cell r="L280">
            <v>148.09299247124989</v>
          </cell>
        </row>
        <row r="281">
          <cell r="B281">
            <v>36559</v>
          </cell>
          <cell r="C281">
            <v>275</v>
          </cell>
          <cell r="D281">
            <v>2.0415171221432882</v>
          </cell>
          <cell r="E281">
            <v>1.0020425716383461</v>
          </cell>
          <cell r="F281">
            <v>127.23732016540738</v>
          </cell>
          <cell r="G281">
            <v>18.7</v>
          </cell>
          <cell r="H281">
            <v>6.8050570738109606E-4</v>
          </cell>
          <cell r="J281">
            <v>1.7779</v>
          </cell>
          <cell r="K281">
            <v>0.98640701287172661</v>
          </cell>
          <cell r="L281">
            <v>147.09191693555036</v>
          </cell>
        </row>
        <row r="282">
          <cell r="B282">
            <v>36560</v>
          </cell>
          <cell r="C282">
            <v>276</v>
          </cell>
          <cell r="D282">
            <v>2.043524175832534</v>
          </cell>
          <cell r="E282">
            <v>1.0027244673273847</v>
          </cell>
          <cell r="F282">
            <v>127.3239058879718</v>
          </cell>
          <cell r="G282">
            <v>18.72</v>
          </cell>
          <cell r="H282">
            <v>6.8050570738109606E-4</v>
          </cell>
          <cell r="J282">
            <v>1.7785</v>
          </cell>
          <cell r="K282">
            <v>0.98673990235241893</v>
          </cell>
          <cell r="L282">
            <v>147.1415570447586</v>
          </cell>
        </row>
        <row r="283">
          <cell r="B283">
            <v>36563</v>
          </cell>
          <cell r="C283">
            <v>277</v>
          </cell>
          <cell r="D283">
            <v>2.0405134689833737</v>
          </cell>
          <cell r="E283">
            <v>1.0034074978909455</v>
          </cell>
          <cell r="F283">
            <v>127.41063571458631</v>
          </cell>
          <cell r="G283">
            <v>18.690000000000001</v>
          </cell>
          <cell r="H283">
            <v>6.8117472527751133E-4</v>
          </cell>
          <cell r="J283">
            <v>1.7659</v>
          </cell>
          <cell r="K283">
            <v>0.97974922325787828</v>
          </cell>
          <cell r="L283">
            <v>146.09911475138554</v>
          </cell>
        </row>
        <row r="284">
          <cell r="B284">
            <v>36564</v>
          </cell>
          <cell r="C284">
            <v>278</v>
          </cell>
          <cell r="D284">
            <v>2.043524175832534</v>
          </cell>
          <cell r="E284">
            <v>1.004089986729054</v>
          </cell>
          <cell r="F284">
            <v>127.49729675400876</v>
          </cell>
          <cell r="G284">
            <v>18.72</v>
          </cell>
          <cell r="H284">
            <v>6.8017115632779124E-4</v>
          </cell>
          <cell r="J284">
            <v>1.7654000000000001</v>
          </cell>
          <cell r="K284">
            <v>0.97947181535730132</v>
          </cell>
          <cell r="L284">
            <v>146.05774799371201</v>
          </cell>
        </row>
        <row r="285">
          <cell r="B285">
            <v>36565</v>
          </cell>
          <cell r="C285">
            <v>279</v>
          </cell>
          <cell r="D285">
            <v>2.0405134689833737</v>
          </cell>
          <cell r="E285">
            <v>1.004773947449918</v>
          </cell>
          <cell r="F285">
            <v>127.58414469009877</v>
          </cell>
          <cell r="G285">
            <v>18.690000000000001</v>
          </cell>
          <cell r="H285">
            <v>6.8117472527728928E-4</v>
          </cell>
          <cell r="J285">
            <v>1.7632000000000001</v>
          </cell>
          <cell r="K285">
            <v>0.97825122059476244</v>
          </cell>
          <cell r="L285">
            <v>145.87573425994847</v>
          </cell>
        </row>
        <row r="286">
          <cell r="B286">
            <v>36566</v>
          </cell>
          <cell r="C286">
            <v>280</v>
          </cell>
          <cell r="D286">
            <v>2.0425206910879012</v>
          </cell>
          <cell r="E286">
            <v>1.0054573657076031</v>
          </cell>
          <cell r="F286">
            <v>127.67092374532174</v>
          </cell>
          <cell r="G286">
            <v>18.71</v>
          </cell>
          <cell r="H286">
            <v>6.8017115632801328E-4</v>
          </cell>
          <cell r="J286">
            <v>1.7695000000000001</v>
          </cell>
          <cell r="K286">
            <v>0.98174656014203276</v>
          </cell>
          <cell r="L286">
            <v>146.39695540663499</v>
          </cell>
        </row>
        <row r="287">
          <cell r="B287">
            <v>36567</v>
          </cell>
          <cell r="C287">
            <v>281</v>
          </cell>
          <cell r="D287">
            <v>2.0415171221432882</v>
          </cell>
          <cell r="E287">
            <v>1.0061419215320913</v>
          </cell>
          <cell r="F287">
            <v>127.75784724645513</v>
          </cell>
          <cell r="G287">
            <v>18.7</v>
          </cell>
          <cell r="H287">
            <v>6.8084023036263375E-4</v>
          </cell>
          <cell r="J287">
            <v>1.7646999999999999</v>
          </cell>
          <cell r="K287">
            <v>0.97908344429649341</v>
          </cell>
          <cell r="L287">
            <v>145.99983453296906</v>
          </cell>
        </row>
        <row r="288">
          <cell r="B288">
            <v>36570</v>
          </cell>
          <cell r="C288">
            <v>282</v>
          </cell>
          <cell r="D288">
            <v>2.0415171221432882</v>
          </cell>
          <cell r="E288">
            <v>1.0068266068521292</v>
          </cell>
          <cell r="F288">
            <v>127.84478719066905</v>
          </cell>
          <cell r="G288">
            <v>18.7</v>
          </cell>
          <cell r="H288">
            <v>6.8050570738109606E-4</v>
          </cell>
          <cell r="J288">
            <v>1.7699</v>
          </cell>
          <cell r="K288">
            <v>0.98196848646249435</v>
          </cell>
          <cell r="L288">
            <v>146.4300488127738</v>
          </cell>
        </row>
        <row r="289">
          <cell r="B289">
            <v>36571</v>
          </cell>
          <cell r="C289">
            <v>283</v>
          </cell>
          <cell r="D289">
            <v>2.0425206910879012</v>
          </cell>
          <cell r="E289">
            <v>1.0075117581044353</v>
          </cell>
          <cell r="F289">
            <v>127.93178629801122</v>
          </cell>
          <cell r="G289">
            <v>18.71</v>
          </cell>
          <cell r="H289">
            <v>6.8050570738109606E-4</v>
          </cell>
          <cell r="J289">
            <v>1.7764</v>
          </cell>
          <cell r="K289">
            <v>0.9855747891699953</v>
          </cell>
          <cell r="L289">
            <v>146.96781666252971</v>
          </cell>
        </row>
        <row r="290">
          <cell r="B290">
            <v>36572</v>
          </cell>
          <cell r="C290">
            <v>284</v>
          </cell>
          <cell r="D290">
            <v>2.0445275763905091</v>
          </cell>
          <cell r="E290">
            <v>1.0081977126419162</v>
          </cell>
          <cell r="F290">
            <v>128.01888740486507</v>
          </cell>
          <cell r="G290">
            <v>18.73</v>
          </cell>
          <cell r="H290">
            <v>6.8084023036263375E-4</v>
          </cell>
          <cell r="J290">
            <v>1.7732000000000001</v>
          </cell>
          <cell r="K290">
            <v>0.98379937860630251</v>
          </cell>
          <cell r="L290">
            <v>146.70306941341912</v>
          </cell>
        </row>
        <row r="291">
          <cell r="B291">
            <v>36573</v>
          </cell>
          <cell r="C291">
            <v>285</v>
          </cell>
          <cell r="D291">
            <v>2.0415171221432882</v>
          </cell>
          <cell r="E291">
            <v>1.0088848086505662</v>
          </cell>
          <cell r="F291">
            <v>128.10613345339775</v>
          </cell>
          <cell r="G291">
            <v>18.7</v>
          </cell>
          <cell r="H291">
            <v>6.8150919212994765E-4</v>
          </cell>
          <cell r="J291">
            <v>1.774</v>
          </cell>
          <cell r="K291">
            <v>0.98424323124722557</v>
          </cell>
          <cell r="L291">
            <v>146.76925622569675</v>
          </cell>
        </row>
        <row r="292">
          <cell r="B292">
            <v>36574</v>
          </cell>
          <cell r="C292">
            <v>286</v>
          </cell>
          <cell r="D292">
            <v>2.0455308927764815</v>
          </cell>
          <cell r="E292">
            <v>1.0095713605209429</v>
          </cell>
          <cell r="F292">
            <v>128.19331040836329</v>
          </cell>
          <cell r="G292">
            <v>18.739999999999998</v>
          </cell>
          <cell r="H292">
            <v>6.8050570738087401E-4</v>
          </cell>
          <cell r="J292">
            <v>1.7705</v>
          </cell>
          <cell r="K292">
            <v>0.98230137594318645</v>
          </cell>
          <cell r="L292">
            <v>146.47968892198202</v>
          </cell>
        </row>
        <row r="293">
          <cell r="B293">
            <v>36577</v>
          </cell>
          <cell r="C293">
            <v>287</v>
          </cell>
          <cell r="D293">
            <v>2.0495433168801203</v>
          </cell>
          <cell r="E293">
            <v>1.0102597303230789</v>
          </cell>
          <cell r="F293">
            <v>128.28071820059247</v>
          </cell>
          <cell r="G293">
            <v>18.78</v>
          </cell>
          <cell r="H293">
            <v>6.8184363092549383E-4</v>
          </cell>
          <cell r="J293">
            <v>1.7784</v>
          </cell>
          <cell r="K293">
            <v>0.98668442077230323</v>
          </cell>
          <cell r="L293">
            <v>147.13328369322386</v>
          </cell>
        </row>
        <row r="294">
          <cell r="B294">
            <v>36578</v>
          </cell>
          <cell r="C294">
            <v>288</v>
          </cell>
          <cell r="D294">
            <v>2.0475372730877073</v>
          </cell>
          <cell r="E294">
            <v>1.0109499206826111</v>
          </cell>
          <cell r="F294">
            <v>128.36835716348335</v>
          </cell>
          <cell r="G294">
            <v>18.760000000000002</v>
          </cell>
          <cell r="H294">
            <v>6.8318110562670675E-4</v>
          </cell>
          <cell r="J294">
            <v>1.7825</v>
          </cell>
          <cell r="K294">
            <v>0.98895916555703467</v>
          </cell>
          <cell r="L294">
            <v>147.47249110614683</v>
          </cell>
        </row>
        <row r="295">
          <cell r="B295">
            <v>36579</v>
          </cell>
          <cell r="C295">
            <v>289</v>
          </cell>
          <cell r="D295">
            <v>2.0475372730877073</v>
          </cell>
          <cell r="E295">
            <v>1.0116399065638855</v>
          </cell>
          <cell r="F295">
            <v>128.45597016214248</v>
          </cell>
          <cell r="G295">
            <v>18.760000000000002</v>
          </cell>
          <cell r="H295">
            <v>6.8251242436279114E-4</v>
          </cell>
          <cell r="J295">
            <v>1.7886</v>
          </cell>
          <cell r="K295">
            <v>0.99234354194407404</v>
          </cell>
          <cell r="L295">
            <v>147.97716554976392</v>
          </cell>
        </row>
        <row r="296">
          <cell r="B296">
            <v>36580</v>
          </cell>
          <cell r="C296">
            <v>290</v>
          </cell>
          <cell r="D296">
            <v>2.04653412500444</v>
          </cell>
          <cell r="E296">
            <v>1.0123303633690963</v>
          </cell>
          <cell r="F296">
            <v>128.54364295776168</v>
          </cell>
          <cell r="G296">
            <v>18.75</v>
          </cell>
          <cell r="H296">
            <v>6.8251242436256909E-4</v>
          </cell>
          <cell r="J296">
            <v>1.7779</v>
          </cell>
          <cell r="K296">
            <v>0.98640701287172605</v>
          </cell>
          <cell r="L296">
            <v>147.0919169355503</v>
          </cell>
        </row>
        <row r="297">
          <cell r="B297">
            <v>36581</v>
          </cell>
          <cell r="C297">
            <v>291</v>
          </cell>
          <cell r="D297">
            <v>2.0455308927764815</v>
          </cell>
          <cell r="E297">
            <v>1.0130209529139007</v>
          </cell>
          <cell r="F297">
            <v>128.63133260838347</v>
          </cell>
          <cell r="G297">
            <v>18.739999999999998</v>
          </cell>
          <cell r="H297">
            <v>6.8217804166792462E-4</v>
          </cell>
          <cell r="J297">
            <v>1.7741</v>
          </cell>
          <cell r="K297">
            <v>0.98429871282734072</v>
          </cell>
          <cell r="L297">
            <v>146.77752957723143</v>
          </cell>
        </row>
        <row r="298">
          <cell r="B298">
            <v>36584</v>
          </cell>
          <cell r="C298">
            <v>292</v>
          </cell>
          <cell r="D298">
            <v>2.0445275763905091</v>
          </cell>
          <cell r="E298">
            <v>1.0137116747986392</v>
          </cell>
          <cell r="F298">
            <v>128.71903906325997</v>
          </cell>
          <cell r="G298">
            <v>18.73</v>
          </cell>
          <cell r="H298">
            <v>6.8184363092549383E-4</v>
          </cell>
          <cell r="J298">
            <v>1.7787999999999999</v>
          </cell>
          <cell r="K298">
            <v>0.98690634709276459</v>
          </cell>
          <cell r="L298">
            <v>147.16637709936265</v>
          </cell>
        </row>
        <row r="299">
          <cell r="B299">
            <v>36585</v>
          </cell>
          <cell r="C299">
            <v>293</v>
          </cell>
          <cell r="D299">
            <v>2.0475372730877073</v>
          </cell>
          <cell r="E299">
            <v>1.0144025286231841</v>
          </cell>
          <cell r="F299">
            <v>128.80676227158372</v>
          </cell>
          <cell r="G299">
            <v>18.760000000000002</v>
          </cell>
          <cell r="H299">
            <v>6.8150919212994765E-4</v>
          </cell>
          <cell r="J299">
            <v>1.7685</v>
          </cell>
          <cell r="K299">
            <v>0.98119174434087819</v>
          </cell>
          <cell r="L299">
            <v>146.31422189128787</v>
          </cell>
        </row>
        <row r="300">
          <cell r="B300">
            <v>36586</v>
          </cell>
          <cell r="C300">
            <v>294</v>
          </cell>
          <cell r="D300">
            <v>2.04653412500444</v>
          </cell>
          <cell r="E300">
            <v>1.0006825124243626</v>
          </cell>
          <cell r="F300">
            <v>128.89467448717599</v>
          </cell>
          <cell r="G300">
            <v>18.75</v>
          </cell>
          <cell r="H300">
            <v>6.8251242436256909E-4</v>
          </cell>
          <cell r="J300">
            <v>1.7678</v>
          </cell>
          <cell r="K300">
            <v>0.99960418433700882</v>
          </cell>
          <cell r="L300">
            <v>146.25630843054492</v>
          </cell>
        </row>
        <row r="301">
          <cell r="B301">
            <v>36587</v>
          </cell>
          <cell r="C301">
            <v>295</v>
          </cell>
          <cell r="D301">
            <v>2.0475372730877073</v>
          </cell>
          <cell r="E301">
            <v>1.0013651560610197</v>
          </cell>
          <cell r="F301">
            <v>128.98260360379911</v>
          </cell>
          <cell r="G301">
            <v>18.760000000000002</v>
          </cell>
          <cell r="H301">
            <v>6.8217804166814666E-4</v>
          </cell>
          <cell r="J301">
            <v>1.76</v>
          </cell>
          <cell r="K301">
            <v>0.99519366694939215</v>
          </cell>
          <cell r="L301">
            <v>145.61098701083779</v>
          </cell>
        </row>
        <row r="302">
          <cell r="B302">
            <v>36588</v>
          </cell>
          <cell r="C302">
            <v>296</v>
          </cell>
          <cell r="D302">
            <v>2.04653412500444</v>
          </cell>
          <cell r="E302">
            <v>1.0020486002213551</v>
          </cell>
          <cell r="F302">
            <v>129.07063583328534</v>
          </cell>
          <cell r="G302">
            <v>18.75</v>
          </cell>
          <cell r="H302">
            <v>6.8251242436256909E-4</v>
          </cell>
          <cell r="J302">
            <v>1.7511000000000001</v>
          </cell>
          <cell r="K302">
            <v>0.99016115351993217</v>
          </cell>
          <cell r="L302">
            <v>144.87465872424889</v>
          </cell>
        </row>
        <row r="303">
          <cell r="B303">
            <v>36593</v>
          </cell>
          <cell r="C303">
            <v>297</v>
          </cell>
          <cell r="D303">
            <v>2.04653412500444</v>
          </cell>
          <cell r="E303">
            <v>1.0027321757731105</v>
          </cell>
          <cell r="F303">
            <v>129.15868498687496</v>
          </cell>
          <cell r="G303">
            <v>18.75</v>
          </cell>
          <cell r="H303">
            <v>6.8217804166814666E-4</v>
          </cell>
          <cell r="J303">
            <v>1.7498</v>
          </cell>
          <cell r="K303">
            <v>0.98942606728866267</v>
          </cell>
          <cell r="L303">
            <v>144.7671051542977</v>
          </cell>
        </row>
        <row r="304">
          <cell r="B304">
            <v>36594</v>
          </cell>
          <cell r="C304">
            <v>298</v>
          </cell>
          <cell r="D304">
            <v>2.0475372730877073</v>
          </cell>
          <cell r="E304">
            <v>1.0034162176450969</v>
          </cell>
          <cell r="F304">
            <v>129.24679420566372</v>
          </cell>
          <cell r="G304">
            <v>18.760000000000002</v>
          </cell>
          <cell r="H304">
            <v>6.8217804166792462E-4</v>
          </cell>
          <cell r="J304">
            <v>1.7343</v>
          </cell>
          <cell r="K304">
            <v>0.98066157760814232</v>
          </cell>
          <cell r="L304">
            <v>143.48473566641812</v>
          </cell>
        </row>
        <row r="305">
          <cell r="B305">
            <v>36595</v>
          </cell>
          <cell r="C305">
            <v>299</v>
          </cell>
          <cell r="D305">
            <v>2.0475372730877073</v>
          </cell>
          <cell r="E305">
            <v>1.0041010616804467</v>
          </cell>
          <cell r="F305">
            <v>129.33500674851814</v>
          </cell>
          <cell r="G305">
            <v>18.760000000000002</v>
          </cell>
          <cell r="H305">
            <v>6.8251242436279114E-4</v>
          </cell>
          <cell r="J305">
            <v>1.7385999999999999</v>
          </cell>
          <cell r="K305">
            <v>0.98309301668080284</v>
          </cell>
          <cell r="L305">
            <v>143.84048978241051</v>
          </cell>
        </row>
        <row r="306">
          <cell r="B306">
            <v>36598</v>
          </cell>
          <cell r="C306">
            <v>300</v>
          </cell>
          <cell r="D306">
            <v>2.0475372730877073</v>
          </cell>
          <cell r="E306">
            <v>1.0047863731303592</v>
          </cell>
          <cell r="F306">
            <v>129.42327949752902</v>
          </cell>
          <cell r="G306">
            <v>18.760000000000002</v>
          </cell>
          <cell r="H306">
            <v>6.8251242436256909E-4</v>
          </cell>
          <cell r="J306">
            <v>1.7502</v>
          </cell>
          <cell r="K306">
            <v>0.98965224766751481</v>
          </cell>
          <cell r="L306">
            <v>144.80019856043651</v>
          </cell>
        </row>
        <row r="307">
          <cell r="B307">
            <v>36599</v>
          </cell>
          <cell r="C307">
            <v>301</v>
          </cell>
          <cell r="D307">
            <v>2.0495433168801203</v>
          </cell>
          <cell r="E307">
            <v>1.005472152313851</v>
          </cell>
          <cell r="F307">
            <v>129.51161249378785</v>
          </cell>
          <cell r="G307">
            <v>18.78</v>
          </cell>
          <cell r="H307">
            <v>6.8251242436279114E-4</v>
          </cell>
          <cell r="J307">
            <v>1.7372000000000001</v>
          </cell>
          <cell r="K307">
            <v>0.98230138535482048</v>
          </cell>
          <cell r="L307">
            <v>143.72466286092467</v>
          </cell>
        </row>
        <row r="308">
          <cell r="B308">
            <v>36600</v>
          </cell>
          <cell r="C308">
            <v>302</v>
          </cell>
          <cell r="D308">
            <v>2.0495433168801203</v>
          </cell>
          <cell r="E308">
            <v>1.0061590718905455</v>
          </cell>
          <cell r="F308">
            <v>129.60009238040283</v>
          </cell>
          <cell r="G308">
            <v>18.78</v>
          </cell>
          <cell r="H308">
            <v>6.8318110562648471E-4</v>
          </cell>
          <cell r="J308">
            <v>1.7431000000000001</v>
          </cell>
          <cell r="K308">
            <v>0.98563754594288933</v>
          </cell>
          <cell r="L308">
            <v>144.21279060147234</v>
          </cell>
        </row>
        <row r="309">
          <cell r="B309">
            <v>36601</v>
          </cell>
          <cell r="C309">
            <v>303</v>
          </cell>
          <cell r="D309">
            <v>2.0495433168801203</v>
          </cell>
          <cell r="E309">
            <v>1.0068464607577161</v>
          </cell>
          <cell r="F309">
            <v>129.68863271480458</v>
          </cell>
          <cell r="G309">
            <v>18.78</v>
          </cell>
          <cell r="H309">
            <v>6.8318110562670675E-4</v>
          </cell>
          <cell r="J309">
            <v>1.7357</v>
          </cell>
          <cell r="K309">
            <v>0.9814532089341248</v>
          </cell>
          <cell r="L309">
            <v>143.60056258790402</v>
          </cell>
        </row>
        <row r="310">
          <cell r="B310">
            <v>36602</v>
          </cell>
          <cell r="C310">
            <v>304</v>
          </cell>
          <cell r="D310">
            <v>2.0475372730877073</v>
          </cell>
          <cell r="E310">
            <v>1.0075343192359729</v>
          </cell>
          <cell r="F310">
            <v>129.77723353828989</v>
          </cell>
          <cell r="G310">
            <v>18.760000000000002</v>
          </cell>
          <cell r="H310">
            <v>6.8318110562670675E-4</v>
          </cell>
          <cell r="J310">
            <v>1.7406999999999999</v>
          </cell>
          <cell r="K310">
            <v>0.98428046366977651</v>
          </cell>
          <cell r="L310">
            <v>144.01423016463934</v>
          </cell>
        </row>
        <row r="311">
          <cell r="B311">
            <v>36605</v>
          </cell>
          <cell r="C311">
            <v>305</v>
          </cell>
          <cell r="D311">
            <v>2.0475372730877073</v>
          </cell>
          <cell r="E311">
            <v>1.0082219739268232</v>
          </cell>
          <cell r="F311">
            <v>129.86580811257917</v>
          </cell>
          <cell r="G311">
            <v>18.760000000000002</v>
          </cell>
          <cell r="H311">
            <v>6.8251242436256909E-4</v>
          </cell>
          <cell r="J311">
            <v>1.7387999999999999</v>
          </cell>
          <cell r="K311">
            <v>0.98320610687022891</v>
          </cell>
          <cell r="L311">
            <v>143.85703648547991</v>
          </cell>
        </row>
        <row r="312">
          <cell r="B312">
            <v>36606</v>
          </cell>
          <cell r="C312">
            <v>306</v>
          </cell>
          <cell r="D312">
            <v>2.0485403370422706</v>
          </cell>
          <cell r="E312">
            <v>1.0089100979505436</v>
          </cell>
          <cell r="F312">
            <v>129.9544431401159</v>
          </cell>
          <cell r="G312">
            <v>18.77</v>
          </cell>
          <cell r="H312">
            <v>6.8251242436256909E-4</v>
          </cell>
          <cell r="J312">
            <v>1.7381</v>
          </cell>
          <cell r="K312">
            <v>0.98281029120723773</v>
          </cell>
          <cell r="L312">
            <v>143.79912302473696</v>
          </cell>
        </row>
        <row r="313">
          <cell r="B313">
            <v>36607</v>
          </cell>
          <cell r="C313">
            <v>307</v>
          </cell>
          <cell r="D313">
            <v>2.030472302460451</v>
          </cell>
          <cell r="E313">
            <v>1.009599028961244</v>
          </cell>
          <cell r="F313">
            <v>130.04318211303271</v>
          </cell>
          <cell r="G313">
            <v>18.59</v>
          </cell>
          <cell r="H313">
            <v>6.8284677901431223E-4</v>
          </cell>
          <cell r="J313">
            <v>1.7304999999999999</v>
          </cell>
          <cell r="K313">
            <v>0.97851286400904713</v>
          </cell>
          <cell r="L313">
            <v>143.17034830809925</v>
          </cell>
        </row>
        <row r="314">
          <cell r="B314">
            <v>36608</v>
          </cell>
          <cell r="C314">
            <v>308</v>
          </cell>
          <cell r="D314">
            <v>2.0425206910879012</v>
          </cell>
          <cell r="E314">
            <v>1.0102823499162095</v>
          </cell>
          <cell r="F314">
            <v>130.13119847283417</v>
          </cell>
          <cell r="G314">
            <v>18.71</v>
          </cell>
          <cell r="H314">
            <v>6.7682410082015032E-4</v>
          </cell>
          <cell r="J314">
            <v>1.7242</v>
          </cell>
          <cell r="K314">
            <v>0.97495052304212604</v>
          </cell>
          <cell r="L314">
            <v>142.64912716141274</v>
          </cell>
        </row>
        <row r="315">
          <cell r="B315">
            <v>36609</v>
          </cell>
          <cell r="C315">
            <v>309</v>
          </cell>
          <cell r="D315">
            <v>2.0505462126172436</v>
          </cell>
          <cell r="E315">
            <v>1.0109701907840578</v>
          </cell>
          <cell r="F315">
            <v>130.21979702797981</v>
          </cell>
          <cell r="G315">
            <v>18.79</v>
          </cell>
          <cell r="H315">
            <v>6.8084023036285579E-4</v>
          </cell>
          <cell r="J315">
            <v>1.7234</v>
          </cell>
          <cell r="K315">
            <v>0.97449816228442188</v>
          </cell>
          <cell r="L315">
            <v>142.5829403491351</v>
          </cell>
        </row>
        <row r="316">
          <cell r="B316">
            <v>36612</v>
          </cell>
          <cell r="C316">
            <v>310</v>
          </cell>
          <cell r="D316">
            <v>2.0495433168801203</v>
          </cell>
          <cell r="E316">
            <v>1.0116612044826516</v>
          </cell>
          <cell r="F316">
            <v>130.30880426518098</v>
          </cell>
          <cell r="G316">
            <v>18.78</v>
          </cell>
          <cell r="H316">
            <v>6.8351540420574786E-4</v>
          </cell>
          <cell r="J316">
            <v>1.7362</v>
          </cell>
          <cell r="K316">
            <v>0.98173593440769003</v>
          </cell>
          <cell r="L316">
            <v>143.64192934557752</v>
          </cell>
        </row>
        <row r="317">
          <cell r="B317">
            <v>36613</v>
          </cell>
          <cell r="C317">
            <v>311</v>
          </cell>
          <cell r="D317">
            <v>2.0475372730877073</v>
          </cell>
          <cell r="E317">
            <v>1.0123523523028497</v>
          </cell>
          <cell r="F317">
            <v>130.39782877815176</v>
          </cell>
          <cell r="G317">
            <v>18.760000000000002</v>
          </cell>
          <cell r="H317">
            <v>6.8318110562670675E-4</v>
          </cell>
          <cell r="J317">
            <v>1.7456</v>
          </cell>
          <cell r="K317">
            <v>0.98705117331071524</v>
          </cell>
          <cell r="L317">
            <v>144.41962438983995</v>
          </cell>
        </row>
        <row r="318">
          <cell r="B318">
            <v>36614</v>
          </cell>
          <cell r="C318">
            <v>312</v>
          </cell>
          <cell r="D318">
            <v>2.0123769317439422</v>
          </cell>
          <cell r="E318">
            <v>1.013043295361129</v>
          </cell>
          <cell r="F318">
            <v>130.48682691640275</v>
          </cell>
          <cell r="G318">
            <v>18.41</v>
          </cell>
          <cell r="H318">
            <v>6.8251242436256909E-4</v>
          </cell>
          <cell r="J318">
            <v>1.7379</v>
          </cell>
          <cell r="K318">
            <v>0.98269720101781155</v>
          </cell>
          <cell r="L318">
            <v>143.78257632166753</v>
          </cell>
        </row>
        <row r="319">
          <cell r="B319">
            <v>36615</v>
          </cell>
          <cell r="C319">
            <v>313</v>
          </cell>
          <cell r="D319">
            <v>2.0093583731222164</v>
          </cell>
          <cell r="E319">
            <v>1.0137228370139433</v>
          </cell>
          <cell r="F319">
            <v>130.57435647653043</v>
          </cell>
          <cell r="G319">
            <v>18.38</v>
          </cell>
          <cell r="H319">
            <v>6.7079231058131406E-4</v>
          </cell>
          <cell r="J319">
            <v>1.7522</v>
          </cell>
          <cell r="K319">
            <v>0.99078314956177549</v>
          </cell>
          <cell r="L319">
            <v>144.9656655911306</v>
          </cell>
        </row>
        <row r="320">
          <cell r="B320">
            <v>36616</v>
          </cell>
          <cell r="C320">
            <v>314</v>
          </cell>
          <cell r="D320">
            <v>2.008352017594639</v>
          </cell>
          <cell r="E320">
            <v>1.0144018145041362</v>
          </cell>
          <cell r="F320">
            <v>130.66181336869747</v>
          </cell>
          <cell r="G320">
            <v>18.37</v>
          </cell>
          <cell r="H320">
            <v>6.6978612437407214E-4</v>
          </cell>
          <cell r="J320">
            <v>1.7473000000000001</v>
          </cell>
          <cell r="K320">
            <v>0.98801243992083687</v>
          </cell>
          <cell r="L320">
            <v>144.56027136592996</v>
          </cell>
        </row>
        <row r="321">
          <cell r="B321">
            <v>36619</v>
          </cell>
          <cell r="C321">
            <v>315</v>
          </cell>
          <cell r="D321">
            <v>2.0063390524727165</v>
          </cell>
          <cell r="E321">
            <v>1.0006694506725315</v>
          </cell>
          <cell r="F321">
            <v>130.74928500753134</v>
          </cell>
          <cell r="G321">
            <v>18.350000000000001</v>
          </cell>
          <cell r="H321">
            <v>6.6945067253154633E-4</v>
          </cell>
          <cell r="J321">
            <v>1.7406999999999999</v>
          </cell>
          <cell r="K321">
            <v>0.99622274366164931</v>
          </cell>
          <cell r="L321">
            <v>144.01423016463932</v>
          </cell>
        </row>
        <row r="322">
          <cell r="B322">
            <v>36620</v>
          </cell>
          <cell r="C322">
            <v>316</v>
          </cell>
          <cell r="D322">
            <v>2.0073455773828019</v>
          </cell>
          <cell r="E322">
            <v>1.0013386780716984</v>
          </cell>
          <cell r="F322">
            <v>130.8367274730625</v>
          </cell>
          <cell r="G322">
            <v>18.36</v>
          </cell>
          <cell r="H322">
            <v>6.6877968415757216E-4</v>
          </cell>
          <cell r="J322">
            <v>1.7424999999999999</v>
          </cell>
          <cell r="K322">
            <v>0.99725290448119952</v>
          </cell>
          <cell r="L322">
            <v>144.16315049226404</v>
          </cell>
        </row>
        <row r="323">
          <cell r="B323">
            <v>36621</v>
          </cell>
          <cell r="C323">
            <v>317</v>
          </cell>
          <cell r="D323">
            <v>2.0113708301825461</v>
          </cell>
          <cell r="E323">
            <v>1.002008688993995</v>
          </cell>
          <cell r="F323">
            <v>130.9242723151466</v>
          </cell>
          <cell r="G323">
            <v>18.399999999999999</v>
          </cell>
          <cell r="H323">
            <v>6.6911519246093398E-4</v>
          </cell>
          <cell r="J323">
            <v>1.7532000000000001</v>
          </cell>
          <cell r="K323">
            <v>1.003376638241859</v>
          </cell>
          <cell r="L323">
            <v>145.04839910647769</v>
          </cell>
        </row>
        <row r="324">
          <cell r="B324">
            <v>36622</v>
          </cell>
          <cell r="C324">
            <v>318</v>
          </cell>
          <cell r="D324">
            <v>2.0123769317439422</v>
          </cell>
          <cell r="E324">
            <v>1.0026804926768722</v>
          </cell>
          <cell r="F324">
            <v>131.01205140257909</v>
          </cell>
          <cell r="G324">
            <v>18.41</v>
          </cell>
          <cell r="H324">
            <v>6.7045694339396E-4</v>
          </cell>
          <cell r="J324">
            <v>1.7423</v>
          </cell>
          <cell r="K324">
            <v>0.99713844216791625</v>
          </cell>
          <cell r="L324">
            <v>144.14660378919464</v>
          </cell>
        </row>
        <row r="325">
          <cell r="B325">
            <v>36623</v>
          </cell>
          <cell r="C325">
            <v>319</v>
          </cell>
          <cell r="D325">
            <v>2.0113708301825461</v>
          </cell>
          <cell r="E325">
            <v>1.0033530830413298</v>
          </cell>
          <cell r="F325">
            <v>131.09993327925343</v>
          </cell>
          <cell r="G325">
            <v>18.399999999999999</v>
          </cell>
          <cell r="H325">
            <v>6.7079231058131406E-4</v>
          </cell>
          <cell r="J325">
            <v>1.7439</v>
          </cell>
          <cell r="K325">
            <v>0.99805414067418319</v>
          </cell>
          <cell r="L325">
            <v>144.27897741374997</v>
          </cell>
        </row>
        <row r="326">
          <cell r="B326">
            <v>36626</v>
          </cell>
          <cell r="C326">
            <v>320</v>
          </cell>
          <cell r="D326">
            <v>2.0103646439801892</v>
          </cell>
          <cell r="E326">
            <v>1.0040257880825307</v>
          </cell>
          <cell r="F326">
            <v>131.18783013979902</v>
          </cell>
          <cell r="G326">
            <v>18.39</v>
          </cell>
          <cell r="H326">
            <v>6.7045694339418205E-4</v>
          </cell>
          <cell r="J326">
            <v>1.7386999999999999</v>
          </cell>
          <cell r="K326">
            <v>0.99507812052881606</v>
          </cell>
          <cell r="L326">
            <v>143.84876313394523</v>
          </cell>
        </row>
        <row r="327">
          <cell r="B327">
            <v>36627</v>
          </cell>
          <cell r="C327">
            <v>321</v>
          </cell>
          <cell r="D327">
            <v>2.0113708301825461</v>
          </cell>
          <cell r="E327">
            <v>1.0046986073978659</v>
          </cell>
          <cell r="F327">
            <v>131.27574193161018</v>
          </cell>
          <cell r="G327">
            <v>18.399999999999999</v>
          </cell>
          <cell r="H327">
            <v>6.701215479933964E-4</v>
          </cell>
          <cell r="J327">
            <v>1.7447999999999999</v>
          </cell>
          <cell r="K327">
            <v>0.99856922108395818</v>
          </cell>
          <cell r="L327">
            <v>144.35343757756232</v>
          </cell>
        </row>
        <row r="328">
          <cell r="B328">
            <v>36628</v>
          </cell>
          <cell r="C328">
            <v>322</v>
          </cell>
          <cell r="D328">
            <v>2.0123769317439422</v>
          </cell>
          <cell r="E328">
            <v>1.0053722145552142</v>
          </cell>
          <cell r="F328">
            <v>131.36375666428745</v>
          </cell>
          <cell r="G328">
            <v>18.41</v>
          </cell>
          <cell r="H328">
            <v>6.7045694339418205E-4</v>
          </cell>
          <cell r="J328">
            <v>1.7471000000000001</v>
          </cell>
          <cell r="K328">
            <v>0.99988553768671673</v>
          </cell>
          <cell r="L328">
            <v>144.54372466286057</v>
          </cell>
        </row>
        <row r="329">
          <cell r="B329">
            <v>36629</v>
          </cell>
          <cell r="C329">
            <v>323</v>
          </cell>
          <cell r="D329">
            <v>2.0153947287242513</v>
          </cell>
          <cell r="E329">
            <v>1.00604661050601</v>
          </cell>
          <cell r="F329">
            <v>131.45187446214692</v>
          </cell>
          <cell r="G329">
            <v>18.440000000000001</v>
          </cell>
          <cell r="H329">
            <v>6.7079231058131406E-4</v>
          </cell>
          <cell r="J329">
            <v>1.7633000000000001</v>
          </cell>
          <cell r="K329">
            <v>1.009156985062668</v>
          </cell>
          <cell r="L329">
            <v>145.88400761148304</v>
          </cell>
        </row>
        <row r="330">
          <cell r="B330">
            <v>36630</v>
          </cell>
          <cell r="C330">
            <v>324</v>
          </cell>
          <cell r="D330">
            <v>2.0194172739198546</v>
          </cell>
          <cell r="E330">
            <v>1.0067224708512315</v>
          </cell>
          <cell r="F330">
            <v>131.54018360043756</v>
          </cell>
          <cell r="G330">
            <v>18.48</v>
          </cell>
          <cell r="H330">
            <v>6.7179824290808376E-4</v>
          </cell>
          <cell r="J330">
            <v>1.7833000000000001</v>
          </cell>
          <cell r="K330">
            <v>1.020603216391003</v>
          </cell>
          <cell r="L330">
            <v>147.53867791842438</v>
          </cell>
        </row>
        <row r="331">
          <cell r="B331">
            <v>36633</v>
          </cell>
          <cell r="C331">
            <v>325</v>
          </cell>
          <cell r="D331">
            <v>2.0194172739198546</v>
          </cell>
          <cell r="E331">
            <v>1.0074001351004582</v>
          </cell>
          <cell r="F331">
            <v>131.62872844009667</v>
          </cell>
          <cell r="G331">
            <v>18.48</v>
          </cell>
          <cell r="H331">
            <v>6.731390913066182E-4</v>
          </cell>
          <cell r="J331">
            <v>1.7873000000000001</v>
          </cell>
          <cell r="K331">
            <v>1.02289246265667</v>
          </cell>
          <cell r="L331">
            <v>147.86961197981265</v>
          </cell>
        </row>
        <row r="332">
          <cell r="B332">
            <v>36634</v>
          </cell>
          <cell r="C332">
            <v>326</v>
          </cell>
          <cell r="D332">
            <v>2.0194172739198546</v>
          </cell>
          <cell r="E332">
            <v>1.0080782555119818</v>
          </cell>
          <cell r="F332">
            <v>131.71733288274865</v>
          </cell>
          <cell r="G332">
            <v>18.48</v>
          </cell>
          <cell r="H332">
            <v>6.7313909130639615E-4</v>
          </cell>
          <cell r="J332">
            <v>1.7696000000000001</v>
          </cell>
          <cell r="K332">
            <v>1.0127625479310933</v>
          </cell>
          <cell r="L332">
            <v>146.40522875816956</v>
          </cell>
        </row>
        <row r="333">
          <cell r="B333">
            <v>36635</v>
          </cell>
          <cell r="C333">
            <v>327</v>
          </cell>
          <cell r="D333">
            <v>2.0143888810004729</v>
          </cell>
          <cell r="E333">
            <v>1.0087568323928631</v>
          </cell>
          <cell r="F333">
            <v>131.80599696851468</v>
          </cell>
          <cell r="G333">
            <v>18.43</v>
          </cell>
          <cell r="H333">
            <v>6.731390913066182E-4</v>
          </cell>
          <cell r="J333">
            <v>1.7662</v>
          </cell>
          <cell r="K333">
            <v>1.0108166886052763</v>
          </cell>
          <cell r="L333">
            <v>146.12393480598953</v>
          </cell>
        </row>
        <row r="334">
          <cell r="B334">
            <v>36636</v>
          </cell>
          <cell r="C334">
            <v>328</v>
          </cell>
          <cell r="D334">
            <v>2.018411764447503</v>
          </cell>
          <cell r="E334">
            <v>1.0094341752417981</v>
          </cell>
          <cell r="F334">
            <v>131.89449981342887</v>
          </cell>
          <cell r="G334">
            <v>18.47</v>
          </cell>
          <cell r="H334">
            <v>6.7146296033349095E-4</v>
          </cell>
          <cell r="J334">
            <v>1.7784</v>
          </cell>
          <cell r="K334">
            <v>1.0177988897155608</v>
          </cell>
          <cell r="L334">
            <v>147.13328369322375</v>
          </cell>
        </row>
        <row r="335">
          <cell r="B335">
            <v>36640</v>
          </cell>
          <cell r="C335">
            <v>329</v>
          </cell>
          <cell r="D335">
            <v>2.018411764447503</v>
          </cell>
          <cell r="E335">
            <v>1.0101133265133793</v>
          </cell>
          <cell r="F335">
            <v>131.9832389501253</v>
          </cell>
          <cell r="G335">
            <v>18.47</v>
          </cell>
          <cell r="H335">
            <v>6.7280392148227897E-4</v>
          </cell>
          <cell r="J335">
            <v>1.7916000000000001</v>
          </cell>
          <cell r="K335">
            <v>1.0253534023922621</v>
          </cell>
          <cell r="L335">
            <v>148.22536609580504</v>
          </cell>
        </row>
        <row r="336">
          <cell r="B336">
            <v>36641</v>
          </cell>
          <cell r="C336">
            <v>330</v>
          </cell>
          <cell r="D336">
            <v>2.018411764447503</v>
          </cell>
          <cell r="E336">
            <v>1.0107929347205993</v>
          </cell>
          <cell r="F336">
            <v>132.07203779086092</v>
          </cell>
          <cell r="G336">
            <v>18.47</v>
          </cell>
          <cell r="H336">
            <v>6.7280392148250101E-4</v>
          </cell>
          <cell r="J336">
            <v>1.7887999999999999</v>
          </cell>
          <cell r="K336">
            <v>1.023750930006295</v>
          </cell>
          <cell r="L336">
            <v>147.99371225283323</v>
          </cell>
        </row>
        <row r="337">
          <cell r="B337">
            <v>36642</v>
          </cell>
          <cell r="C337">
            <v>331</v>
          </cell>
          <cell r="D337">
            <v>2.018411764447503</v>
          </cell>
          <cell r="E337">
            <v>1.011473000170886</v>
          </cell>
          <cell r="F337">
            <v>132.16089637580478</v>
          </cell>
          <cell r="G337">
            <v>18.47</v>
          </cell>
          <cell r="H337">
            <v>6.7280392148250101E-4</v>
          </cell>
          <cell r="J337">
            <v>1.7985</v>
          </cell>
          <cell r="K337">
            <v>1.0293023522005376</v>
          </cell>
          <cell r="L337">
            <v>148.79622735169977</v>
          </cell>
        </row>
        <row r="338">
          <cell r="B338">
            <v>36643</v>
          </cell>
          <cell r="C338">
            <v>332</v>
          </cell>
          <cell r="D338">
            <v>2.018411764447503</v>
          </cell>
          <cell r="E338">
            <v>1.0121535231718748</v>
          </cell>
          <cell r="F338">
            <v>132.24981474515306</v>
          </cell>
          <cell r="G338">
            <v>18.47</v>
          </cell>
          <cell r="H338">
            <v>6.7280392148250101E-4</v>
          </cell>
          <cell r="J338">
            <v>1.8083</v>
          </cell>
          <cell r="K338">
            <v>1.0349110055514219</v>
          </cell>
          <cell r="L338">
            <v>149.60701580210105</v>
          </cell>
        </row>
        <row r="339">
          <cell r="B339">
            <v>36644</v>
          </cell>
          <cell r="C339">
            <v>333</v>
          </cell>
          <cell r="D339">
            <v>2.018411764447503</v>
          </cell>
          <cell r="E339">
            <v>1.0128345040314071</v>
          </cell>
          <cell r="F339">
            <v>132.33879293912892</v>
          </cell>
          <cell r="G339">
            <v>18.47</v>
          </cell>
          <cell r="H339">
            <v>6.7280392148250101E-4</v>
          </cell>
          <cell r="J339">
            <v>1.8067</v>
          </cell>
          <cell r="K339">
            <v>1.0339953070451551</v>
          </cell>
          <cell r="L339">
            <v>149.47464217754575</v>
          </cell>
        </row>
        <row r="340">
          <cell r="B340">
            <v>36648</v>
          </cell>
          <cell r="C340">
            <v>334</v>
          </cell>
          <cell r="D340">
            <v>2.0204226988658203</v>
          </cell>
          <cell r="E340">
            <v>1.0006728039214825</v>
          </cell>
          <cell r="F340">
            <v>132.42783099798262</v>
          </cell>
          <cell r="G340">
            <v>18.489999999999998</v>
          </cell>
          <cell r="H340">
            <v>6.7280392148250101E-4</v>
          </cell>
          <cell r="J340">
            <v>1.8008</v>
          </cell>
          <cell r="K340">
            <v>0.99673437759450934</v>
          </cell>
          <cell r="L340">
            <v>148.98651443699805</v>
          </cell>
        </row>
        <row r="341">
          <cell r="B341">
            <v>36649</v>
          </cell>
          <cell r="C341">
            <v>335</v>
          </cell>
          <cell r="D341">
            <v>2.0204226988658203</v>
          </cell>
          <cell r="E341">
            <v>1.0013467312705426</v>
          </cell>
          <cell r="F341">
            <v>132.51701772988591</v>
          </cell>
          <cell r="G341">
            <v>18.489999999999998</v>
          </cell>
          <cell r="H341">
            <v>6.7347423295527342E-4</v>
          </cell>
          <cell r="J341">
            <v>1.8162</v>
          </cell>
          <cell r="K341">
            <v>1.0052582055681629</v>
          </cell>
          <cell r="L341">
            <v>150.26061057334289</v>
          </cell>
        </row>
        <row r="342">
          <cell r="B342">
            <v>36650</v>
          </cell>
          <cell r="C342">
            <v>336</v>
          </cell>
          <cell r="D342">
            <v>2.0224332952325508</v>
          </cell>
          <cell r="E342">
            <v>1.0020211124923073</v>
          </cell>
          <cell r="F342">
            <v>132.60626452675507</v>
          </cell>
          <cell r="G342">
            <v>18.510000000000002</v>
          </cell>
          <cell r="H342">
            <v>6.7347423295527342E-4</v>
          </cell>
          <cell r="J342">
            <v>1.8144</v>
          </cell>
          <cell r="K342">
            <v>1.0042619139868267</v>
          </cell>
          <cell r="L342">
            <v>150.11169024571817</v>
          </cell>
        </row>
        <row r="343">
          <cell r="B343">
            <v>36651</v>
          </cell>
          <cell r="C343">
            <v>337</v>
          </cell>
          <cell r="D343">
            <v>2.0224332952325508</v>
          </cell>
          <cell r="E343">
            <v>1.002696619445784</v>
          </cell>
          <cell r="F343">
            <v>132.69566030160018</v>
          </cell>
          <cell r="G343">
            <v>18.510000000000002</v>
          </cell>
          <cell r="H343">
            <v>6.7414443174418359E-4</v>
          </cell>
          <cell r="J343">
            <v>1.8118000000000001</v>
          </cell>
          <cell r="K343">
            <v>1.002822826147119</v>
          </cell>
          <cell r="L343">
            <v>149.89658310581581</v>
          </cell>
        </row>
        <row r="344">
          <cell r="B344">
            <v>36654</v>
          </cell>
          <cell r="C344">
            <v>338</v>
          </cell>
          <cell r="D344">
            <v>2.0194172739198546</v>
          </cell>
          <cell r="E344">
            <v>1.0033725817885122</v>
          </cell>
          <cell r="F344">
            <v>132.78511634210915</v>
          </cell>
          <cell r="G344">
            <v>18.48</v>
          </cell>
          <cell r="H344">
            <v>6.7414443174440564E-4</v>
          </cell>
          <cell r="J344">
            <v>1.8058000000000001</v>
          </cell>
          <cell r="K344">
            <v>0.99950185420933191</v>
          </cell>
          <cell r="L344">
            <v>149.4001820137334</v>
          </cell>
        </row>
        <row r="345">
          <cell r="B345">
            <v>36655</v>
          </cell>
          <cell r="C345">
            <v>339</v>
          </cell>
          <cell r="D345">
            <v>2.0153947287242513</v>
          </cell>
          <cell r="E345">
            <v>1.0040479910964593</v>
          </cell>
          <cell r="F345">
            <v>132.87449919466272</v>
          </cell>
          <cell r="G345">
            <v>18.440000000000001</v>
          </cell>
          <cell r="H345">
            <v>6.731390913066182E-4</v>
          </cell>
          <cell r="J345">
            <v>1.8079000000000001</v>
          </cell>
          <cell r="K345">
            <v>1.0006641943875574</v>
          </cell>
          <cell r="L345">
            <v>149.57392239596226</v>
          </cell>
        </row>
        <row r="346">
          <cell r="B346">
            <v>36656</v>
          </cell>
          <cell r="C346">
            <v>340</v>
          </cell>
          <cell r="D346">
            <v>2.0153947287242513</v>
          </cell>
          <cell r="E346">
            <v>1.0047225087726732</v>
          </cell>
          <cell r="F346">
            <v>132.96376404974899</v>
          </cell>
          <cell r="G346">
            <v>18.440000000000001</v>
          </cell>
          <cell r="H346">
            <v>6.7179824290808376E-4</v>
          </cell>
          <cell r="J346">
            <v>1.8169</v>
          </cell>
          <cell r="K346">
            <v>1.0056456522942381</v>
          </cell>
          <cell r="L346">
            <v>150.31852403408587</v>
          </cell>
        </row>
        <row r="347">
          <cell r="B347">
            <v>36657</v>
          </cell>
          <cell r="C347">
            <v>341</v>
          </cell>
          <cell r="D347">
            <v>2.0153947287242513</v>
          </cell>
          <cell r="E347">
            <v>1.0053974795886769</v>
          </cell>
          <cell r="F347">
            <v>133.05308887280805</v>
          </cell>
          <cell r="G347">
            <v>18.440000000000001</v>
          </cell>
          <cell r="H347">
            <v>6.7179824290808376E-4</v>
          </cell>
          <cell r="J347">
            <v>1.8162</v>
          </cell>
          <cell r="K347">
            <v>1.0052582055681629</v>
          </cell>
          <cell r="L347">
            <v>150.26061057334292</v>
          </cell>
        </row>
        <row r="348">
          <cell r="B348">
            <v>36658</v>
          </cell>
          <cell r="C348">
            <v>342</v>
          </cell>
          <cell r="D348">
            <v>2.0133829486790322</v>
          </cell>
          <cell r="E348">
            <v>1.0060729038488887</v>
          </cell>
          <cell r="F348">
            <v>133.14247370412627</v>
          </cell>
          <cell r="G348">
            <v>18.420000000000002</v>
          </cell>
          <cell r="H348">
            <v>6.7179824290786172E-4</v>
          </cell>
          <cell r="J348">
            <v>1.8266</v>
          </cell>
          <cell r="K348">
            <v>1.0110145569269939</v>
          </cell>
          <cell r="L348">
            <v>151.1210391329524</v>
          </cell>
        </row>
        <row r="349">
          <cell r="B349">
            <v>36661</v>
          </cell>
          <cell r="C349">
            <v>343</v>
          </cell>
          <cell r="D349">
            <v>2.0133829486790322</v>
          </cell>
          <cell r="E349">
            <v>1.0067481071921345</v>
          </cell>
          <cell r="F349">
            <v>133.23182929955988</v>
          </cell>
          <cell r="G349">
            <v>18.420000000000002</v>
          </cell>
          <cell r="H349">
            <v>6.7112764955967741E-4</v>
          </cell>
          <cell r="J349">
            <v>1.8382000000000001</v>
          </cell>
          <cell r="K349">
            <v>1.0174351026733823</v>
          </cell>
          <cell r="L349">
            <v>152.08074791097837</v>
          </cell>
        </row>
        <row r="350">
          <cell r="B350">
            <v>36662</v>
          </cell>
          <cell r="C350">
            <v>344</v>
          </cell>
          <cell r="D350">
            <v>2.0133829486790322</v>
          </cell>
          <cell r="E350">
            <v>1.007423763683013</v>
          </cell>
          <cell r="F350">
            <v>133.32124486400423</v>
          </cell>
          <cell r="G350">
            <v>18.420000000000002</v>
          </cell>
          <cell r="H350">
            <v>6.7112764955967741E-4</v>
          </cell>
          <cell r="J350">
            <v>1.8198000000000001</v>
          </cell>
          <cell r="K350">
            <v>1.0072507887308351</v>
          </cell>
          <cell r="L350">
            <v>150.55845122859233</v>
          </cell>
        </row>
        <row r="351">
          <cell r="B351">
            <v>36663</v>
          </cell>
          <cell r="C351">
            <v>345</v>
          </cell>
          <cell r="D351">
            <v>2.0123769317439422</v>
          </cell>
          <cell r="E351">
            <v>1.0080998736256441</v>
          </cell>
          <cell r="F351">
            <v>133.41072043770617</v>
          </cell>
          <cell r="G351">
            <v>18.41</v>
          </cell>
          <cell r="H351">
            <v>6.7112764955967741E-4</v>
          </cell>
          <cell r="J351">
            <v>1.8291999999999999</v>
          </cell>
          <cell r="K351">
            <v>1.0124536447667016</v>
          </cell>
          <cell r="L351">
            <v>151.33614627285476</v>
          </cell>
        </row>
        <row r="352">
          <cell r="B352">
            <v>36664</v>
          </cell>
          <cell r="C352">
            <v>346</v>
          </cell>
          <cell r="D352">
            <v>2.0123769317439422</v>
          </cell>
          <cell r="E352">
            <v>1.0087760992691701</v>
          </cell>
          <cell r="F352">
            <v>133.50021132312489</v>
          </cell>
          <cell r="G352">
            <v>18.41</v>
          </cell>
          <cell r="H352">
            <v>6.7079231058131406E-4</v>
          </cell>
          <cell r="J352">
            <v>1.8305</v>
          </cell>
          <cell r="K352">
            <v>1.0131731886865556</v>
          </cell>
          <cell r="L352">
            <v>151.44369984280598</v>
          </cell>
        </row>
        <row r="353">
          <cell r="B353">
            <v>36665</v>
          </cell>
          <cell r="C353">
            <v>347</v>
          </cell>
          <cell r="D353">
            <v>2.0123769317439422</v>
          </cell>
          <cell r="E353">
            <v>1.0094527785196581</v>
          </cell>
          <cell r="F353">
            <v>133.58976223834142</v>
          </cell>
          <cell r="G353">
            <v>18.41</v>
          </cell>
          <cell r="H353">
            <v>6.7079231058131406E-4</v>
          </cell>
          <cell r="J353">
            <v>1.8453999999999999</v>
          </cell>
          <cell r="K353">
            <v>1.0214202689987268</v>
          </cell>
          <cell r="L353">
            <v>152.67642922147726</v>
          </cell>
        </row>
        <row r="354">
          <cell r="B354">
            <v>36668</v>
          </cell>
          <cell r="C354">
            <v>348</v>
          </cell>
          <cell r="D354">
            <v>2.0123769317439422</v>
          </cell>
          <cell r="E354">
            <v>1.010129911681384</v>
          </cell>
          <cell r="F354">
            <v>133.67937322362329</v>
          </cell>
          <cell r="G354">
            <v>18.41</v>
          </cell>
          <cell r="H354">
            <v>6.7079231058131406E-4</v>
          </cell>
          <cell r="J354">
            <v>1.8468</v>
          </cell>
          <cell r="K354">
            <v>1.0221951624508772</v>
          </cell>
          <cell r="L354">
            <v>152.79225614296317</v>
          </cell>
        </row>
        <row r="355">
          <cell r="B355">
            <v>36669</v>
          </cell>
          <cell r="C355">
            <v>349</v>
          </cell>
          <cell r="D355">
            <v>2.0123769317439422</v>
          </cell>
          <cell r="E355">
            <v>1.0108074990588281</v>
          </cell>
          <cell r="F355">
            <v>133.76904431926502</v>
          </cell>
          <cell r="G355">
            <v>18.41</v>
          </cell>
          <cell r="H355">
            <v>6.7079231058131406E-4</v>
          </cell>
          <cell r="J355">
            <v>1.8536999999999999</v>
          </cell>
          <cell r="K355">
            <v>1.0260142801793324</v>
          </cell>
          <cell r="L355">
            <v>153.36311739885792</v>
          </cell>
        </row>
        <row r="356">
          <cell r="B356">
            <v>36670</v>
          </cell>
          <cell r="C356">
            <v>350</v>
          </cell>
          <cell r="D356">
            <v>2.0133829486790322</v>
          </cell>
          <cell r="E356">
            <v>1.0114855409566745</v>
          </cell>
          <cell r="F356">
            <v>133.85877556558819</v>
          </cell>
          <cell r="G356">
            <v>18.420000000000002</v>
          </cell>
          <cell r="H356">
            <v>6.7079231058131406E-4</v>
          </cell>
          <cell r="J356">
            <v>1.8536999999999999</v>
          </cell>
          <cell r="K356">
            <v>1.0260142801793324</v>
          </cell>
          <cell r="L356">
            <v>153.36311739885792</v>
          </cell>
        </row>
        <row r="357">
          <cell r="B357">
            <v>36671</v>
          </cell>
          <cell r="C357">
            <v>351</v>
          </cell>
          <cell r="D357">
            <v>2.0133829486790322</v>
          </cell>
          <cell r="E357">
            <v>1.0121643768703403</v>
          </cell>
          <cell r="F357">
            <v>133.94861189100644</v>
          </cell>
          <cell r="G357">
            <v>18.420000000000002</v>
          </cell>
          <cell r="H357">
            <v>6.7112764955945536E-4</v>
          </cell>
          <cell r="J357">
            <v>1.8391999999999999</v>
          </cell>
          <cell r="K357">
            <v>1.0179885979963468</v>
          </cell>
          <cell r="L357">
            <v>152.16348142632543</v>
          </cell>
        </row>
        <row r="358">
          <cell r="B358">
            <v>36672</v>
          </cell>
          <cell r="C358">
            <v>352</v>
          </cell>
          <cell r="D358">
            <v>2.0143888810004729</v>
          </cell>
          <cell r="E358">
            <v>1.0128436683695574</v>
          </cell>
          <cell r="F358">
            <v>134.03850850806663</v>
          </cell>
          <cell r="G358">
            <v>18.43</v>
          </cell>
          <cell r="H358">
            <v>6.7112764955967741E-4</v>
          </cell>
          <cell r="J358">
            <v>1.8454999999999999</v>
          </cell>
          <cell r="K358">
            <v>1.0214756185310232</v>
          </cell>
          <cell r="L358">
            <v>152.68470257301195</v>
          </cell>
        </row>
        <row r="359">
          <cell r="B359">
            <v>36675</v>
          </cell>
          <cell r="C359">
            <v>353</v>
          </cell>
          <cell r="D359">
            <v>2.0133829486790322</v>
          </cell>
          <cell r="E359">
            <v>1.0135237553774759</v>
          </cell>
          <cell r="F359">
            <v>134.12851040178813</v>
          </cell>
          <cell r="G359">
            <v>18.420000000000002</v>
          </cell>
          <cell r="H359">
            <v>6.7146296033349095E-4</v>
          </cell>
          <cell r="J359">
            <v>1.8388</v>
          </cell>
          <cell r="K359">
            <v>1.0177671998671609</v>
          </cell>
          <cell r="L359">
            <v>152.13038802018659</v>
          </cell>
        </row>
        <row r="360">
          <cell r="B360">
            <v>36676</v>
          </cell>
          <cell r="C360">
            <v>354</v>
          </cell>
          <cell r="D360">
            <v>2.0113708301825461</v>
          </cell>
          <cell r="E360">
            <v>1.0142039591931953</v>
          </cell>
          <cell r="F360">
            <v>134.21852775371303</v>
          </cell>
          <cell r="G360">
            <v>18.399999999999999</v>
          </cell>
          <cell r="H360">
            <v>6.7112764955967741E-4</v>
          </cell>
          <cell r="J360">
            <v>1.8305</v>
          </cell>
          <cell r="K360">
            <v>1.0131731886865554</v>
          </cell>
          <cell r="L360">
            <v>151.44369984280593</v>
          </cell>
        </row>
        <row r="361">
          <cell r="B361">
            <v>36677</v>
          </cell>
          <cell r="C361">
            <v>355</v>
          </cell>
          <cell r="D361">
            <v>2.0103646439801892</v>
          </cell>
          <cell r="E361">
            <v>1.0148839392796543</v>
          </cell>
          <cell r="F361">
            <v>134.30851549757764</v>
          </cell>
          <cell r="G361">
            <v>18.39</v>
          </cell>
          <cell r="H361">
            <v>6.7045694339418205E-4</v>
          </cell>
          <cell r="J361">
            <v>1.8266</v>
          </cell>
          <cell r="K361">
            <v>1.0110145569269937</v>
          </cell>
          <cell r="L361">
            <v>151.12103913295238</v>
          </cell>
        </row>
        <row r="362">
          <cell r="B362">
            <v>36678</v>
          </cell>
          <cell r="C362">
            <v>356</v>
          </cell>
          <cell r="D362">
            <v>2.0093583731222164</v>
          </cell>
          <cell r="E362">
            <v>1.0006701215479934</v>
          </cell>
          <cell r="F362">
            <v>134.39851852789158</v>
          </cell>
          <cell r="G362">
            <v>18.38</v>
          </cell>
          <cell r="H362">
            <v>6.701215479933964E-4</v>
          </cell>
          <cell r="J362">
            <v>1.8202</v>
          </cell>
          <cell r="K362">
            <v>0.99649622248987191</v>
          </cell>
          <cell r="L362">
            <v>150.59154463473115</v>
          </cell>
        </row>
        <row r="363">
          <cell r="B363">
            <v>36679</v>
          </cell>
          <cell r="C363">
            <v>357</v>
          </cell>
          <cell r="D363">
            <v>2.008352017594639</v>
          </cell>
          <cell r="E363">
            <v>1.0013403565104819</v>
          </cell>
          <cell r="F363">
            <v>134.48853679073798</v>
          </cell>
          <cell r="G363">
            <v>18.37</v>
          </cell>
          <cell r="H363">
            <v>6.6978612437407214E-4</v>
          </cell>
          <cell r="J363">
            <v>1.8104</v>
          </cell>
          <cell r="K363">
            <v>0.99113106317748823</v>
          </cell>
          <cell r="L363">
            <v>149.7807561843299</v>
          </cell>
        </row>
        <row r="364">
          <cell r="B364">
            <v>36682</v>
          </cell>
          <cell r="C364">
            <v>358</v>
          </cell>
          <cell r="D364">
            <v>2.0063390524727165</v>
          </cell>
          <cell r="E364">
            <v>1.0020107044855808</v>
          </cell>
          <cell r="F364">
            <v>134.57857023214032</v>
          </cell>
          <cell r="G364">
            <v>18.350000000000001</v>
          </cell>
          <cell r="H364">
            <v>6.6945067253154633E-4</v>
          </cell>
          <cell r="J364">
            <v>1.7932999999999999</v>
          </cell>
          <cell r="K364">
            <v>0.98176940764261467</v>
          </cell>
          <cell r="L364">
            <v>148.36601307189505</v>
          </cell>
        </row>
        <row r="365">
          <cell r="B365">
            <v>36683</v>
          </cell>
          <cell r="C365">
            <v>359</v>
          </cell>
          <cell r="D365">
            <v>2.003318969410417</v>
          </cell>
          <cell r="E365">
            <v>1.0026808288880491</v>
          </cell>
          <cell r="F365">
            <v>134.66857364583453</v>
          </cell>
          <cell r="G365">
            <v>18.32</v>
          </cell>
          <cell r="H365">
            <v>6.6877968415735012E-4</v>
          </cell>
          <cell r="J365">
            <v>1.7899</v>
          </cell>
          <cell r="K365">
            <v>0.97990802584035919</v>
          </cell>
          <cell r="L365">
            <v>148.08471911971503</v>
          </cell>
        </row>
        <row r="366">
          <cell r="B366">
            <v>36684</v>
          </cell>
          <cell r="C366">
            <v>360</v>
          </cell>
          <cell r="D366">
            <v>1.9992910053514557</v>
          </cell>
          <cell r="E366">
            <v>1.0033503920629743</v>
          </cell>
          <cell r="F366">
            <v>134.75850168189058</v>
          </cell>
          <cell r="G366">
            <v>18.28</v>
          </cell>
          <cell r="H366">
            <v>6.6777298980347233E-4</v>
          </cell>
          <cell r="J366">
            <v>1.8036000000000001</v>
          </cell>
          <cell r="K366">
            <v>0.98740829957297716</v>
          </cell>
          <cell r="L366">
            <v>149.21816827996986</v>
          </cell>
        </row>
        <row r="367">
          <cell r="B367">
            <v>36685</v>
          </cell>
          <cell r="C367">
            <v>361</v>
          </cell>
          <cell r="D367">
            <v>1.9972765145033211</v>
          </cell>
          <cell r="E367">
            <v>1.0040190552009967</v>
          </cell>
          <cell r="F367">
            <v>134.84830883532632</v>
          </cell>
          <cell r="G367">
            <v>18.260000000000002</v>
          </cell>
          <cell r="H367">
            <v>6.6643033511715188E-4</v>
          </cell>
          <cell r="J367">
            <v>1.7948</v>
          </cell>
          <cell r="K367">
            <v>0.98259060549655097</v>
          </cell>
          <cell r="L367">
            <v>148.49011334491567</v>
          </cell>
        </row>
        <row r="368">
          <cell r="B368">
            <v>36686</v>
          </cell>
          <cell r="C368">
            <v>362</v>
          </cell>
          <cell r="D368">
            <v>1.9972765145033211</v>
          </cell>
          <cell r="E368">
            <v>1.0046874897606857</v>
          </cell>
          <cell r="F368">
            <v>134.93808528874541</v>
          </cell>
          <cell r="G368">
            <v>18.260000000000002</v>
          </cell>
          <cell r="H368">
            <v>6.657588381677737E-4</v>
          </cell>
          <cell r="J368">
            <v>1.7999000000000001</v>
          </cell>
          <cell r="K368">
            <v>0.98538267819993441</v>
          </cell>
          <cell r="L368">
            <v>148.91205427318573</v>
          </cell>
        </row>
        <row r="369">
          <cell r="B369">
            <v>36689</v>
          </cell>
          <cell r="C369">
            <v>363</v>
          </cell>
          <cell r="D369">
            <v>1.9962691418240475</v>
          </cell>
          <cell r="E369">
            <v>1.0053563693365903</v>
          </cell>
          <cell r="F369">
            <v>135.02792151163183</v>
          </cell>
          <cell r="G369">
            <v>18.25</v>
          </cell>
          <cell r="H369">
            <v>6.657588381677737E-4</v>
          </cell>
          <cell r="J369">
            <v>1.804</v>
          </cell>
          <cell r="K369">
            <v>0.98762728566736013</v>
          </cell>
          <cell r="L369">
            <v>149.25126168610868</v>
          </cell>
        </row>
        <row r="370">
          <cell r="B370">
            <v>36690</v>
          </cell>
          <cell r="C370">
            <v>364</v>
          </cell>
          <cell r="D370">
            <v>1.995261684289984</v>
          </cell>
          <cell r="E370">
            <v>1.0060253566354713</v>
          </cell>
          <cell r="F370">
            <v>135.11777220263127</v>
          </cell>
          <cell r="G370">
            <v>18.239999999999998</v>
          </cell>
          <cell r="H370">
            <v>6.6542304727468249E-4</v>
          </cell>
          <cell r="J370">
            <v>1.81</v>
          </cell>
          <cell r="K370">
            <v>0.99091207708310536</v>
          </cell>
          <cell r="L370">
            <v>149.74766277819108</v>
          </cell>
        </row>
        <row r="371">
          <cell r="B371">
            <v>36691</v>
          </cell>
          <cell r="C371">
            <v>365</v>
          </cell>
          <cell r="D371">
            <v>1.9942541418858095</v>
          </cell>
          <cell r="E371">
            <v>1.006694451251311</v>
          </cell>
          <cell r="F371">
            <v>135.20763730721211</v>
          </cell>
          <cell r="G371">
            <v>18.23</v>
          </cell>
          <cell r="H371">
            <v>6.6508722809666132E-4</v>
          </cell>
          <cell r="J371">
            <v>1.8107</v>
          </cell>
          <cell r="K371">
            <v>0.9912953027482756</v>
          </cell>
          <cell r="L371">
            <v>149.80557623893404</v>
          </cell>
        </row>
        <row r="372">
          <cell r="B372">
            <v>36692</v>
          </cell>
          <cell r="C372">
            <v>366</v>
          </cell>
          <cell r="D372">
            <v>1.995261684289984</v>
          </cell>
          <cell r="E372">
            <v>1.0073636527776515</v>
          </cell>
          <cell r="F372">
            <v>135.2975167707836</v>
          </cell>
          <cell r="G372">
            <v>18.239999999999998</v>
          </cell>
          <cell r="H372">
            <v>6.6475138062860317E-4</v>
          </cell>
          <cell r="J372">
            <v>1.8079000000000001</v>
          </cell>
          <cell r="K372">
            <v>0.98976240008759453</v>
          </cell>
          <cell r="L372">
            <v>149.57392239596226</v>
          </cell>
        </row>
        <row r="373">
          <cell r="B373">
            <v>36693</v>
          </cell>
          <cell r="C373">
            <v>367</v>
          </cell>
          <cell r="D373">
            <v>1.9962691418240475</v>
          </cell>
          <cell r="E373">
            <v>1.0080336374771628</v>
          </cell>
          <cell r="F373">
            <v>135.38750142118107</v>
          </cell>
          <cell r="G373">
            <v>18.25</v>
          </cell>
          <cell r="H373">
            <v>6.6508722809688336E-4</v>
          </cell>
          <cell r="J373">
            <v>1.8072999999999999</v>
          </cell>
          <cell r="K373">
            <v>0.9894339209460199</v>
          </cell>
          <cell r="L373">
            <v>149.52428228675399</v>
          </cell>
        </row>
        <row r="374">
          <cell r="B374">
            <v>36696</v>
          </cell>
          <cell r="C374">
            <v>368</v>
          </cell>
          <cell r="D374">
            <v>1.995261684289984</v>
          </cell>
          <cell r="E374">
            <v>1.0087044062919683</v>
          </cell>
          <cell r="F374">
            <v>135.47759138493967</v>
          </cell>
          <cell r="G374">
            <v>18.239999999999998</v>
          </cell>
          <cell r="H374">
            <v>6.6542304727468249E-4</v>
          </cell>
          <cell r="J374">
            <v>1.8029999999999999</v>
          </cell>
          <cell r="K374">
            <v>0.98707982043140252</v>
          </cell>
          <cell r="L374">
            <v>149.16852817076159</v>
          </cell>
        </row>
        <row r="375">
          <cell r="B375">
            <v>36697</v>
          </cell>
          <cell r="C375">
            <v>369</v>
          </cell>
          <cell r="D375">
            <v>1.9861907456131256</v>
          </cell>
          <cell r="E375">
            <v>1.0093752827095179</v>
          </cell>
          <cell r="F375">
            <v>135.5676958006631</v>
          </cell>
          <cell r="G375">
            <v>18.149999999999999</v>
          </cell>
          <cell r="H375">
            <v>6.6508722809666132E-4</v>
          </cell>
          <cell r="J375">
            <v>1.7990999999999999</v>
          </cell>
          <cell r="K375">
            <v>0.98494470601116824</v>
          </cell>
          <cell r="L375">
            <v>148.84586746090804</v>
          </cell>
        </row>
        <row r="376">
          <cell r="B376">
            <v>36698</v>
          </cell>
          <cell r="C376">
            <v>370</v>
          </cell>
          <cell r="D376">
            <v>1.9133744956407739</v>
          </cell>
          <cell r="E376">
            <v>1.0100435533246408</v>
          </cell>
          <cell r="F376">
            <v>135.65745023493091</v>
          </cell>
          <cell r="G376">
            <v>17.43</v>
          </cell>
          <cell r="H376">
            <v>6.6206358187104186E-4</v>
          </cell>
          <cell r="J376">
            <v>1.8121</v>
          </cell>
          <cell r="K376">
            <v>0.99206175407861608</v>
          </cell>
          <cell r="L376">
            <v>149.92140316041991</v>
          </cell>
        </row>
        <row r="377">
          <cell r="B377">
            <v>36700</v>
          </cell>
          <cell r="C377">
            <v>371</v>
          </cell>
          <cell r="D377">
            <v>1.9103308431214217</v>
          </cell>
          <cell r="E377">
            <v>1.0106877505161134</v>
          </cell>
          <cell r="F377">
            <v>135.74397140340531</v>
          </cell>
          <cell r="G377">
            <v>17.399999999999999</v>
          </cell>
          <cell r="H377">
            <v>6.3779149854692463E-4</v>
          </cell>
          <cell r="J377">
            <v>1.8203</v>
          </cell>
          <cell r="K377">
            <v>0.99655096901346774</v>
          </cell>
          <cell r="L377">
            <v>150.59981798626586</v>
          </cell>
        </row>
        <row r="378">
          <cell r="B378">
            <v>36703</v>
          </cell>
          <cell r="C378">
            <v>372</v>
          </cell>
          <cell r="D378">
            <v>1.9052563670001188</v>
          </cell>
          <cell r="E378">
            <v>1.011331333176972</v>
          </cell>
          <cell r="F378">
            <v>135.83041003518522</v>
          </cell>
          <cell r="G378">
            <v>17.350000000000001</v>
          </cell>
          <cell r="H378">
            <v>6.3677694770714055E-4</v>
          </cell>
          <cell r="J378">
            <v>1.8282</v>
          </cell>
          <cell r="K378">
            <v>1.0008759443775321</v>
          </cell>
          <cell r="L378">
            <v>151.2534127575077</v>
          </cell>
        </row>
        <row r="379">
          <cell r="B379">
            <v>36704</v>
          </cell>
          <cell r="C379">
            <v>373</v>
          </cell>
          <cell r="D379">
            <v>1.9022106475301559</v>
          </cell>
          <cell r="E379">
            <v>1.0119736149975327</v>
          </cell>
          <cell r="F379">
            <v>135.91667395303583</v>
          </cell>
          <cell r="G379">
            <v>17.32</v>
          </cell>
          <cell r="H379">
            <v>6.3508545566670627E-4</v>
          </cell>
          <cell r="J379">
            <v>1.8234999999999999</v>
          </cell>
          <cell r="K379">
            <v>0.99830285776853178</v>
          </cell>
          <cell r="L379">
            <v>150.86456523537649</v>
          </cell>
        </row>
        <row r="380">
          <cell r="B380">
            <v>36705</v>
          </cell>
          <cell r="C380">
            <v>374</v>
          </cell>
          <cell r="D380">
            <v>1.8890035595695576</v>
          </cell>
          <cell r="E380">
            <v>1.012615277326022</v>
          </cell>
          <cell r="F380">
            <v>136.00285466782594</v>
          </cell>
          <cell r="G380">
            <v>17.190000000000001</v>
          </cell>
          <cell r="H380">
            <v>6.340702158433853E-4</v>
          </cell>
          <cell r="J380">
            <v>1.8194999999999999</v>
          </cell>
          <cell r="K380">
            <v>0.99611299682470167</v>
          </cell>
          <cell r="L380">
            <v>150.53363117398823</v>
          </cell>
        </row>
        <row r="381">
          <cell r="B381">
            <v>36706</v>
          </cell>
          <cell r="C381">
            <v>375</v>
          </cell>
          <cell r="D381">
            <v>1.8930688325438094</v>
          </cell>
          <cell r="E381">
            <v>1.013252888613803</v>
          </cell>
          <cell r="F381">
            <v>136.08849129335232</v>
          </cell>
          <cell r="G381">
            <v>17.23</v>
          </cell>
          <cell r="H381">
            <v>6.2966785318985252E-4</v>
          </cell>
          <cell r="J381">
            <v>1.8171999999999999</v>
          </cell>
          <cell r="K381">
            <v>0.99485382678199941</v>
          </cell>
          <cell r="L381">
            <v>150.34334408868997</v>
          </cell>
        </row>
        <row r="382">
          <cell r="B382">
            <v>36707</v>
          </cell>
          <cell r="C382">
            <v>376</v>
          </cell>
          <cell r="D382">
            <v>1.8910363687865139</v>
          </cell>
          <cell r="E382">
            <v>1.0138922744347763</v>
          </cell>
          <cell r="F382">
            <v>136.17436625379742</v>
          </cell>
          <cell r="G382">
            <v>17.21</v>
          </cell>
          <cell r="H382">
            <v>6.3102294418104776E-4</v>
          </cell>
          <cell r="J382">
            <v>1.8</v>
          </cell>
          <cell r="K382">
            <v>0.98543742472353013</v>
          </cell>
          <cell r="L382">
            <v>148.92032762472044</v>
          </cell>
        </row>
        <row r="383">
          <cell r="B383">
            <v>36710</v>
          </cell>
          <cell r="C383">
            <v>377</v>
          </cell>
          <cell r="D383">
            <v>1.8869704047743685</v>
          </cell>
          <cell r="E383">
            <v>1.0006303454562622</v>
          </cell>
          <cell r="F383">
            <v>136.26020314682486</v>
          </cell>
          <cell r="G383">
            <v>17.170000000000002</v>
          </cell>
          <cell r="H383">
            <v>6.3034545626217131E-4</v>
          </cell>
          <cell r="J383">
            <v>1.8080000000000001</v>
          </cell>
          <cell r="K383">
            <v>1.0044444444444445</v>
          </cell>
          <cell r="L383">
            <v>149.582195747497</v>
          </cell>
        </row>
        <row r="384">
          <cell r="B384">
            <v>36711</v>
          </cell>
          <cell r="C384">
            <v>378</v>
          </cell>
          <cell r="D384">
            <v>1.8879870253767361</v>
          </cell>
          <cell r="E384">
            <v>1.0012597320722605</v>
          </cell>
          <cell r="F384">
            <v>136.34590947038706</v>
          </cell>
          <cell r="G384">
            <v>17.18</v>
          </cell>
          <cell r="H384">
            <v>6.289901349247895E-4</v>
          </cell>
          <cell r="J384">
            <v>1.8121</v>
          </cell>
          <cell r="K384">
            <v>1.0067222222222223</v>
          </cell>
          <cell r="L384">
            <v>149.92140316041997</v>
          </cell>
        </row>
        <row r="385">
          <cell r="B385">
            <v>36712</v>
          </cell>
          <cell r="C385">
            <v>379</v>
          </cell>
          <cell r="D385">
            <v>1.8900200073681539</v>
          </cell>
          <cell r="E385">
            <v>1.0018898538666554</v>
          </cell>
          <cell r="F385">
            <v>136.43171590640148</v>
          </cell>
          <cell r="G385">
            <v>17.2</v>
          </cell>
          <cell r="H385">
            <v>6.2932900845891204E-4</v>
          </cell>
          <cell r="J385">
            <v>1.8047</v>
          </cell>
          <cell r="K385">
            <v>1.0026111111111111</v>
          </cell>
          <cell r="L385">
            <v>149.30917514685166</v>
          </cell>
        </row>
        <row r="386">
          <cell r="B386">
            <v>36713</v>
          </cell>
          <cell r="C386">
            <v>380</v>
          </cell>
          <cell r="D386">
            <v>1.8920526438406249</v>
          </cell>
          <cell r="E386">
            <v>1.0025210511563178</v>
          </cell>
          <cell r="F386">
            <v>136.51766879730238</v>
          </cell>
          <cell r="G386">
            <v>17.22</v>
          </cell>
          <cell r="H386">
            <v>6.3000666912271797E-4</v>
          </cell>
          <cell r="J386">
            <v>1.7969999999999999</v>
          </cell>
          <cell r="K386">
            <v>0.99833333333333329</v>
          </cell>
          <cell r="L386">
            <v>148.67212707867924</v>
          </cell>
        </row>
        <row r="387">
          <cell r="B387">
            <v>36714</v>
          </cell>
          <cell r="C387">
            <v>381</v>
          </cell>
          <cell r="D387">
            <v>1.8890035595695576</v>
          </cell>
          <cell r="E387">
            <v>1.0031533253581</v>
          </cell>
          <cell r="F387">
            <v>136.60376833602868</v>
          </cell>
          <cell r="G387">
            <v>17.190000000000001</v>
          </cell>
          <cell r="H387">
            <v>6.3068421461354163E-4</v>
          </cell>
          <cell r="J387">
            <v>1.7971999999999999</v>
          </cell>
          <cell r="K387">
            <v>0.99844444444444436</v>
          </cell>
          <cell r="L387">
            <v>148.68867378174866</v>
          </cell>
        </row>
        <row r="388">
          <cell r="B388">
            <v>36717</v>
          </cell>
          <cell r="C388">
            <v>382</v>
          </cell>
          <cell r="D388">
            <v>1.8635642480695491</v>
          </cell>
          <cell r="E388">
            <v>1.0037849787588984</v>
          </cell>
          <cell r="F388">
            <v>136.68978333757445</v>
          </cell>
          <cell r="G388">
            <v>16.940000000000001</v>
          </cell>
          <cell r="H388">
            <v>6.2966785318963048E-4</v>
          </cell>
          <cell r="J388">
            <v>1.8006</v>
          </cell>
          <cell r="K388">
            <v>1.0003333333333333</v>
          </cell>
          <cell r="L388">
            <v>148.96996773392868</v>
          </cell>
        </row>
        <row r="389">
          <cell r="B389">
            <v>36718</v>
          </cell>
          <cell r="C389">
            <v>383</v>
          </cell>
          <cell r="D389">
            <v>1.8594889319449859</v>
          </cell>
          <cell r="E389">
            <v>1.0044085180252864</v>
          </cell>
          <cell r="F389">
            <v>136.77469340200921</v>
          </cell>
          <cell r="G389">
            <v>16.899999999999999</v>
          </cell>
          <cell r="H389">
            <v>6.2118808268984971E-4</v>
          </cell>
          <cell r="J389">
            <v>1.7971999999999999</v>
          </cell>
          <cell r="K389">
            <v>0.99844444444444436</v>
          </cell>
          <cell r="L389">
            <v>148.68867378174866</v>
          </cell>
        </row>
        <row r="390">
          <cell r="B390">
            <v>36719</v>
          </cell>
          <cell r="C390">
            <v>384</v>
          </cell>
          <cell r="D390">
            <v>1.8584698858941096</v>
          </cell>
          <cell r="E390">
            <v>1.0050310801994262</v>
          </cell>
          <cell r="F390">
            <v>136.85947041152627</v>
          </cell>
          <cell r="G390">
            <v>16.89</v>
          </cell>
          <cell r="H390">
            <v>6.1982964398166196E-4</v>
          </cell>
          <cell r="J390">
            <v>1.8033999999999999</v>
          </cell>
          <cell r="K390">
            <v>1.0018888888888888</v>
          </cell>
          <cell r="L390">
            <v>149.20162157690046</v>
          </cell>
        </row>
        <row r="391">
          <cell r="B391">
            <v>36720</v>
          </cell>
          <cell r="C391">
            <v>385</v>
          </cell>
          <cell r="D391">
            <v>1.857450753005363</v>
          </cell>
          <cell r="E391">
            <v>1.0056536868650723</v>
          </cell>
          <cell r="F391">
            <v>136.94425347964602</v>
          </cell>
          <cell r="G391">
            <v>16.88</v>
          </cell>
          <cell r="H391">
            <v>6.1948996196470318E-4</v>
          </cell>
          <cell r="J391">
            <v>1.8104</v>
          </cell>
          <cell r="K391">
            <v>1.0057777777777777</v>
          </cell>
          <cell r="L391">
            <v>149.78075618432993</v>
          </cell>
        </row>
        <row r="392">
          <cell r="B392">
            <v>36721</v>
          </cell>
          <cell r="C392">
            <v>386</v>
          </cell>
          <cell r="D392">
            <v>1.8584698858941096</v>
          </cell>
          <cell r="E392">
            <v>1.0062763375977157</v>
          </cell>
          <cell r="F392">
            <v>137.02904254856119</v>
          </cell>
          <cell r="G392">
            <v>16.89</v>
          </cell>
          <cell r="H392">
            <v>6.1915025100178767E-4</v>
          </cell>
          <cell r="J392">
            <v>1.8106</v>
          </cell>
          <cell r="K392">
            <v>1.0058888888888888</v>
          </cell>
          <cell r="L392">
            <v>149.79730288739935</v>
          </cell>
        </row>
        <row r="393">
          <cell r="B393">
            <v>36724</v>
          </cell>
          <cell r="C393">
            <v>387</v>
          </cell>
          <cell r="D393">
            <v>1.8584698858941096</v>
          </cell>
          <cell r="E393">
            <v>1.0068997156878201</v>
          </cell>
          <cell r="F393">
            <v>137.11393066491763</v>
          </cell>
          <cell r="G393">
            <v>16.89</v>
          </cell>
          <cell r="H393">
            <v>6.1948996196448114E-4</v>
          </cell>
          <cell r="J393">
            <v>1.7979000000000001</v>
          </cell>
          <cell r="K393">
            <v>0.99883333333333335</v>
          </cell>
          <cell r="L393">
            <v>148.74658724249161</v>
          </cell>
        </row>
        <row r="394">
          <cell r="B394">
            <v>36725</v>
          </cell>
          <cell r="C394">
            <v>388</v>
          </cell>
          <cell r="D394">
            <v>1.857450753005363</v>
          </cell>
          <cell r="E394">
            <v>1.0075234799543937</v>
          </cell>
          <cell r="F394">
            <v>137.19887136861004</v>
          </cell>
          <cell r="G394">
            <v>16.88</v>
          </cell>
          <cell r="H394">
            <v>6.1948996196448114E-4</v>
          </cell>
          <cell r="J394">
            <v>1.7969999999999999</v>
          </cell>
          <cell r="K394">
            <v>0.99833333333333329</v>
          </cell>
          <cell r="L394">
            <v>148.67212707867924</v>
          </cell>
        </row>
        <row r="395">
          <cell r="B395">
            <v>36726</v>
          </cell>
          <cell r="C395">
            <v>389</v>
          </cell>
          <cell r="D395">
            <v>1.8523537854773231</v>
          </cell>
          <cell r="E395">
            <v>1.0081472883698976</v>
          </cell>
          <cell r="F395">
            <v>137.28381808425507</v>
          </cell>
          <cell r="G395">
            <v>16.829999999999998</v>
          </cell>
          <cell r="H395">
            <v>6.1915025100178767E-4</v>
          </cell>
          <cell r="J395">
            <v>1.8044</v>
          </cell>
          <cell r="K395">
            <v>1.0024444444444445</v>
          </cell>
          <cell r="L395">
            <v>149.28435509224752</v>
          </cell>
        </row>
        <row r="396">
          <cell r="B396">
            <v>36727</v>
          </cell>
          <cell r="C396">
            <v>390</v>
          </cell>
          <cell r="D396">
            <v>1.817636678486112</v>
          </cell>
          <cell r="E396">
            <v>1.0087697701852079</v>
          </cell>
          <cell r="F396">
            <v>137.36858415095944</v>
          </cell>
          <cell r="G396">
            <v>16.489999999999998</v>
          </cell>
          <cell r="H396">
            <v>6.1745126182555232E-4</v>
          </cell>
          <cell r="J396">
            <v>1.8015000000000001</v>
          </cell>
          <cell r="K396">
            <v>1.0008333333333335</v>
          </cell>
          <cell r="L396">
            <v>149.04442789774103</v>
          </cell>
        </row>
        <row r="397">
          <cell r="B397">
            <v>36728</v>
          </cell>
          <cell r="C397">
            <v>391</v>
          </cell>
          <cell r="D397">
            <v>1.8155913538431268</v>
          </cell>
          <cell r="E397">
            <v>1.0093809624966867</v>
          </cell>
          <cell r="F397">
            <v>137.45181287663428</v>
          </cell>
          <cell r="G397">
            <v>16.47</v>
          </cell>
          <cell r="H397">
            <v>6.05878892828704E-4</v>
          </cell>
          <cell r="J397">
            <v>1.7921</v>
          </cell>
          <cell r="K397">
            <v>0.99561111111111111</v>
          </cell>
          <cell r="L397">
            <v>148.2667328534786</v>
          </cell>
        </row>
        <row r="398">
          <cell r="B398">
            <v>36731</v>
          </cell>
          <cell r="C398">
            <v>392</v>
          </cell>
          <cell r="D398">
            <v>1.8135456793453297</v>
          </cell>
          <cell r="E398">
            <v>1.009991836946101</v>
          </cell>
          <cell r="F398">
            <v>137.5349983176439</v>
          </cell>
          <cell r="G398">
            <v>16.45</v>
          </cell>
          <cell r="H398">
            <v>6.0519711794770892E-4</v>
          </cell>
          <cell r="J398">
            <v>1.7956000000000001</v>
          </cell>
          <cell r="K398">
            <v>0.99755555555555564</v>
          </cell>
          <cell r="L398">
            <v>148.55630015719336</v>
          </cell>
        </row>
        <row r="399">
          <cell r="B399">
            <v>36732</v>
          </cell>
          <cell r="C399">
            <v>393</v>
          </cell>
          <cell r="D399">
            <v>1.8114996548714846</v>
          </cell>
          <cell r="E399">
            <v>1.0106023923901235</v>
          </cell>
          <cell r="F399">
            <v>137.61814031829647</v>
          </cell>
          <cell r="G399">
            <v>16.43</v>
          </cell>
          <cell r="H399">
            <v>6.0451522644844324E-4</v>
          </cell>
          <cell r="J399">
            <v>1.7898000000000001</v>
          </cell>
          <cell r="K399">
            <v>0.9943333333333334</v>
          </cell>
          <cell r="L399">
            <v>148.07644576818038</v>
          </cell>
        </row>
        <row r="400">
          <cell r="B400">
            <v>36733</v>
          </cell>
          <cell r="C400">
            <v>394</v>
          </cell>
          <cell r="D400">
            <v>1.8104765113569066</v>
          </cell>
          <cell r="E400">
            <v>1.0112126276851325</v>
          </cell>
          <cell r="F400">
            <v>137.70123872286004</v>
          </cell>
          <cell r="G400">
            <v>16.420000000000002</v>
          </cell>
          <cell r="H400">
            <v>6.038332182907169E-4</v>
          </cell>
          <cell r="J400">
            <v>1.7925</v>
          </cell>
          <cell r="K400">
            <v>0.99583333333333335</v>
          </cell>
          <cell r="L400">
            <v>148.29982625961745</v>
          </cell>
        </row>
        <row r="401">
          <cell r="B401">
            <v>36734</v>
          </cell>
          <cell r="C401">
            <v>395</v>
          </cell>
          <cell r="D401">
            <v>1.8094532803030194</v>
          </cell>
          <cell r="E401">
            <v>1.011822886588603</v>
          </cell>
          <cell r="F401">
            <v>137.78434034229085</v>
          </cell>
          <cell r="G401">
            <v>16.41</v>
          </cell>
          <cell r="H401">
            <v>6.0349217045208015E-4</v>
          </cell>
          <cell r="J401">
            <v>1.7847</v>
          </cell>
          <cell r="K401">
            <v>0.99150000000000005</v>
          </cell>
          <cell r="L401">
            <v>147.65450483991032</v>
          </cell>
        </row>
        <row r="402">
          <cell r="B402">
            <v>36735</v>
          </cell>
          <cell r="C402">
            <v>396</v>
          </cell>
          <cell r="D402">
            <v>1.8084299616951682</v>
          </cell>
          <cell r="E402">
            <v>1.0124331686690107</v>
          </cell>
          <cell r="F402">
            <v>137.86744511782641</v>
          </cell>
          <cell r="G402">
            <v>16.399999999999999</v>
          </cell>
          <cell r="H402">
            <v>6.0315109343411777E-4</v>
          </cell>
          <cell r="J402">
            <v>1.7827999999999999</v>
          </cell>
          <cell r="K402">
            <v>0.99044444444444457</v>
          </cell>
          <cell r="L402">
            <v>147.49731116075088</v>
          </cell>
        </row>
        <row r="403">
          <cell r="B403">
            <v>36738</v>
          </cell>
          <cell r="C403">
            <v>397</v>
          </cell>
          <cell r="D403">
            <v>1.8063830617582877</v>
          </cell>
          <cell r="E403">
            <v>1.0130434734944891</v>
          </cell>
          <cell r="F403">
            <v>137.95055299065757</v>
          </cell>
          <cell r="G403">
            <v>16.38</v>
          </cell>
          <cell r="H403">
            <v>6.0280998723194479E-4</v>
          </cell>
          <cell r="J403">
            <v>1.7747999999999999</v>
          </cell>
          <cell r="K403">
            <v>0.9860000000000001</v>
          </cell>
          <cell r="L403">
            <v>146.83544303797436</v>
          </cell>
        </row>
        <row r="404">
          <cell r="B404">
            <v>36739</v>
          </cell>
          <cell r="C404">
            <v>398</v>
          </cell>
          <cell r="D404">
            <v>1.8053594803992823</v>
          </cell>
          <cell r="E404">
            <v>1.0006021276872528</v>
          </cell>
          <cell r="F404">
            <v>138.03361683808507</v>
          </cell>
          <cell r="G404">
            <v>16.37</v>
          </cell>
          <cell r="H404">
            <v>6.0212768725276256E-4</v>
          </cell>
          <cell r="J404">
            <v>1.788</v>
          </cell>
          <cell r="K404">
            <v>1.0074374577417173</v>
          </cell>
          <cell r="L404">
            <v>147.92752544055563</v>
          </cell>
        </row>
        <row r="405">
          <cell r="B405">
            <v>36740</v>
          </cell>
          <cell r="C405">
            <v>399</v>
          </cell>
          <cell r="D405">
            <v>1.8053594803992823</v>
          </cell>
          <cell r="E405">
            <v>1.0012042765330287</v>
          </cell>
          <cell r="F405">
            <v>138.11668360434254</v>
          </cell>
          <cell r="G405">
            <v>16.37</v>
          </cell>
          <cell r="H405">
            <v>6.0178649346642743E-4</v>
          </cell>
          <cell r="J405">
            <v>1.7916000000000001</v>
          </cell>
          <cell r="K405">
            <v>1.0094658553076403</v>
          </cell>
          <cell r="L405">
            <v>148.22536609580507</v>
          </cell>
        </row>
        <row r="406">
          <cell r="B406">
            <v>36741</v>
          </cell>
          <cell r="C406">
            <v>400</v>
          </cell>
          <cell r="D406">
            <v>1.8053594803992823</v>
          </cell>
          <cell r="E406">
            <v>1.001806787743847</v>
          </cell>
          <cell r="F406">
            <v>138.199800359058</v>
          </cell>
          <cell r="G406">
            <v>16.37</v>
          </cell>
          <cell r="H406">
            <v>6.0178649346642743E-4</v>
          </cell>
          <cell r="J406">
            <v>1.8079000000000001</v>
          </cell>
          <cell r="K406">
            <v>1.0186499887311247</v>
          </cell>
          <cell r="L406">
            <v>149.57392239596226</v>
          </cell>
        </row>
        <row r="407">
          <cell r="B407">
            <v>36742</v>
          </cell>
          <cell r="C407">
            <v>401</v>
          </cell>
          <cell r="D407">
            <v>1.8053594803992823</v>
          </cell>
          <cell r="E407">
            <v>1.0024096615377742</v>
          </cell>
          <cell r="F407">
            <v>138.28296713231384</v>
          </cell>
          <cell r="G407">
            <v>16.37</v>
          </cell>
          <cell r="H407">
            <v>6.0178649346642743E-4</v>
          </cell>
          <cell r="J407">
            <v>1.7919</v>
          </cell>
          <cell r="K407">
            <v>1.0096348884381339</v>
          </cell>
          <cell r="L407">
            <v>148.25018615040918</v>
          </cell>
        </row>
        <row r="408">
          <cell r="B408">
            <v>36745</v>
          </cell>
          <cell r="C408">
            <v>402</v>
          </cell>
          <cell r="D408">
            <v>1.8063830617582877</v>
          </cell>
          <cell r="E408">
            <v>1.003012898133008</v>
          </cell>
          <cell r="F408">
            <v>138.36618395421053</v>
          </cell>
          <cell r="G408">
            <v>16.38</v>
          </cell>
          <cell r="H408">
            <v>6.0178649346642743E-4</v>
          </cell>
          <cell r="J408">
            <v>1.7961</v>
          </cell>
          <cell r="K408">
            <v>1.012001352265044</v>
          </cell>
          <cell r="L408">
            <v>148.59766691486683</v>
          </cell>
        </row>
        <row r="409">
          <cell r="B409">
            <v>36746</v>
          </cell>
          <cell r="C409">
            <v>403</v>
          </cell>
          <cell r="D409">
            <v>1.807406555518698</v>
          </cell>
          <cell r="E409">
            <v>1.0036168399696455</v>
          </cell>
          <cell r="F409">
            <v>138.44949806454886</v>
          </cell>
          <cell r="G409">
            <v>16.39</v>
          </cell>
          <cell r="H409">
            <v>6.0212768725276256E-4</v>
          </cell>
          <cell r="J409">
            <v>1.7991999999999999</v>
          </cell>
          <cell r="K409">
            <v>1.0137480279468107</v>
          </cell>
          <cell r="L409">
            <v>148.85414081244272</v>
          </cell>
        </row>
        <row r="410">
          <cell r="B410">
            <v>36747</v>
          </cell>
          <cell r="C410">
            <v>404</v>
          </cell>
          <cell r="D410">
            <v>1.8063830617582877</v>
          </cell>
          <cell r="E410">
            <v>1.0042214878549087</v>
          </cell>
          <cell r="F410">
            <v>138.53290957468556</v>
          </cell>
          <cell r="G410">
            <v>16.38</v>
          </cell>
          <cell r="H410">
            <v>6.02468851839566E-4</v>
          </cell>
          <cell r="J410">
            <v>1.7949999999999999</v>
          </cell>
          <cell r="K410">
            <v>1.0113815641199007</v>
          </cell>
          <cell r="L410">
            <v>148.50666004798504</v>
          </cell>
        </row>
        <row r="411">
          <cell r="B411">
            <v>36748</v>
          </cell>
          <cell r="C411">
            <v>405</v>
          </cell>
          <cell r="D411">
            <v>1.8084299616951682</v>
          </cell>
          <cell r="E411">
            <v>1.0048261574168804</v>
          </cell>
          <cell r="F411">
            <v>138.61632407513616</v>
          </cell>
          <cell r="G411">
            <v>16.399999999999999</v>
          </cell>
          <cell r="H411">
            <v>6.0212768725276256E-4</v>
          </cell>
          <cell r="J411">
            <v>1.7962</v>
          </cell>
          <cell r="K411">
            <v>1.0120576966418748</v>
          </cell>
          <cell r="L411">
            <v>148.60594026640152</v>
          </cell>
        </row>
        <row r="412">
          <cell r="B412">
            <v>36749</v>
          </cell>
          <cell r="C412">
            <v>406</v>
          </cell>
          <cell r="D412">
            <v>1.8114996548714846</v>
          </cell>
          <cell r="E412">
            <v>1.005431876660003</v>
          </cell>
          <cell r="F412">
            <v>138.69988337968201</v>
          </cell>
          <cell r="G412">
            <v>16.43</v>
          </cell>
          <cell r="H412">
            <v>6.0280998723172274E-4</v>
          </cell>
          <cell r="J412">
            <v>1.7959000000000001</v>
          </cell>
          <cell r="K412">
            <v>1.0118886635113813</v>
          </cell>
          <cell r="L412">
            <v>148.58112021179741</v>
          </cell>
        </row>
        <row r="413">
          <cell r="B413">
            <v>36752</v>
          </cell>
          <cell r="C413">
            <v>407</v>
          </cell>
          <cell r="D413">
            <v>1.8135456793453297</v>
          </cell>
          <cell r="E413">
            <v>1.0060389898258584</v>
          </cell>
          <cell r="F413">
            <v>138.78363497663966</v>
          </cell>
          <cell r="G413">
            <v>16.45</v>
          </cell>
          <cell r="H413">
            <v>6.0383321829049486E-4</v>
          </cell>
          <cell r="J413">
            <v>1.8021</v>
          </cell>
          <cell r="K413">
            <v>1.0153820148749151</v>
          </cell>
          <cell r="L413">
            <v>149.09406800694921</v>
          </cell>
        </row>
        <row r="414">
          <cell r="B414">
            <v>36753</v>
          </cell>
          <cell r="C414">
            <v>408</v>
          </cell>
          <cell r="D414">
            <v>1.8094532803030194</v>
          </cell>
          <cell r="E414">
            <v>1.006647155713609</v>
          </cell>
          <cell r="F414">
            <v>138.8675317971649</v>
          </cell>
          <cell r="G414">
            <v>16.41</v>
          </cell>
          <cell r="H414">
            <v>6.0451522644844324E-4</v>
          </cell>
          <cell r="J414">
            <v>1.8056000000000001</v>
          </cell>
          <cell r="K414">
            <v>1.017354068064007</v>
          </cell>
          <cell r="L414">
            <v>149.38363531066398</v>
          </cell>
        </row>
        <row r="415">
          <cell r="B415">
            <v>36754</v>
          </cell>
          <cell r="C415">
            <v>409</v>
          </cell>
          <cell r="D415">
            <v>1.807406555518698</v>
          </cell>
          <cell r="E415">
            <v>1.0072543160462801</v>
          </cell>
          <cell r="F415">
            <v>138.95128990081088</v>
          </cell>
          <cell r="G415">
            <v>16.39</v>
          </cell>
          <cell r="H415">
            <v>6.0315109343433981E-4</v>
          </cell>
          <cell r="J415">
            <v>1.8069999999999999</v>
          </cell>
          <cell r="K415">
            <v>1.0181428893396436</v>
          </cell>
          <cell r="L415">
            <v>149.49946223214985</v>
          </cell>
        </row>
        <row r="416">
          <cell r="B416">
            <v>36755</v>
          </cell>
          <cell r="C416">
            <v>410</v>
          </cell>
          <cell r="D416">
            <v>1.8094532803030194</v>
          </cell>
          <cell r="E416">
            <v>1.0078611553975789</v>
          </cell>
          <cell r="F416">
            <v>139.03500372489904</v>
          </cell>
          <cell r="G416">
            <v>16.41</v>
          </cell>
          <cell r="H416">
            <v>6.02468851839566E-4</v>
          </cell>
          <cell r="J416">
            <v>1.8096000000000001</v>
          </cell>
          <cell r="K416">
            <v>1.0196078431372546</v>
          </cell>
          <cell r="L416">
            <v>149.71456937205224</v>
          </cell>
        </row>
        <row r="417">
          <cell r="B417">
            <v>36756</v>
          </cell>
          <cell r="C417">
            <v>411</v>
          </cell>
          <cell r="D417">
            <v>1.8104765113569066</v>
          </cell>
          <cell r="E417">
            <v>1.008469047955487</v>
          </cell>
          <cell r="F417">
            <v>139.11886283942135</v>
          </cell>
          <cell r="G417">
            <v>16.420000000000002</v>
          </cell>
          <cell r="H417">
            <v>6.0315109343433981E-4</v>
          </cell>
          <cell r="J417">
            <v>1.8173999999999999</v>
          </cell>
          <cell r="K417">
            <v>1.0240027045300875</v>
          </cell>
          <cell r="L417">
            <v>150.35989079175934</v>
          </cell>
        </row>
        <row r="418">
          <cell r="B418">
            <v>36759</v>
          </cell>
          <cell r="C418">
            <v>412</v>
          </cell>
          <cell r="D418">
            <v>1.8166140598889768</v>
          </cell>
          <cell r="E418">
            <v>1.0090776511300716</v>
          </cell>
          <cell r="F418">
            <v>139.20281998390718</v>
          </cell>
          <cell r="G418">
            <v>16.48</v>
          </cell>
          <cell r="H418">
            <v>6.0349217045230219E-4</v>
          </cell>
          <cell r="J418">
            <v>1.8199000000000001</v>
          </cell>
          <cell r="K418">
            <v>1.0254113139508674</v>
          </cell>
          <cell r="L418">
            <v>150.56672458012702</v>
          </cell>
        </row>
        <row r="419">
          <cell r="B419">
            <v>36760</v>
          </cell>
          <cell r="C419">
            <v>413</v>
          </cell>
          <cell r="D419">
            <v>1.8094532803030194</v>
          </cell>
          <cell r="E419">
            <v>1.0096886860129259</v>
          </cell>
          <cell r="F419">
            <v>139.2871125838935</v>
          </cell>
          <cell r="G419">
            <v>16.41</v>
          </cell>
          <cell r="H419">
            <v>6.0553801996299228E-4</v>
          </cell>
          <cell r="J419">
            <v>1.8169</v>
          </cell>
          <cell r="K419">
            <v>1.0237209826459315</v>
          </cell>
          <cell r="L419">
            <v>150.31852403408578</v>
          </cell>
        </row>
        <row r="420">
          <cell r="B420">
            <v>36761</v>
          </cell>
          <cell r="C420">
            <v>414</v>
          </cell>
          <cell r="D420">
            <v>1.7828184975230421</v>
          </cell>
          <cell r="E420">
            <v>1.0102976808479229</v>
          </cell>
          <cell r="F420">
            <v>139.37112375814979</v>
          </cell>
          <cell r="G420">
            <v>16.149999999999999</v>
          </cell>
          <cell r="H420">
            <v>6.0315109343433981E-4</v>
          </cell>
          <cell r="J420">
            <v>1.8186</v>
          </cell>
          <cell r="K420">
            <v>1.0246788370520619</v>
          </cell>
          <cell r="L420">
            <v>150.45917101017579</v>
          </cell>
        </row>
        <row r="421">
          <cell r="B421">
            <v>36762</v>
          </cell>
          <cell r="C421">
            <v>415</v>
          </cell>
          <cell r="D421">
            <v>1.8063830617582877</v>
          </cell>
          <cell r="E421">
            <v>1.0108980733123965</v>
          </cell>
          <cell r="F421">
            <v>139.45394823063535</v>
          </cell>
          <cell r="G421">
            <v>16.38</v>
          </cell>
          <cell r="H421">
            <v>5.9427283250790275E-4</v>
          </cell>
          <cell r="J421">
            <v>1.8204</v>
          </cell>
          <cell r="K421">
            <v>1.0256930358350231</v>
          </cell>
          <cell r="L421">
            <v>150.60809133780049</v>
          </cell>
        </row>
        <row r="422">
          <cell r="B422">
            <v>36763</v>
          </cell>
          <cell r="C422">
            <v>416</v>
          </cell>
          <cell r="D422">
            <v>1.8094532803030194</v>
          </cell>
          <cell r="E422">
            <v>1.0115067630313284</v>
          </cell>
          <cell r="F422">
            <v>139.53791731396171</v>
          </cell>
          <cell r="G422">
            <v>16.41</v>
          </cell>
          <cell r="H422">
            <v>6.0212768725276256E-4</v>
          </cell>
          <cell r="J422">
            <v>1.8212999999999999</v>
          </cell>
          <cell r="K422">
            <v>1.0262001352265038</v>
          </cell>
          <cell r="L422">
            <v>150.68255150161283</v>
          </cell>
        </row>
        <row r="423">
          <cell r="B423">
            <v>36766</v>
          </cell>
          <cell r="C423">
            <v>417</v>
          </cell>
          <cell r="D423">
            <v>1.8104765113569066</v>
          </cell>
          <cell r="E423">
            <v>1.0121168544414669</v>
          </cell>
          <cell r="F423">
            <v>139.6220797613652</v>
          </cell>
          <cell r="G423">
            <v>16.420000000000002</v>
          </cell>
          <cell r="H423">
            <v>6.0315109343456186E-4</v>
          </cell>
          <cell r="J423">
            <v>1.8277000000000001</v>
          </cell>
          <cell r="K423">
            <v>1.0298061753437</v>
          </cell>
          <cell r="L423">
            <v>151.21204599983406</v>
          </cell>
        </row>
        <row r="424">
          <cell r="B424">
            <v>36767</v>
          </cell>
          <cell r="C424">
            <v>418</v>
          </cell>
          <cell r="D424">
            <v>1.8114996548714846</v>
          </cell>
          <cell r="E424">
            <v>1.0127276590387051</v>
          </cell>
          <cell r="F424">
            <v>139.70634059332346</v>
          </cell>
          <cell r="G424">
            <v>16.43</v>
          </cell>
          <cell r="H424">
            <v>6.0349217045230219E-4</v>
          </cell>
          <cell r="J424">
            <v>1.8349</v>
          </cell>
          <cell r="K424">
            <v>1.0338629704755458</v>
          </cell>
          <cell r="L424">
            <v>151.80772731033295</v>
          </cell>
        </row>
        <row r="425">
          <cell r="B425">
            <v>36768</v>
          </cell>
          <cell r="C425">
            <v>419</v>
          </cell>
          <cell r="D425">
            <v>1.8094532803030194</v>
          </cell>
          <cell r="E425">
            <v>1.0133391776403142</v>
          </cell>
          <cell r="F425">
            <v>139.79069992257951</v>
          </cell>
          <cell r="G425">
            <v>16.41</v>
          </cell>
          <cell r="H425">
            <v>6.0383321829049486E-4</v>
          </cell>
          <cell r="J425">
            <v>1.8259000000000001</v>
          </cell>
          <cell r="K425">
            <v>1.0287919765607385</v>
          </cell>
          <cell r="L425">
            <v>151.06312567220934</v>
          </cell>
        </row>
        <row r="426">
          <cell r="B426">
            <v>36769</v>
          </cell>
          <cell r="C426">
            <v>420</v>
          </cell>
          <cell r="D426">
            <v>1.8053594803992823</v>
          </cell>
          <cell r="E426">
            <v>1.0139503742733278</v>
          </cell>
          <cell r="F426">
            <v>139.87501483608975</v>
          </cell>
          <cell r="G426">
            <v>16.37</v>
          </cell>
          <cell r="H426">
            <v>6.0315109343433981E-4</v>
          </cell>
          <cell r="J426">
            <v>1.8233999999999999</v>
          </cell>
          <cell r="K426">
            <v>1.0273833671399586</v>
          </cell>
          <cell r="L426">
            <v>150.85629188384166</v>
          </cell>
        </row>
        <row r="427">
          <cell r="B427">
            <v>36770</v>
          </cell>
          <cell r="C427">
            <v>421</v>
          </cell>
          <cell r="D427">
            <v>1.8043358114263608</v>
          </cell>
          <cell r="E427">
            <v>1.0006017864934664</v>
          </cell>
          <cell r="F427">
            <v>139.95918973079154</v>
          </cell>
          <cell r="G427">
            <v>16.36</v>
          </cell>
          <cell r="H427">
            <v>6.0178649346642743E-4</v>
          </cell>
          <cell r="J427">
            <v>1.8218000000000001</v>
          </cell>
          <cell r="K427">
            <v>0.99912251837227173</v>
          </cell>
          <cell r="L427">
            <v>150.72391825928639</v>
          </cell>
        </row>
        <row r="428">
          <cell r="B428">
            <v>36773</v>
          </cell>
          <cell r="C428">
            <v>422</v>
          </cell>
          <cell r="D428">
            <v>1.807406555518698</v>
          </cell>
          <cell r="E428">
            <v>1.0012035937055823</v>
          </cell>
          <cell r="F428">
            <v>140.04336752351469</v>
          </cell>
          <cell r="G428">
            <v>16.39</v>
          </cell>
          <cell r="H428">
            <v>6.014452704754536E-4</v>
          </cell>
          <cell r="J428">
            <v>1.8254999999999999</v>
          </cell>
          <cell r="K428">
            <v>1.0011516946363936</v>
          </cell>
          <cell r="L428">
            <v>151.03003226607052</v>
          </cell>
        </row>
        <row r="429">
          <cell r="B429">
            <v>36774</v>
          </cell>
          <cell r="C429">
            <v>423</v>
          </cell>
          <cell r="D429">
            <v>1.8084299616951682</v>
          </cell>
          <cell r="E429">
            <v>1.0018067876851398</v>
          </cell>
          <cell r="F429">
            <v>140.12773929035433</v>
          </cell>
          <cell r="G429">
            <v>16.399999999999999</v>
          </cell>
          <cell r="H429">
            <v>6.02468851839566E-4</v>
          </cell>
          <cell r="J429">
            <v>1.8293999999999999</v>
          </cell>
          <cell r="K429">
            <v>1.0032905561039815</v>
          </cell>
          <cell r="L429">
            <v>151.35269297592407</v>
          </cell>
        </row>
        <row r="430">
          <cell r="B430">
            <v>36775</v>
          </cell>
          <cell r="C430">
            <v>424</v>
          </cell>
          <cell r="D430">
            <v>1.8125227108627406</v>
          </cell>
          <cell r="E430">
            <v>1.0024106868220328</v>
          </cell>
          <cell r="F430">
            <v>140.21220969108674</v>
          </cell>
          <cell r="G430">
            <v>16.440000000000001</v>
          </cell>
          <cell r="H430">
            <v>6.0280998723172274E-4</v>
          </cell>
          <cell r="J430">
            <v>1.8207</v>
          </cell>
          <cell r="K430">
            <v>0.99851924975320827</v>
          </cell>
          <cell r="L430">
            <v>150.63291139240459</v>
          </cell>
        </row>
        <row r="431">
          <cell r="B431">
            <v>36777</v>
          </cell>
          <cell r="C431">
            <v>425</v>
          </cell>
          <cell r="D431">
            <v>1.8135456793453297</v>
          </cell>
          <cell r="E431">
            <v>1.0030163175338582</v>
          </cell>
          <cell r="F431">
            <v>140.29692229588849</v>
          </cell>
          <cell r="G431">
            <v>16.45</v>
          </cell>
          <cell r="H431">
            <v>6.0417423695402483E-4</v>
          </cell>
          <cell r="J431">
            <v>1.8224</v>
          </cell>
          <cell r="K431">
            <v>0.99945157398266971</v>
          </cell>
          <cell r="L431">
            <v>150.77355836849461</v>
          </cell>
        </row>
        <row r="432">
          <cell r="B432">
            <v>36780</v>
          </cell>
          <cell r="C432">
            <v>426</v>
          </cell>
          <cell r="D432">
            <v>1.817636678486112</v>
          </cell>
          <cell r="E432">
            <v>1.0036226561701838</v>
          </cell>
          <cell r="F432">
            <v>140.38173392164023</v>
          </cell>
          <cell r="G432">
            <v>16.489999999999998</v>
          </cell>
          <cell r="H432">
            <v>6.0451522644866529E-4</v>
          </cell>
          <cell r="J432">
            <v>1.8199000000000001</v>
          </cell>
          <cell r="K432">
            <v>0.99808050893934408</v>
          </cell>
          <cell r="L432">
            <v>150.56672458012693</v>
          </cell>
        </row>
        <row r="433">
          <cell r="B433">
            <v>36781</v>
          </cell>
          <cell r="C433">
            <v>427</v>
          </cell>
          <cell r="D433">
            <v>1.817636678486112</v>
          </cell>
          <cell r="E433">
            <v>1.0042307299539219</v>
          </cell>
          <cell r="F433">
            <v>140.46678825116203</v>
          </cell>
          <cell r="G433">
            <v>16.489999999999998</v>
          </cell>
          <cell r="H433">
            <v>6.0587889282848195E-4</v>
          </cell>
          <cell r="J433">
            <v>1.8279000000000001</v>
          </cell>
          <cell r="K433">
            <v>1.0024679170779862</v>
          </cell>
          <cell r="L433">
            <v>151.22859270290348</v>
          </cell>
        </row>
        <row r="434">
          <cell r="B434">
            <v>36782</v>
          </cell>
          <cell r="C434">
            <v>428</v>
          </cell>
          <cell r="D434">
            <v>1.8186592096491871</v>
          </cell>
          <cell r="E434">
            <v>1.0048391721567309</v>
          </cell>
          <cell r="F434">
            <v>140.55189411330684</v>
          </cell>
          <cell r="G434">
            <v>16.5</v>
          </cell>
          <cell r="H434">
            <v>6.05878892828704E-4</v>
          </cell>
          <cell r="J434">
            <v>1.8320000000000001</v>
          </cell>
          <cell r="K434">
            <v>1.0047164637490404</v>
          </cell>
          <cell r="L434">
            <v>151.56780011582646</v>
          </cell>
        </row>
        <row r="435">
          <cell r="B435">
            <v>36783</v>
          </cell>
          <cell r="C435">
            <v>429</v>
          </cell>
          <cell r="D435">
            <v>1.8196816533935234</v>
          </cell>
          <cell r="E435">
            <v>1.0054483254949507</v>
          </cell>
          <cell r="F435">
            <v>140.63709944552778</v>
          </cell>
          <cell r="G435">
            <v>16.510000000000002</v>
          </cell>
          <cell r="H435">
            <v>6.0621973654972905E-4</v>
          </cell>
          <cell r="J435">
            <v>1.8317000000000001</v>
          </cell>
          <cell r="K435">
            <v>1.0045519359438415</v>
          </cell>
          <cell r="L435">
            <v>151.54298006122235</v>
          </cell>
        </row>
        <row r="436">
          <cell r="B436">
            <v>36784</v>
          </cell>
          <cell r="C436">
            <v>430</v>
          </cell>
          <cell r="D436">
            <v>1.8186592096491871</v>
          </cell>
          <cell r="E436">
            <v>1.0060581907853967</v>
          </cell>
          <cell r="F436">
            <v>140.72240436207693</v>
          </cell>
          <cell r="G436">
            <v>16.5</v>
          </cell>
          <cell r="H436">
            <v>6.0656055113095242E-4</v>
          </cell>
          <cell r="J436">
            <v>1.8438000000000001</v>
          </cell>
          <cell r="K436">
            <v>1.0111878907535377</v>
          </cell>
          <cell r="L436">
            <v>152.54405559692185</v>
          </cell>
        </row>
        <row r="437">
          <cell r="B437">
            <v>36787</v>
          </cell>
          <cell r="C437">
            <v>431</v>
          </cell>
          <cell r="D437">
            <v>1.8186592096491871</v>
          </cell>
          <cell r="E437">
            <v>1.0066680831167683</v>
          </cell>
          <cell r="F437">
            <v>140.80771306097594</v>
          </cell>
          <cell r="G437">
            <v>16.5</v>
          </cell>
          <cell r="H437">
            <v>6.0621973654972905E-4</v>
          </cell>
          <cell r="J437">
            <v>1.8557999999999999</v>
          </cell>
          <cell r="K437">
            <v>1.0177690029615007</v>
          </cell>
          <cell r="L437">
            <v>153.53685778108664</v>
          </cell>
        </row>
        <row r="438">
          <cell r="B438">
            <v>36788</v>
          </cell>
          <cell r="C438">
            <v>432</v>
          </cell>
          <cell r="D438">
            <v>1.817636678486112</v>
          </cell>
          <cell r="E438">
            <v>1.0072783451769083</v>
          </cell>
          <cell r="F438">
            <v>140.89307347569195</v>
          </cell>
          <cell r="G438">
            <v>16.489999999999998</v>
          </cell>
          <cell r="H438">
            <v>6.0621973654972905E-4</v>
          </cell>
          <cell r="J438">
            <v>1.8537999999999999</v>
          </cell>
          <cell r="K438">
            <v>1.0166721509268402</v>
          </cell>
          <cell r="L438">
            <v>153.37139075039249</v>
          </cell>
        </row>
        <row r="439">
          <cell r="B439">
            <v>36789</v>
          </cell>
          <cell r="C439">
            <v>433</v>
          </cell>
          <cell r="D439">
            <v>1.817636678486112</v>
          </cell>
          <cell r="E439">
            <v>1.0078886338654545</v>
          </cell>
          <cell r="F439">
            <v>140.97843761505666</v>
          </cell>
          <cell r="G439">
            <v>16.489999999999998</v>
          </cell>
          <cell r="H439">
            <v>6.0587889282892604E-4</v>
          </cell>
          <cell r="J439">
            <v>1.8546</v>
          </cell>
          <cell r="K439">
            <v>1.0171108917407043</v>
          </cell>
          <cell r="L439">
            <v>153.43757756267016</v>
          </cell>
        </row>
        <row r="440">
          <cell r="B440">
            <v>36790</v>
          </cell>
          <cell r="C440">
            <v>434</v>
          </cell>
          <cell r="D440">
            <v>1.8186592096491871</v>
          </cell>
          <cell r="E440">
            <v>1.0084992923150355</v>
          </cell>
          <cell r="F440">
            <v>141.0638534747516</v>
          </cell>
          <cell r="G440">
            <v>16.5</v>
          </cell>
          <cell r="H440">
            <v>6.05878892828704E-4</v>
          </cell>
          <cell r="J440">
            <v>1.8516999999999999</v>
          </cell>
          <cell r="K440">
            <v>1.0155204562904465</v>
          </cell>
          <cell r="L440">
            <v>153.19765036816364</v>
          </cell>
        </row>
        <row r="441">
          <cell r="B441">
            <v>36791</v>
          </cell>
          <cell r="C441">
            <v>435</v>
          </cell>
          <cell r="D441">
            <v>1.817636678486112</v>
          </cell>
          <cell r="E441">
            <v>1.0091106644903334</v>
          </cell>
          <cell r="F441">
            <v>141.14936916684175</v>
          </cell>
          <cell r="G441">
            <v>16.489999999999998</v>
          </cell>
          <cell r="H441">
            <v>6.0621973654972905E-4</v>
          </cell>
          <cell r="J441">
            <v>1.8593999999999999</v>
          </cell>
          <cell r="K441">
            <v>1.0197433366238895</v>
          </cell>
          <cell r="L441">
            <v>153.83469843633605</v>
          </cell>
        </row>
        <row r="442">
          <cell r="B442">
            <v>36794</v>
          </cell>
          <cell r="C442">
            <v>436</v>
          </cell>
          <cell r="D442">
            <v>1.8166140598889768</v>
          </cell>
          <cell r="E442">
            <v>1.0097220633424764</v>
          </cell>
          <cell r="F442">
            <v>141.23488859035601</v>
          </cell>
          <cell r="G442">
            <v>16.48</v>
          </cell>
          <cell r="H442">
            <v>6.0587889282848195E-4</v>
          </cell>
          <cell r="J442">
            <v>1.8420000000000001</v>
          </cell>
          <cell r="K442">
            <v>1.0102007239223429</v>
          </cell>
          <cell r="L442">
            <v>152.3951352692971</v>
          </cell>
        </row>
        <row r="443">
          <cell r="B443">
            <v>36795</v>
          </cell>
          <cell r="C443">
            <v>437</v>
          </cell>
          <cell r="D443">
            <v>1.8145685603339068</v>
          </cell>
          <cell r="E443">
            <v>1.0103334884414257</v>
          </cell>
          <cell r="F443">
            <v>141.32041168514269</v>
          </cell>
          <cell r="G443">
            <v>16.46</v>
          </cell>
          <cell r="H443">
            <v>6.0553801996277024E-4</v>
          </cell>
          <cell r="J443">
            <v>1.8506</v>
          </cell>
          <cell r="K443">
            <v>1.0149171876713832</v>
          </cell>
          <cell r="L443">
            <v>153.10664350128187</v>
          </cell>
        </row>
        <row r="444">
          <cell r="B444">
            <v>36796</v>
          </cell>
          <cell r="C444">
            <v>438</v>
          </cell>
          <cell r="D444">
            <v>1.8114996548714846</v>
          </cell>
          <cell r="E444">
            <v>1.0109445949026183</v>
          </cell>
          <cell r="F444">
            <v>141.40589021046844</v>
          </cell>
          <cell r="G444">
            <v>16.43</v>
          </cell>
          <cell r="H444">
            <v>6.0485618677796893E-4</v>
          </cell>
          <cell r="J444">
            <v>1.8492</v>
          </cell>
          <cell r="K444">
            <v>1.0141493912471207</v>
          </cell>
          <cell r="L444">
            <v>152.99081657979593</v>
          </cell>
        </row>
        <row r="445">
          <cell r="B445">
            <v>36797</v>
          </cell>
          <cell r="C445">
            <v>439</v>
          </cell>
          <cell r="D445">
            <v>1.8125227108627406</v>
          </cell>
          <cell r="E445">
            <v>1.0115550368308717</v>
          </cell>
          <cell r="F445">
            <v>141.49127578423946</v>
          </cell>
          <cell r="G445">
            <v>16.440000000000001</v>
          </cell>
          <cell r="H445">
            <v>6.0383321829049486E-4</v>
          </cell>
          <cell r="J445">
            <v>1.8479000000000001</v>
          </cell>
          <cell r="K445">
            <v>1.0134364374245914</v>
          </cell>
          <cell r="L445">
            <v>152.88326300984477</v>
          </cell>
        </row>
        <row r="446">
          <cell r="B446">
            <v>36798</v>
          </cell>
          <cell r="C446">
            <v>440</v>
          </cell>
          <cell r="D446">
            <v>1.817636678486112</v>
          </cell>
          <cell r="E446">
            <v>1.0121661923233862</v>
          </cell>
          <cell r="F446">
            <v>141.57676116782207</v>
          </cell>
          <cell r="G446">
            <v>16.489999999999998</v>
          </cell>
          <cell r="H446">
            <v>6.0417423695402483E-4</v>
          </cell>
          <cell r="J446">
            <v>1.8436999999999999</v>
          </cell>
          <cell r="K446">
            <v>1.0111330481518044</v>
          </cell>
          <cell r="L446">
            <v>152.53578224538708</v>
          </cell>
        </row>
        <row r="447">
          <cell r="B447">
            <v>36801</v>
          </cell>
          <cell r="C447">
            <v>441</v>
          </cell>
          <cell r="D447">
            <v>1.8186592096491871</v>
          </cell>
          <cell r="E447">
            <v>1.0006058788928287</v>
          </cell>
          <cell r="F447">
            <v>141.66253953912872</v>
          </cell>
          <cell r="G447">
            <v>16.5</v>
          </cell>
          <cell r="H447">
            <v>6.05878892828704E-4</v>
          </cell>
          <cell r="J447">
            <v>1.8483000000000001</v>
          </cell>
          <cell r="K447">
            <v>1.0024949829147909</v>
          </cell>
          <cell r="L447">
            <v>152.91635641598359</v>
          </cell>
        </row>
        <row r="448">
          <cell r="B448">
            <v>36802</v>
          </cell>
          <cell r="C448">
            <v>442</v>
          </cell>
          <cell r="D448">
            <v>1.817636678486112</v>
          </cell>
          <cell r="E448">
            <v>1.0012124659251211</v>
          </cell>
          <cell r="F448">
            <v>141.74841816652707</v>
          </cell>
          <cell r="G448">
            <v>16.489999999999998</v>
          </cell>
          <cell r="H448">
            <v>6.06219736549507E-4</v>
          </cell>
          <cell r="J448">
            <v>1.8498000000000001</v>
          </cell>
          <cell r="K448">
            <v>1.0033085643000488</v>
          </cell>
          <cell r="L448">
            <v>153.0404566890042</v>
          </cell>
        </row>
        <row r="449">
          <cell r="B449">
            <v>36803</v>
          </cell>
          <cell r="C449">
            <v>443</v>
          </cell>
          <cell r="D449">
            <v>1.8196816533935234</v>
          </cell>
          <cell r="E449">
            <v>1.0018190794254622</v>
          </cell>
          <cell r="F449">
            <v>141.83430054118605</v>
          </cell>
          <cell r="G449">
            <v>16.510000000000002</v>
          </cell>
          <cell r="H449">
            <v>6.0587889282892604E-4</v>
          </cell>
          <cell r="J449">
            <v>1.8529</v>
          </cell>
          <cell r="K449">
            <v>1.0049899658295818</v>
          </cell>
          <cell r="L449">
            <v>153.29693058658012</v>
          </cell>
        </row>
        <row r="450">
          <cell r="B450">
            <v>36804</v>
          </cell>
          <cell r="C450">
            <v>444</v>
          </cell>
          <cell r="D450">
            <v>1.8196816533935234</v>
          </cell>
          <cell r="E450">
            <v>1.0024267433584122</v>
          </cell>
          <cell r="F450">
            <v>141.92033163269161</v>
          </cell>
          <cell r="G450">
            <v>16.510000000000002</v>
          </cell>
          <cell r="H450">
            <v>6.0656055113117446E-4</v>
          </cell>
          <cell r="J450">
            <v>1.8501000000000001</v>
          </cell>
          <cell r="K450">
            <v>1.0034712805771004</v>
          </cell>
          <cell r="L450">
            <v>153.06527674360834</v>
          </cell>
        </row>
        <row r="451">
          <cell r="B451">
            <v>36805</v>
          </cell>
          <cell r="C451">
            <v>445</v>
          </cell>
          <cell r="D451">
            <v>1.8166140598889768</v>
          </cell>
          <cell r="E451">
            <v>1.0030347758763323</v>
          </cell>
          <cell r="F451">
            <v>142.00641490726346</v>
          </cell>
          <cell r="G451">
            <v>16.48</v>
          </cell>
          <cell r="H451">
            <v>6.0656055113117446E-4</v>
          </cell>
          <cell r="J451">
            <v>1.8520000000000001</v>
          </cell>
          <cell r="K451">
            <v>1.0045018169984272</v>
          </cell>
          <cell r="L451">
            <v>153.22247042276777</v>
          </cell>
        </row>
        <row r="452">
          <cell r="B452">
            <v>36808</v>
          </cell>
          <cell r="C452">
            <v>446</v>
          </cell>
          <cell r="D452">
            <v>1.8166140598889768</v>
          </cell>
          <cell r="E452">
            <v>1.0036421515684704</v>
          </cell>
          <cell r="F452">
            <v>142.09240519056843</v>
          </cell>
          <cell r="G452">
            <v>16.48</v>
          </cell>
          <cell r="H452">
            <v>6.0553801996277024E-4</v>
          </cell>
          <cell r="J452">
            <v>1.8573999999999999</v>
          </cell>
          <cell r="K452">
            <v>1.0074307099853557</v>
          </cell>
          <cell r="L452">
            <v>153.66923140564191</v>
          </cell>
        </row>
        <row r="453">
          <cell r="B453">
            <v>36809</v>
          </cell>
          <cell r="C453">
            <v>447</v>
          </cell>
          <cell r="D453">
            <v>1.8155913538431268</v>
          </cell>
          <cell r="E453">
            <v>1.0042498950496825</v>
          </cell>
          <cell r="F453">
            <v>142.17844754425928</v>
          </cell>
          <cell r="G453">
            <v>16.47</v>
          </cell>
          <cell r="H453">
            <v>6.0553801996277024E-4</v>
          </cell>
          <cell r="J453">
            <v>1.8541000000000001</v>
          </cell>
          <cell r="K453">
            <v>1.0056408309377884</v>
          </cell>
          <cell r="L453">
            <v>153.39621080499663</v>
          </cell>
        </row>
        <row r="454">
          <cell r="B454">
            <v>36810</v>
          </cell>
          <cell r="C454">
            <v>448</v>
          </cell>
          <cell r="D454">
            <v>1.8135456793453297</v>
          </cell>
          <cell r="E454">
            <v>1.0048576641918658</v>
          </cell>
          <cell r="F454">
            <v>142.26449353094736</v>
          </cell>
          <cell r="G454">
            <v>16.45</v>
          </cell>
          <cell r="H454">
            <v>6.0519711794770892E-4</v>
          </cell>
          <cell r="J454">
            <v>1.8603000000000001</v>
          </cell>
          <cell r="K454">
            <v>1.0090036339968544</v>
          </cell>
          <cell r="L454">
            <v>153.90915860014843</v>
          </cell>
        </row>
        <row r="455">
          <cell r="B455">
            <v>36812</v>
          </cell>
          <cell r="C455">
            <v>449</v>
          </cell>
          <cell r="D455">
            <v>1.8155913538431268</v>
          </cell>
          <cell r="E455">
            <v>1.0054651159502832</v>
          </cell>
          <cell r="F455">
            <v>142.35049458346978</v>
          </cell>
          <cell r="G455">
            <v>16.47</v>
          </cell>
          <cell r="H455">
            <v>6.0451522644844324E-4</v>
          </cell>
          <cell r="J455">
            <v>1.8764000000000001</v>
          </cell>
          <cell r="K455">
            <v>1.0177360741986226</v>
          </cell>
          <cell r="L455">
            <v>155.24116819723619</v>
          </cell>
        </row>
        <row r="456">
          <cell r="B456">
            <v>36815</v>
          </cell>
          <cell r="C456">
            <v>450</v>
          </cell>
          <cell r="D456">
            <v>1.8166140598889768</v>
          </cell>
          <cell r="E456">
            <v>1.0060736205406533</v>
          </cell>
          <cell r="F456">
            <v>142.43664469253014</v>
          </cell>
          <cell r="G456">
            <v>16.48</v>
          </cell>
          <cell r="H456">
            <v>6.0519711794770892E-4</v>
          </cell>
          <cell r="J456">
            <v>1.8704000000000001</v>
          </cell>
          <cell r="K456">
            <v>1.014481748657591</v>
          </cell>
          <cell r="L456">
            <v>154.74476710515378</v>
          </cell>
        </row>
        <row r="457">
          <cell r="B457">
            <v>36816</v>
          </cell>
          <cell r="C457">
            <v>451</v>
          </cell>
          <cell r="D457">
            <v>1.8166140598889768</v>
          </cell>
          <cell r="E457">
            <v>1.0066828363687725</v>
          </cell>
          <cell r="F457">
            <v>142.52289549632744</v>
          </cell>
          <cell r="G457">
            <v>16.48</v>
          </cell>
          <cell r="H457">
            <v>6.0553801996299228E-4</v>
          </cell>
          <cell r="J457">
            <v>1.8667</v>
          </cell>
          <cell r="K457">
            <v>1.0124749145739547</v>
          </cell>
          <cell r="L457">
            <v>154.4386530983696</v>
          </cell>
        </row>
        <row r="458">
          <cell r="B458">
            <v>36817</v>
          </cell>
          <cell r="C458">
            <v>452</v>
          </cell>
          <cell r="D458">
            <v>1.8166140598889768</v>
          </cell>
          <cell r="E458">
            <v>1.0072924211002381</v>
          </cell>
          <cell r="F458">
            <v>142.60919852826569</v>
          </cell>
          <cell r="G458">
            <v>16.48</v>
          </cell>
          <cell r="H458">
            <v>6.0553801996321432E-4</v>
          </cell>
          <cell r="J458">
            <v>1.8794999999999999</v>
          </cell>
          <cell r="K458">
            <v>1.0194174757281553</v>
          </cell>
          <cell r="L458">
            <v>155.49764209481205</v>
          </cell>
        </row>
        <row r="459">
          <cell r="B459">
            <v>36818</v>
          </cell>
          <cell r="C459">
            <v>453</v>
          </cell>
          <cell r="D459">
            <v>1.8166140598889768</v>
          </cell>
          <cell r="E459">
            <v>1.0079023749584348</v>
          </cell>
          <cell r="F459">
            <v>142.69555381997102</v>
          </cell>
          <cell r="G459">
            <v>16.48</v>
          </cell>
          <cell r="H459">
            <v>6.0553801996321432E-4</v>
          </cell>
          <cell r="J459">
            <v>1.8714</v>
          </cell>
          <cell r="K459">
            <v>1.0150241362477628</v>
          </cell>
          <cell r="L459">
            <v>154.82750062050084</v>
          </cell>
        </row>
        <row r="460">
          <cell r="B460">
            <v>36819</v>
          </cell>
          <cell r="C460">
            <v>454</v>
          </cell>
          <cell r="D460">
            <v>1.817636678486112</v>
          </cell>
          <cell r="E460">
            <v>1.008512698166883</v>
          </cell>
          <cell r="F460">
            <v>142.78196140308867</v>
          </cell>
          <cell r="G460">
            <v>16.489999999999998</v>
          </cell>
          <cell r="H460">
            <v>6.0553801996277024E-4</v>
          </cell>
          <cell r="J460">
            <v>1.8795999999999999</v>
          </cell>
          <cell r="K460">
            <v>1.0194717144871726</v>
          </cell>
          <cell r="L460">
            <v>155.50591544634679</v>
          </cell>
        </row>
        <row r="461">
          <cell r="B461">
            <v>36822</v>
          </cell>
          <cell r="C461">
            <v>455</v>
          </cell>
          <cell r="D461">
            <v>1.8166140598889768</v>
          </cell>
          <cell r="E461">
            <v>1.0091237347238522</v>
          </cell>
          <cell r="F461">
            <v>142.86846997977949</v>
          </cell>
          <cell r="G461">
            <v>16.48</v>
          </cell>
          <cell r="H461">
            <v>6.05878892828704E-4</v>
          </cell>
          <cell r="J461">
            <v>1.8917999999999999</v>
          </cell>
          <cell r="K461">
            <v>1.0260888430872701</v>
          </cell>
          <cell r="L461">
            <v>156.515264333581</v>
          </cell>
        </row>
        <row r="462">
          <cell r="B462">
            <v>36823</v>
          </cell>
          <cell r="C462">
            <v>456</v>
          </cell>
          <cell r="D462">
            <v>1.8155913538431268</v>
          </cell>
          <cell r="E462">
            <v>1.0097347975120745</v>
          </cell>
          <cell r="F462">
            <v>142.95498227020619</v>
          </cell>
          <cell r="G462">
            <v>16.47</v>
          </cell>
          <cell r="H462">
            <v>6.0553801996299228E-4</v>
          </cell>
          <cell r="J462">
            <v>1.8980999999999999</v>
          </cell>
          <cell r="K462">
            <v>1.0295058849053533</v>
          </cell>
          <cell r="L462">
            <v>157.03648548026752</v>
          </cell>
        </row>
        <row r="463">
          <cell r="B463">
            <v>36824</v>
          </cell>
          <cell r="C463">
            <v>457</v>
          </cell>
          <cell r="D463">
            <v>1.8155913538431268</v>
          </cell>
          <cell r="E463">
            <v>1.0103458861014203</v>
          </cell>
          <cell r="F463">
            <v>143.04149821347238</v>
          </cell>
          <cell r="G463">
            <v>16.47</v>
          </cell>
          <cell r="H463">
            <v>6.0519711794770892E-4</v>
          </cell>
          <cell r="J463">
            <v>1.9281999999999999</v>
          </cell>
          <cell r="K463">
            <v>1.0458317513695286</v>
          </cell>
          <cell r="L463">
            <v>159.52676429221421</v>
          </cell>
        </row>
        <row r="464">
          <cell r="B464">
            <v>36825</v>
          </cell>
          <cell r="C464">
            <v>458</v>
          </cell>
          <cell r="D464">
            <v>1.8166140598889768</v>
          </cell>
          <cell r="E464">
            <v>1.0109573445198192</v>
          </cell>
          <cell r="F464">
            <v>143.12806651593809</v>
          </cell>
          <cell r="G464">
            <v>16.48</v>
          </cell>
          <cell r="H464">
            <v>6.0519711794770892E-4</v>
          </cell>
          <cell r="J464">
            <v>1.9339999999999999</v>
          </cell>
          <cell r="K464">
            <v>1.0489775993925259</v>
          </cell>
          <cell r="L464">
            <v>160.0066186812272</v>
          </cell>
        </row>
        <row r="465">
          <cell r="B465">
            <v>36826</v>
          </cell>
          <cell r="C465">
            <v>459</v>
          </cell>
          <cell r="D465">
            <v>1.8166140598889768</v>
          </cell>
          <cell r="E465">
            <v>1.0115695176284869</v>
          </cell>
          <cell r="F465">
            <v>143.2147360019373</v>
          </cell>
          <cell r="G465">
            <v>16.48</v>
          </cell>
          <cell r="H465">
            <v>6.0553801996321432E-4</v>
          </cell>
          <cell r="J465">
            <v>1.9239999999999999</v>
          </cell>
          <cell r="K465">
            <v>1.0435537234908066</v>
          </cell>
          <cell r="L465">
            <v>159.17928352775652</v>
          </cell>
        </row>
        <row r="466">
          <cell r="B466">
            <v>36829</v>
          </cell>
          <cell r="C466">
            <v>460</v>
          </cell>
          <cell r="D466">
            <v>1.8166140598889768</v>
          </cell>
          <cell r="E466">
            <v>1.0121820614312467</v>
          </cell>
          <cell r="F466">
            <v>143.30145796960542</v>
          </cell>
          <cell r="G466">
            <v>16.48</v>
          </cell>
          <cell r="H466">
            <v>6.0553801996299228E-4</v>
          </cell>
          <cell r="J466">
            <v>1.9184000000000001</v>
          </cell>
          <cell r="K466">
            <v>1.0405163529858437</v>
          </cell>
          <cell r="L466">
            <v>158.71597584181293</v>
          </cell>
        </row>
        <row r="467">
          <cell r="B467">
            <v>36830</v>
          </cell>
          <cell r="C467">
            <v>461</v>
          </cell>
          <cell r="D467">
            <v>1.817636678486112</v>
          </cell>
          <cell r="E467">
            <v>1.0127949761525679</v>
          </cell>
          <cell r="F467">
            <v>143.38823245072214</v>
          </cell>
          <cell r="G467">
            <v>16.489999999999998</v>
          </cell>
          <cell r="H467">
            <v>6.0553801996299228E-4</v>
          </cell>
          <cell r="J467">
            <v>1.909</v>
          </cell>
          <cell r="K467">
            <v>1.0354179096382274</v>
          </cell>
          <cell r="L467">
            <v>157.9382807975505</v>
          </cell>
        </row>
        <row r="468">
          <cell r="B468">
            <v>36831</v>
          </cell>
          <cell r="C468">
            <v>462</v>
          </cell>
          <cell r="D468">
            <v>1.8155913538431268</v>
          </cell>
          <cell r="E468">
            <v>1.0006058788928287</v>
          </cell>
          <cell r="F468">
            <v>143.47510835424404</v>
          </cell>
          <cell r="G468">
            <v>16.47</v>
          </cell>
          <cell r="H468">
            <v>6.05878892828704E-4</v>
          </cell>
          <cell r="J468">
            <v>1.9098999999999999</v>
          </cell>
          <cell r="K468">
            <v>1.0004714510214772</v>
          </cell>
          <cell r="L468">
            <v>158.01274096136285</v>
          </cell>
        </row>
        <row r="469">
          <cell r="B469">
            <v>36833</v>
          </cell>
          <cell r="C469">
            <v>463</v>
          </cell>
          <cell r="D469">
            <v>1.8125227108627406</v>
          </cell>
          <cell r="E469">
            <v>1.0012114426869361</v>
          </cell>
          <cell r="F469">
            <v>143.56193907631726</v>
          </cell>
          <cell r="G469">
            <v>16.440000000000001</v>
          </cell>
          <cell r="H469">
            <v>6.0519711794770892E-4</v>
          </cell>
          <cell r="J469">
            <v>1.9286000000000001</v>
          </cell>
          <cell r="K469">
            <v>1.010267155578837</v>
          </cell>
          <cell r="L469">
            <v>159.559857698353</v>
          </cell>
        </row>
        <row r="470">
          <cell r="B470">
            <v>36836</v>
          </cell>
          <cell r="C470">
            <v>464</v>
          </cell>
          <cell r="D470">
            <v>1.8084299616951682</v>
          </cell>
          <cell r="E470">
            <v>1.0018163488463514</v>
          </cell>
          <cell r="F470">
            <v>143.64867550131439</v>
          </cell>
          <cell r="G470">
            <v>16.399999999999999</v>
          </cell>
          <cell r="H470">
            <v>6.0417423695446892E-4</v>
          </cell>
          <cell r="J470">
            <v>1.9461999999999999</v>
          </cell>
          <cell r="K470">
            <v>1.0194866422210578</v>
          </cell>
          <cell r="L470">
            <v>161.01596756846135</v>
          </cell>
        </row>
        <row r="471">
          <cell r="B471">
            <v>36837</v>
          </cell>
          <cell r="C471">
            <v>465</v>
          </cell>
          <cell r="D471">
            <v>1.8104765113569066</v>
          </cell>
          <cell r="E471">
            <v>1.0024202537468081</v>
          </cell>
          <cell r="F471">
            <v>143.73526835755919</v>
          </cell>
          <cell r="G471">
            <v>16.420000000000002</v>
          </cell>
          <cell r="H471">
            <v>6.0280998723172274E-4</v>
          </cell>
          <cell r="J471">
            <v>1.9573</v>
          </cell>
          <cell r="K471">
            <v>1.0253012048192767</v>
          </cell>
          <cell r="L471">
            <v>161.93430958881379</v>
          </cell>
        </row>
        <row r="472">
          <cell r="B472">
            <v>36838</v>
          </cell>
          <cell r="C472">
            <v>466</v>
          </cell>
          <cell r="D472">
            <v>1.8145685603339068</v>
          </cell>
          <cell r="E472">
            <v>1.0030252065214471</v>
          </cell>
          <cell r="F472">
            <v>143.82201146663084</v>
          </cell>
          <cell r="G472">
            <v>16.46</v>
          </cell>
          <cell r="H472">
            <v>6.0349217045230219E-4</v>
          </cell>
          <cell r="J472">
            <v>1.9502999999999999</v>
          </cell>
          <cell r="K472">
            <v>1.0216343635411205</v>
          </cell>
          <cell r="L472">
            <v>161.35517498138429</v>
          </cell>
        </row>
        <row r="473">
          <cell r="B473">
            <v>36839</v>
          </cell>
          <cell r="C473">
            <v>467</v>
          </cell>
          <cell r="D473">
            <v>1.8155913538431268</v>
          </cell>
          <cell r="E473">
            <v>1.0036318925231058</v>
          </cell>
          <cell r="F473">
            <v>143.90900310006128</v>
          </cell>
          <cell r="G473">
            <v>16.47</v>
          </cell>
          <cell r="H473">
            <v>6.0485618677796893E-4</v>
          </cell>
          <cell r="J473">
            <v>1.9682999999999999</v>
          </cell>
          <cell r="K473">
            <v>1.0310633839706647</v>
          </cell>
          <cell r="L473">
            <v>162.84437825763149</v>
          </cell>
        </row>
        <row r="474">
          <cell r="B474">
            <v>36840</v>
          </cell>
          <cell r="C474">
            <v>468</v>
          </cell>
          <cell r="D474">
            <v>1.8166140598889768</v>
          </cell>
          <cell r="E474">
            <v>1.0042392876519413</v>
          </cell>
          <cell r="F474">
            <v>143.99609641398416</v>
          </cell>
          <cell r="G474">
            <v>16.48</v>
          </cell>
          <cell r="H474">
            <v>6.0519711794770892E-4</v>
          </cell>
          <cell r="J474">
            <v>1.9565999999999999</v>
          </cell>
          <cell r="K474">
            <v>1.0249345206914608</v>
          </cell>
          <cell r="L474">
            <v>161.87639612807081</v>
          </cell>
        </row>
        <row r="475">
          <cell r="B475">
            <v>36843</v>
          </cell>
          <cell r="C475">
            <v>469</v>
          </cell>
          <cell r="D475">
            <v>1.8166140598889768</v>
          </cell>
          <cell r="E475">
            <v>1.0048473927217552</v>
          </cell>
          <cell r="F475">
            <v>144.08329152508909</v>
          </cell>
          <cell r="G475">
            <v>16.48</v>
          </cell>
          <cell r="H475">
            <v>6.0553801996299228E-4</v>
          </cell>
          <cell r="J475">
            <v>1.9579</v>
          </cell>
          <cell r="K475">
            <v>1.0256155055002614</v>
          </cell>
          <cell r="L475">
            <v>161.983949698022</v>
          </cell>
        </row>
        <row r="476">
          <cell r="B476">
            <v>36844</v>
          </cell>
          <cell r="C476">
            <v>470</v>
          </cell>
          <cell r="D476">
            <v>1.817636678486112</v>
          </cell>
          <cell r="E476">
            <v>1.005455866022309</v>
          </cell>
          <cell r="F476">
            <v>144.17053943614897</v>
          </cell>
          <cell r="G476">
            <v>16.489999999999998</v>
          </cell>
          <cell r="H476">
            <v>6.0553801996321432E-4</v>
          </cell>
          <cell r="J476">
            <v>1.9440999999999999</v>
          </cell>
          <cell r="K476">
            <v>1.0183865898376108</v>
          </cell>
          <cell r="L476">
            <v>160.84222718623246</v>
          </cell>
        </row>
        <row r="477">
          <cell r="B477">
            <v>36846</v>
          </cell>
          <cell r="C477">
            <v>471</v>
          </cell>
          <cell r="D477">
            <v>1.817636678486112</v>
          </cell>
          <cell r="E477">
            <v>1.0060650505092026</v>
          </cell>
          <cell r="F477">
            <v>144.25788932296103</v>
          </cell>
          <cell r="G477">
            <v>16.489999999999998</v>
          </cell>
          <cell r="H477">
            <v>6.0587889282848195E-4</v>
          </cell>
          <cell r="J477">
            <v>1.9486000000000001</v>
          </cell>
          <cell r="K477">
            <v>1.020743844944997</v>
          </cell>
          <cell r="L477">
            <v>161.21452800529428</v>
          </cell>
        </row>
        <row r="478">
          <cell r="B478">
            <v>36847</v>
          </cell>
          <cell r="C478">
            <v>472</v>
          </cell>
          <cell r="D478">
            <v>1.8186592096491871</v>
          </cell>
          <cell r="E478">
            <v>1.0066746040881187</v>
          </cell>
          <cell r="F478">
            <v>144.34529213322583</v>
          </cell>
          <cell r="G478">
            <v>16.5</v>
          </cell>
          <cell r="H478">
            <v>6.05878892828704E-4</v>
          </cell>
          <cell r="J478">
            <v>1.9609000000000001</v>
          </cell>
          <cell r="K478">
            <v>1.0271870089051858</v>
          </cell>
          <cell r="L478">
            <v>162.23215024406321</v>
          </cell>
        </row>
        <row r="479">
          <cell r="B479">
            <v>36850</v>
          </cell>
          <cell r="C479">
            <v>473</v>
          </cell>
          <cell r="D479">
            <v>1.817636678486112</v>
          </cell>
          <cell r="E479">
            <v>1.0072848701014003</v>
          </cell>
          <cell r="F479">
            <v>144.43279709819504</v>
          </cell>
          <cell r="G479">
            <v>16.489999999999998</v>
          </cell>
          <cell r="H479">
            <v>6.0621973654972905E-4</v>
          </cell>
          <cell r="J479">
            <v>1.9365000000000001</v>
          </cell>
          <cell r="K479">
            <v>1.0144054478784701</v>
          </cell>
          <cell r="L479">
            <v>160.21345246959476</v>
          </cell>
        </row>
        <row r="480">
          <cell r="B480">
            <v>36851</v>
          </cell>
          <cell r="C480">
            <v>474</v>
          </cell>
          <cell r="D480">
            <v>1.817636678486112</v>
          </cell>
          <cell r="E480">
            <v>1.0078951627432604</v>
          </cell>
          <cell r="F480">
            <v>144.52030588138905</v>
          </cell>
          <cell r="G480">
            <v>16.489999999999998</v>
          </cell>
          <cell r="H480">
            <v>6.05878892828704E-4</v>
          </cell>
          <cell r="J480">
            <v>1.91</v>
          </cell>
          <cell r="K480">
            <v>1.0005238344683076</v>
          </cell>
          <cell r="L480">
            <v>158.02101431289748</v>
          </cell>
        </row>
        <row r="481">
          <cell r="B481">
            <v>36852</v>
          </cell>
          <cell r="C481">
            <v>475</v>
          </cell>
          <cell r="D481">
            <v>1.8104765113569066</v>
          </cell>
          <cell r="E481">
            <v>1.0085058251485508</v>
          </cell>
          <cell r="F481">
            <v>144.60786768430773</v>
          </cell>
          <cell r="G481">
            <v>16.420000000000002</v>
          </cell>
          <cell r="H481">
            <v>6.05878892828704E-4</v>
          </cell>
          <cell r="J481">
            <v>1.9321999999999999</v>
          </cell>
          <cell r="K481">
            <v>1.0121529596647456</v>
          </cell>
          <cell r="L481">
            <v>159.85769835360236</v>
          </cell>
        </row>
        <row r="482">
          <cell r="B482">
            <v>36853</v>
          </cell>
          <cell r="C482">
            <v>476</v>
          </cell>
          <cell r="D482">
            <v>1.8104765113569066</v>
          </cell>
          <cell r="E482">
            <v>1.0091144505178835</v>
          </cell>
          <cell r="F482">
            <v>144.69513740024104</v>
          </cell>
          <cell r="G482">
            <v>16.420000000000002</v>
          </cell>
          <cell r="H482">
            <v>6.0349217045252423E-4</v>
          </cell>
          <cell r="J482">
            <v>1.9413</v>
          </cell>
          <cell r="K482">
            <v>1.0169198533263486</v>
          </cell>
          <cell r="L482">
            <v>160.61057334326068</v>
          </cell>
        </row>
        <row r="483">
          <cell r="B483">
            <v>36854</v>
          </cell>
          <cell r="C483">
            <v>477</v>
          </cell>
          <cell r="D483">
            <v>1.8094532803030194</v>
          </cell>
          <cell r="E483">
            <v>1.0097234431878612</v>
          </cell>
          <cell r="F483">
            <v>144.78245978276459</v>
          </cell>
          <cell r="G483">
            <v>16.41</v>
          </cell>
          <cell r="H483">
            <v>6.0349217045230219E-4</v>
          </cell>
          <cell r="J483">
            <v>1.956</v>
          </cell>
          <cell r="K483">
            <v>1.0246202200104764</v>
          </cell>
          <cell r="L483">
            <v>161.82675601886257</v>
          </cell>
        </row>
        <row r="484">
          <cell r="B484">
            <v>36857</v>
          </cell>
          <cell r="C484">
            <v>478</v>
          </cell>
          <cell r="D484">
            <v>1.8084299616951682</v>
          </cell>
          <cell r="E484">
            <v>1.0103324589866862</v>
          </cell>
          <cell r="F484">
            <v>144.86978548169267</v>
          </cell>
          <cell r="G484">
            <v>16.399999999999999</v>
          </cell>
          <cell r="H484">
            <v>6.0315109343433981E-4</v>
          </cell>
          <cell r="J484">
            <v>1.9571000000000001</v>
          </cell>
          <cell r="K484">
            <v>1.0251964379256153</v>
          </cell>
          <cell r="L484">
            <v>161.91776288574437</v>
          </cell>
        </row>
        <row r="485">
          <cell r="B485">
            <v>36858</v>
          </cell>
          <cell r="C485">
            <v>479</v>
          </cell>
          <cell r="D485">
            <v>1.8094532803030194</v>
          </cell>
          <cell r="E485">
            <v>1.0109414974833877</v>
          </cell>
          <cell r="F485">
            <v>144.95711443522913</v>
          </cell>
          <cell r="G485">
            <v>16.41</v>
          </cell>
          <cell r="H485">
            <v>6.028099872315007E-4</v>
          </cell>
          <cell r="J485">
            <v>1.9778</v>
          </cell>
          <cell r="K485">
            <v>1.0360398114195912</v>
          </cell>
          <cell r="L485">
            <v>163.63034665342863</v>
          </cell>
        </row>
        <row r="486">
          <cell r="B486">
            <v>36859</v>
          </cell>
          <cell r="C486">
            <v>480</v>
          </cell>
          <cell r="D486">
            <v>1.8063830617582877</v>
          </cell>
          <cell r="E486">
            <v>1.0115512479529929</v>
          </cell>
          <cell r="F486">
            <v>145.0445454773018</v>
          </cell>
          <cell r="G486">
            <v>16.38</v>
          </cell>
          <cell r="H486">
            <v>6.0315109343411777E-4</v>
          </cell>
          <cell r="J486">
            <v>1.9610000000000001</v>
          </cell>
          <cell r="K486">
            <v>1.0272393923520167</v>
          </cell>
          <cell r="L486">
            <v>162.24042359559792</v>
          </cell>
        </row>
        <row r="487">
          <cell r="B487">
            <v>36860</v>
          </cell>
          <cell r="C487">
            <v>481</v>
          </cell>
          <cell r="D487">
            <v>1.8043358114263608</v>
          </cell>
          <cell r="E487">
            <v>1.0121603309664604</v>
          </cell>
          <cell r="F487">
            <v>145.13188081401867</v>
          </cell>
          <cell r="G487">
            <v>16.36</v>
          </cell>
          <cell r="H487">
            <v>6.0212768725276256E-4</v>
          </cell>
          <cell r="J487">
            <v>1.9596</v>
          </cell>
          <cell r="K487">
            <v>1.0265060240963855</v>
          </cell>
          <cell r="L487">
            <v>162.12459667411201</v>
          </cell>
        </row>
        <row r="488">
          <cell r="B488">
            <v>36861</v>
          </cell>
          <cell r="C488">
            <v>482</v>
          </cell>
          <cell r="D488">
            <v>1.8053594803992823</v>
          </cell>
          <cell r="E488">
            <v>1.0006014452704755</v>
          </cell>
          <cell r="F488">
            <v>145.21916969732948</v>
          </cell>
          <cell r="G488">
            <v>16.37</v>
          </cell>
          <cell r="H488">
            <v>6.014452704754536E-4</v>
          </cell>
          <cell r="J488">
            <v>1.9795</v>
          </cell>
          <cell r="K488">
            <v>1.0101551337007553</v>
          </cell>
          <cell r="L488">
            <v>163.77099362951864</v>
          </cell>
        </row>
        <row r="489">
          <cell r="B489">
            <v>36864</v>
          </cell>
          <cell r="C489">
            <v>483</v>
          </cell>
          <cell r="D489">
            <v>1.8043358114263608</v>
          </cell>
          <cell r="E489">
            <v>1.0012035937055823</v>
          </cell>
          <cell r="F489">
            <v>145.30656063224575</v>
          </cell>
          <cell r="G489">
            <v>16.36</v>
          </cell>
          <cell r="H489">
            <v>6.0178649346642743E-4</v>
          </cell>
          <cell r="J489">
            <v>1.9846999999999999</v>
          </cell>
          <cell r="K489">
            <v>1.0128087364768321</v>
          </cell>
          <cell r="L489">
            <v>164.20120790932339</v>
          </cell>
        </row>
        <row r="490">
          <cell r="B490">
            <v>36865</v>
          </cell>
          <cell r="C490">
            <v>484</v>
          </cell>
          <cell r="D490">
            <v>1.8043358114263608</v>
          </cell>
          <cell r="E490">
            <v>1.0018057628717996</v>
          </cell>
          <cell r="F490">
            <v>145.39395457590706</v>
          </cell>
          <cell r="G490">
            <v>16.36</v>
          </cell>
          <cell r="H490">
            <v>6.014452704754536E-4</v>
          </cell>
          <cell r="J490">
            <v>1.9648000000000001</v>
          </cell>
          <cell r="K490">
            <v>1.0026536027760768</v>
          </cell>
          <cell r="L490">
            <v>162.55481095391676</v>
          </cell>
        </row>
        <row r="491">
          <cell r="B491">
            <v>36866</v>
          </cell>
          <cell r="C491">
            <v>485</v>
          </cell>
          <cell r="D491">
            <v>1.8033120548242021</v>
          </cell>
          <cell r="E491">
            <v>1.0024082942098138</v>
          </cell>
          <cell r="F491">
            <v>145.48140108224246</v>
          </cell>
          <cell r="G491">
            <v>16.350000000000001</v>
          </cell>
          <cell r="H491">
            <v>6.014452704754536E-4</v>
          </cell>
          <cell r="J491">
            <v>1.9657</v>
          </cell>
          <cell r="K491">
            <v>1.0031128801796285</v>
          </cell>
          <cell r="L491">
            <v>162.6292711177291</v>
          </cell>
        </row>
        <row r="492">
          <cell r="B492">
            <v>36867</v>
          </cell>
          <cell r="C492">
            <v>486</v>
          </cell>
          <cell r="D492">
            <v>1.8022882105781513</v>
          </cell>
          <cell r="E492">
            <v>1.0030108458634153</v>
          </cell>
          <cell r="F492">
            <v>145.56885053701725</v>
          </cell>
          <cell r="G492">
            <v>16.34</v>
          </cell>
          <cell r="H492">
            <v>6.0110401827495608E-4</v>
          </cell>
          <cell r="J492">
            <v>1.9698</v>
          </cell>
          <cell r="K492">
            <v>1.0052051439069196</v>
          </cell>
          <cell r="L492">
            <v>162.96847853065205</v>
          </cell>
        </row>
        <row r="493">
          <cell r="B493">
            <v>36868</v>
          </cell>
          <cell r="C493">
            <v>487</v>
          </cell>
          <cell r="D493">
            <v>1.8022882105781513</v>
          </cell>
          <cell r="E493">
            <v>1.0036134174042759</v>
          </cell>
          <cell r="F493">
            <v>145.65630287806735</v>
          </cell>
          <cell r="G493">
            <v>16.34</v>
          </cell>
          <cell r="H493">
            <v>6.0076273685938375E-4</v>
          </cell>
          <cell r="J493">
            <v>1.9695</v>
          </cell>
          <cell r="K493">
            <v>1.0050520514390691</v>
          </cell>
          <cell r="L493">
            <v>162.94365847604791</v>
          </cell>
        </row>
        <row r="494">
          <cell r="B494">
            <v>36871</v>
          </cell>
          <cell r="C494">
            <v>488</v>
          </cell>
          <cell r="D494">
            <v>1.8012642786728872</v>
          </cell>
          <cell r="E494">
            <v>1.0042163509476645</v>
          </cell>
          <cell r="F494">
            <v>145.7438077572252</v>
          </cell>
          <cell r="G494">
            <v>16.329999999999998</v>
          </cell>
          <cell r="H494">
            <v>6.0076273685938375E-4</v>
          </cell>
          <cell r="J494">
            <v>1.9648000000000001</v>
          </cell>
          <cell r="K494">
            <v>1.0026536027760766</v>
          </cell>
          <cell r="L494">
            <v>162.5548109539167</v>
          </cell>
        </row>
        <row r="495">
          <cell r="B495">
            <v>36872</v>
          </cell>
          <cell r="C495">
            <v>489</v>
          </cell>
          <cell r="D495">
            <v>1.800240259093755</v>
          </cell>
          <cell r="E495">
            <v>1.0048193039613382</v>
          </cell>
          <cell r="F495">
            <v>145.83131546214216</v>
          </cell>
          <cell r="G495">
            <v>16.32</v>
          </cell>
          <cell r="H495">
            <v>6.0042142622429573E-4</v>
          </cell>
          <cell r="J495">
            <v>1.9676</v>
          </cell>
          <cell r="K495">
            <v>1.0040824658093486</v>
          </cell>
          <cell r="L495">
            <v>162.78646479688845</v>
          </cell>
        </row>
        <row r="496">
          <cell r="B496">
            <v>36873</v>
          </cell>
          <cell r="C496">
            <v>490</v>
          </cell>
          <cell r="D496">
            <v>1.7992161518254335</v>
          </cell>
          <cell r="E496">
            <v>1.0054222760160401</v>
          </cell>
          <cell r="F496">
            <v>145.91882593051935</v>
          </cell>
          <cell r="G496">
            <v>16.309999999999999</v>
          </cell>
          <cell r="H496">
            <v>6.0008008636458499E-4</v>
          </cell>
          <cell r="J496">
            <v>1.9622999999999999</v>
          </cell>
          <cell r="K496">
            <v>1.001377832210655</v>
          </cell>
          <cell r="L496">
            <v>162.34797716554903</v>
          </cell>
        </row>
        <row r="497">
          <cell r="B497">
            <v>36874</v>
          </cell>
          <cell r="C497">
            <v>491</v>
          </cell>
          <cell r="D497">
            <v>1.7981919568532678</v>
          </cell>
          <cell r="E497">
            <v>1.0060252666821778</v>
          </cell>
          <cell r="F497">
            <v>146.0063391000092</v>
          </cell>
          <cell r="G497">
            <v>16.3</v>
          </cell>
          <cell r="H497">
            <v>5.997387172751445E-4</v>
          </cell>
          <cell r="J497">
            <v>1.9635</v>
          </cell>
          <cell r="K497">
            <v>1.0019902020820575</v>
          </cell>
          <cell r="L497">
            <v>162.44725738396554</v>
          </cell>
        </row>
        <row r="498">
          <cell r="B498">
            <v>36875</v>
          </cell>
          <cell r="C498">
            <v>492</v>
          </cell>
          <cell r="D498">
            <v>1.7981919568532678</v>
          </cell>
          <cell r="E498">
            <v>1.0066282755298241</v>
          </cell>
          <cell r="F498">
            <v>146.0938549082156</v>
          </cell>
          <cell r="G498">
            <v>16.3</v>
          </cell>
          <cell r="H498">
            <v>5.9939731895108928E-4</v>
          </cell>
          <cell r="J498">
            <v>1.9678</v>
          </cell>
          <cell r="K498">
            <v>1.0041845274545824</v>
          </cell>
          <cell r="L498">
            <v>162.8030114999579</v>
          </cell>
        </row>
        <row r="499">
          <cell r="B499">
            <v>36878</v>
          </cell>
          <cell r="C499">
            <v>493</v>
          </cell>
          <cell r="D499">
            <v>1.7961433037354535</v>
          </cell>
          <cell r="E499">
            <v>1.0072316458193571</v>
          </cell>
          <cell r="F499">
            <v>146.18142317316281</v>
          </cell>
          <cell r="G499">
            <v>16.28</v>
          </cell>
          <cell r="H499">
            <v>5.9939731895108928E-4</v>
          </cell>
          <cell r="J499">
            <v>1.9539</v>
          </cell>
          <cell r="K499">
            <v>0.99709124311083885</v>
          </cell>
          <cell r="L499">
            <v>161.65301563663368</v>
          </cell>
        </row>
        <row r="500">
          <cell r="B500">
            <v>36879</v>
          </cell>
          <cell r="C500">
            <v>494</v>
          </cell>
          <cell r="D500">
            <v>1.794094299621074</v>
          </cell>
          <cell r="E500">
            <v>1.0078346899446733</v>
          </cell>
          <cell r="F500">
            <v>146.26894410128378</v>
          </cell>
          <cell r="G500">
            <v>16.260000000000002</v>
          </cell>
          <cell r="H500">
            <v>5.9871443457826246E-4</v>
          </cell>
          <cell r="J500">
            <v>1.9556</v>
          </cell>
          <cell r="K500">
            <v>0.99795876709532561</v>
          </cell>
          <cell r="L500">
            <v>161.79366261272372</v>
          </cell>
        </row>
        <row r="501">
          <cell r="B501">
            <v>36880</v>
          </cell>
          <cell r="C501">
            <v>495</v>
          </cell>
          <cell r="D501">
            <v>1.7694788285163021</v>
          </cell>
          <cell r="E501">
            <v>1.0084374067687367</v>
          </cell>
          <cell r="F501">
            <v>146.35641752755836</v>
          </cell>
          <cell r="G501">
            <v>16.02</v>
          </cell>
          <cell r="H501">
            <v>5.9803143320702468E-4</v>
          </cell>
          <cell r="J501">
            <v>1.9559</v>
          </cell>
          <cell r="K501">
            <v>0.99811185956317627</v>
          </cell>
          <cell r="L501">
            <v>161.81848266732786</v>
          </cell>
        </row>
        <row r="502">
          <cell r="B502">
            <v>36881</v>
          </cell>
          <cell r="C502">
            <v>496</v>
          </cell>
          <cell r="D502">
            <v>1.7406965964359422</v>
          </cell>
          <cell r="E502">
            <v>1.0090322096491238</v>
          </cell>
          <cell r="F502">
            <v>146.44274238830252</v>
          </cell>
          <cell r="G502">
            <v>15.74</v>
          </cell>
          <cell r="H502">
            <v>5.8982627617210071E-4</v>
          </cell>
          <cell r="J502">
            <v>1.9578</v>
          </cell>
          <cell r="K502">
            <v>0.99908144519289654</v>
          </cell>
          <cell r="L502">
            <v>161.97567634648726</v>
          </cell>
        </row>
        <row r="503">
          <cell r="B503">
            <v>36882</v>
          </cell>
          <cell r="C503">
            <v>497</v>
          </cell>
          <cell r="D503">
            <v>1.7396673773233395</v>
          </cell>
          <cell r="E503">
            <v>1.0096176826268006</v>
          </cell>
          <cell r="F503">
            <v>146.52771318271854</v>
          </cell>
          <cell r="G503">
            <v>15.73</v>
          </cell>
          <cell r="H503">
            <v>5.8023219881198074E-4</v>
          </cell>
          <cell r="J503">
            <v>1.9523999999999999</v>
          </cell>
          <cell r="K503">
            <v>0.99632578077158596</v>
          </cell>
          <cell r="L503">
            <v>161.52891536361309</v>
          </cell>
        </row>
        <row r="504">
          <cell r="B504">
            <v>36886</v>
          </cell>
          <cell r="C504">
            <v>498</v>
          </cell>
          <cell r="D504">
            <v>1.738638069627596</v>
          </cell>
          <cell r="E504">
            <v>1.0102031489421455</v>
          </cell>
          <cell r="F504">
            <v>146.61268301021781</v>
          </cell>
          <cell r="G504">
            <v>15.72</v>
          </cell>
          <cell r="H504">
            <v>5.7988912577444651E-4</v>
          </cell>
          <cell r="J504">
            <v>1.9578</v>
          </cell>
          <cell r="K504">
            <v>0.99908144519289654</v>
          </cell>
          <cell r="L504">
            <v>161.97567634648726</v>
          </cell>
        </row>
        <row r="505">
          <cell r="B505">
            <v>36887</v>
          </cell>
          <cell r="C505">
            <v>499</v>
          </cell>
          <cell r="D505">
            <v>1.7365791884234039</v>
          </cell>
          <cell r="E505">
            <v>1.0107886081597484</v>
          </cell>
          <cell r="F505">
            <v>146.69765180760842</v>
          </cell>
          <cell r="G505">
            <v>15.7</v>
          </cell>
          <cell r="H505">
            <v>5.7954602320919868E-4</v>
          </cell>
          <cell r="J505">
            <v>1.964</v>
          </cell>
          <cell r="K505">
            <v>1.0022453561951419</v>
          </cell>
          <cell r="L505">
            <v>162.48862414163906</v>
          </cell>
        </row>
        <row r="506">
          <cell r="B506">
            <v>36888</v>
          </cell>
          <cell r="C506">
            <v>500</v>
          </cell>
          <cell r="D506">
            <v>1.738638069627596</v>
          </cell>
          <cell r="E506">
            <v>1.0113737129800235</v>
          </cell>
          <cell r="F506">
            <v>146.78256917064829</v>
          </cell>
          <cell r="G506">
            <v>15.72</v>
          </cell>
          <cell r="H506">
            <v>5.7885972947424591E-4</v>
          </cell>
          <cell r="J506">
            <v>1.9643332767754453</v>
          </cell>
          <cell r="K506">
            <v>1.0024154300752426</v>
          </cell>
          <cell r="L506">
            <v>162.5161973008552</v>
          </cell>
        </row>
        <row r="507">
          <cell r="B507">
            <v>36889</v>
          </cell>
          <cell r="C507">
            <v>501</v>
          </cell>
          <cell r="D507">
            <v>1.738638069627596</v>
          </cell>
          <cell r="E507">
            <v>1.0119598505933594</v>
          </cell>
          <cell r="F507">
            <v>146.86763642488754</v>
          </cell>
          <cell r="G507">
            <v>15.72</v>
          </cell>
          <cell r="H507">
            <v>5.7954602320897664E-4</v>
          </cell>
          <cell r="J507">
            <v>1.9646666101055796</v>
          </cell>
          <cell r="K507">
            <v>1.0025855328156663</v>
          </cell>
          <cell r="L507">
            <v>162.54377513903955</v>
          </cell>
        </row>
        <row r="508">
          <cell r="B508">
            <v>36893</v>
          </cell>
          <cell r="C508">
            <v>502</v>
          </cell>
          <cell r="D508">
            <v>1.7396673773233395</v>
          </cell>
          <cell r="E508">
            <v>1.0005795460232092</v>
          </cell>
          <cell r="F508">
            <v>146.95275297951571</v>
          </cell>
          <cell r="G508">
            <v>15.73</v>
          </cell>
          <cell r="H508">
            <v>5.7954602320919868E-4</v>
          </cell>
          <cell r="J508">
            <v>1.9650000000000001</v>
          </cell>
          <cell r="K508">
            <v>1.0001696928591883</v>
          </cell>
          <cell r="L508">
            <v>162.57135765698615</v>
          </cell>
        </row>
        <row r="509">
          <cell r="B509">
            <v>36894</v>
          </cell>
          <cell r="C509">
            <v>503</v>
          </cell>
          <cell r="D509">
            <v>1.7365791884234039</v>
          </cell>
          <cell r="E509">
            <v>1.0011597712214204</v>
          </cell>
          <cell r="F509">
            <v>147.03796928297115</v>
          </cell>
          <cell r="G509">
            <v>15.7</v>
          </cell>
          <cell r="H509">
            <v>5.7988912577444651E-4</v>
          </cell>
          <cell r="J509">
            <v>1.9654534450700745</v>
          </cell>
          <cell r="K509">
            <v>1.0004004928675674</v>
          </cell>
          <cell r="L509">
            <v>162.60887276165019</v>
          </cell>
        </row>
        <row r="510">
          <cell r="B510">
            <v>36895</v>
          </cell>
          <cell r="C510">
            <v>504</v>
          </cell>
          <cell r="D510">
            <v>1.735549614884313</v>
          </cell>
          <cell r="E510">
            <v>1.0017393022957504</v>
          </cell>
          <cell r="F510">
            <v>147.12308364209278</v>
          </cell>
          <cell r="G510">
            <v>15.69</v>
          </cell>
          <cell r="H510">
            <v>5.7885972947469E-4</v>
          </cell>
          <cell r="J510">
            <v>1.9659069947775185</v>
          </cell>
          <cell r="K510">
            <v>1.0006313461355525</v>
          </cell>
          <cell r="L510">
            <v>162.64639652333167</v>
          </cell>
        </row>
        <row r="511">
          <cell r="B511">
            <v>36896</v>
          </cell>
          <cell r="C511">
            <v>505</v>
          </cell>
          <cell r="D511">
            <v>1.7365791884234039</v>
          </cell>
          <cell r="E511">
            <v>1.0023188250491883</v>
          </cell>
          <cell r="F511">
            <v>147.20819677914466</v>
          </cell>
          <cell r="G511">
            <v>15.7</v>
          </cell>
          <cell r="H511">
            <v>5.7851653829477101E-4</v>
          </cell>
          <cell r="J511">
            <v>1.9663606491464785</v>
          </cell>
          <cell r="K511">
            <v>1.0008622526754338</v>
          </cell>
          <cell r="L511">
            <v>162.68392894402828</v>
          </cell>
        </row>
        <row r="512">
          <cell r="B512">
            <v>36899</v>
          </cell>
          <cell r="C512">
            <v>506</v>
          </cell>
          <cell r="D512">
            <v>1.735549614884313</v>
          </cell>
          <cell r="E512">
            <v>1.0028990270531035</v>
          </cell>
          <cell r="F512">
            <v>147.29340967610867</v>
          </cell>
          <cell r="G512">
            <v>15.69</v>
          </cell>
          <cell r="H512">
            <v>5.7885972947446795E-4</v>
          </cell>
          <cell r="J512">
            <v>1.9668144082011063</v>
          </cell>
          <cell r="K512">
            <v>1.0010932124995047</v>
          </cell>
          <cell r="L512">
            <v>162.7214700257382</v>
          </cell>
        </row>
        <row r="513">
          <cell r="B513">
            <v>36900</v>
          </cell>
          <cell r="C513">
            <v>507</v>
          </cell>
          <cell r="D513">
            <v>1.735549614884313</v>
          </cell>
          <cell r="E513">
            <v>1.0034792207264935</v>
          </cell>
          <cell r="F513">
            <v>147.37862134958814</v>
          </cell>
          <cell r="G513">
            <v>15.69</v>
          </cell>
          <cell r="H513">
            <v>5.7851653829499305E-4</v>
          </cell>
          <cell r="J513">
            <v>1.9672682719655592</v>
          </cell>
          <cell r="K513">
            <v>1.0013242256200607</v>
          </cell>
          <cell r="L513">
            <v>162.75901977046004</v>
          </cell>
        </row>
        <row r="514">
          <cell r="B514">
            <v>36901</v>
          </cell>
          <cell r="C514">
            <v>508</v>
          </cell>
          <cell r="D514">
            <v>1.7293703115752734</v>
          </cell>
          <cell r="E514">
            <v>1.0040597500515189</v>
          </cell>
          <cell r="F514">
            <v>147.46388231942996</v>
          </cell>
          <cell r="G514">
            <v>15.63</v>
          </cell>
          <cell r="H514">
            <v>5.7851653829477101E-4</v>
          </cell>
          <cell r="J514">
            <v>1.967722240464</v>
          </cell>
          <cell r="K514">
            <v>1.0015552920494009</v>
          </cell>
          <cell r="L514">
            <v>162.79657818019288</v>
          </cell>
        </row>
        <row r="515">
          <cell r="B515">
            <v>36902</v>
          </cell>
          <cell r="C515">
            <v>509</v>
          </cell>
          <cell r="D515">
            <v>1.727309834075319</v>
          </cell>
          <cell r="E515">
            <v>1.0046385470924479</v>
          </cell>
          <cell r="F515">
            <v>147.54888887280092</v>
          </cell>
          <cell r="G515">
            <v>15.61</v>
          </cell>
          <cell r="H515">
            <v>5.7645677052509114E-4</v>
          </cell>
          <cell r="J515">
            <v>1.9681763137205974</v>
          </cell>
          <cell r="K515">
            <v>1.0017864117998265</v>
          </cell>
          <cell r="L515">
            <v>162.83414525693627</v>
          </cell>
        </row>
        <row r="516">
          <cell r="B516">
            <v>36903</v>
          </cell>
          <cell r="C516">
            <v>510</v>
          </cell>
          <cell r="D516">
            <v>1.7252490015060573</v>
          </cell>
          <cell r="E516">
            <v>1.0052169877731425</v>
          </cell>
          <cell r="F516">
            <v>147.63384308838653</v>
          </cell>
          <cell r="G516">
            <v>15.59</v>
          </cell>
          <cell r="H516">
            <v>5.7576994469177301E-4</v>
          </cell>
          <cell r="J516">
            <v>1.9686304917595254</v>
          </cell>
          <cell r="K516">
            <v>1.0020175848836423</v>
          </cell>
          <cell r="L516">
            <v>162.87172100269021</v>
          </cell>
        </row>
        <row r="517">
          <cell r="B517">
            <v>36906</v>
          </cell>
          <cell r="C517">
            <v>511</v>
          </cell>
          <cell r="D517">
            <v>1.7242184520323001</v>
          </cell>
          <cell r="E517">
            <v>1.0057950709746266</v>
          </cell>
          <cell r="F517">
            <v>147.71874480184545</v>
          </cell>
          <cell r="G517">
            <v>15.58</v>
          </cell>
          <cell r="H517">
            <v>5.750830005020191E-4</v>
          </cell>
          <cell r="J517">
            <v>1.9690847746049638</v>
          </cell>
          <cell r="K517">
            <v>1.0022488113131554</v>
          </cell>
          <cell r="L517">
            <v>162.90930541945519</v>
          </cell>
        </row>
        <row r="518">
          <cell r="B518">
            <v>36907</v>
          </cell>
          <cell r="C518">
            <v>512</v>
          </cell>
          <cell r="D518">
            <v>1.7252490015060573</v>
          </cell>
          <cell r="E518">
            <v>1.0063731411147392</v>
          </cell>
          <cell r="F518">
            <v>147.80364459701158</v>
          </cell>
          <cell r="G518">
            <v>15.59</v>
          </cell>
          <cell r="H518">
            <v>5.7473948401076669E-4</v>
          </cell>
          <cell r="J518">
            <v>1.9695391622810976</v>
          </cell>
          <cell r="K518">
            <v>1.0024800911006759</v>
          </cell>
          <cell r="L518">
            <v>162.94689850923214</v>
          </cell>
        </row>
        <row r="519">
          <cell r="B519">
            <v>36908</v>
          </cell>
          <cell r="C519">
            <v>513</v>
          </cell>
          <cell r="D519">
            <v>1.6932606005499728</v>
          </cell>
          <cell r="E519">
            <v>1.0069518892003562</v>
          </cell>
          <cell r="F519">
            <v>147.88864396043155</v>
          </cell>
          <cell r="G519">
            <v>15.28</v>
          </cell>
          <cell r="H519">
            <v>5.750830005020191E-4</v>
          </cell>
          <cell r="J519">
            <v>1.9699936548121177</v>
          </cell>
          <cell r="K519">
            <v>1.0027114242585167</v>
          </cell>
          <cell r="L519">
            <v>162.98450027402242</v>
          </cell>
        </row>
        <row r="520">
          <cell r="B520">
            <v>36909</v>
          </cell>
          <cell r="C520">
            <v>514</v>
          </cell>
          <cell r="D520">
            <v>1.6849916208456772</v>
          </cell>
          <cell r="E520">
            <v>1.0075202331872337</v>
          </cell>
          <cell r="F520">
            <v>147.97211529846055</v>
          </cell>
          <cell r="G520">
            <v>15.2</v>
          </cell>
          <cell r="H520">
            <v>5.6442020018332428E-4</v>
          </cell>
          <cell r="J520">
            <v>1.9704482522222202</v>
          </cell>
          <cell r="K520">
            <v>1.0029428107989935</v>
          </cell>
          <cell r="L520">
            <v>163.02211071582786</v>
          </cell>
        </row>
        <row r="521">
          <cell r="B521">
            <v>36910</v>
          </cell>
          <cell r="C521">
            <v>515</v>
          </cell>
          <cell r="D521">
            <v>1.6849916208456772</v>
          </cell>
          <cell r="E521">
            <v>1.0080861209041514</v>
          </cell>
          <cell r="F521">
            <v>148.05522588992611</v>
          </cell>
          <cell r="G521">
            <v>15.2</v>
          </cell>
          <cell r="H521">
            <v>5.6166387361500369E-4</v>
          </cell>
          <cell r="J521">
            <v>1.9709029545356074</v>
          </cell>
          <cell r="K521">
            <v>1.003174250734425</v>
          </cell>
          <cell r="L521">
            <v>163.05972983665083</v>
          </cell>
        </row>
        <row r="522">
          <cell r="B522">
            <v>36913</v>
          </cell>
          <cell r="C522">
            <v>516</v>
          </cell>
          <cell r="D522">
            <v>1.6829234822386407</v>
          </cell>
          <cell r="E522">
            <v>1.0086523264597562</v>
          </cell>
          <cell r="F522">
            <v>148.13838316160843</v>
          </cell>
          <cell r="G522">
            <v>15.18</v>
          </cell>
          <cell r="H522">
            <v>5.6166387361522574E-4</v>
          </cell>
          <cell r="J522">
            <v>1.9713577617764872</v>
          </cell>
          <cell r="K522">
            <v>1.0034057440771329</v>
          </cell>
          <cell r="L522">
            <v>163.09735763849412</v>
          </cell>
        </row>
        <row r="523">
          <cell r="B523">
            <v>36914</v>
          </cell>
          <cell r="C523">
            <v>517</v>
          </cell>
          <cell r="D523">
            <v>1.6798206035646412</v>
          </cell>
          <cell r="E523">
            <v>1.0092181546882941</v>
          </cell>
          <cell r="F523">
            <v>148.22148501615627</v>
          </cell>
          <cell r="G523">
            <v>15.15</v>
          </cell>
          <cell r="H523">
            <v>5.6097449407954691E-4</v>
          </cell>
          <cell r="J523">
            <v>1.9718126739690727</v>
          </cell>
          <cell r="K523">
            <v>1.0036372908394413</v>
          </cell>
          <cell r="L523">
            <v>163.13499412336094</v>
          </cell>
        </row>
        <row r="524">
          <cell r="B524">
            <v>36915</v>
          </cell>
          <cell r="C524">
            <v>518</v>
          </cell>
          <cell r="D524">
            <v>1.6818892787977546</v>
          </cell>
          <cell r="E524">
            <v>1.009783256504873</v>
          </cell>
          <cell r="F524">
            <v>148.30448018429661</v>
          </cell>
          <cell r="G524">
            <v>15.17</v>
          </cell>
          <cell r="H524">
            <v>5.599402011879917E-4</v>
          </cell>
          <cell r="J524">
            <v>1.9722676911375818</v>
          </cell>
          <cell r="K524">
            <v>1.003868891033677</v>
          </cell>
          <cell r="L524">
            <v>163.17263929325497</v>
          </cell>
        </row>
        <row r="525">
          <cell r="B525">
            <v>36916</v>
          </cell>
          <cell r="C525">
            <v>519</v>
          </cell>
          <cell r="D525">
            <v>1.6829234822386407</v>
          </cell>
          <cell r="E525">
            <v>1.0103493710492146</v>
          </cell>
          <cell r="F525">
            <v>148.38762408936981</v>
          </cell>
          <cell r="G525">
            <v>15.18</v>
          </cell>
          <cell r="H525">
            <v>5.6062975959925154E-4</v>
          </cell>
          <cell r="J525">
            <v>1.97272281330624</v>
          </cell>
          <cell r="K525">
            <v>1.0041005446721707</v>
          </cell>
          <cell r="L525">
            <v>163.21029315018043</v>
          </cell>
        </row>
        <row r="526">
          <cell r="B526">
            <v>36917</v>
          </cell>
          <cell r="C526">
            <v>520</v>
          </cell>
          <cell r="D526">
            <v>1.6767169196014731</v>
          </cell>
          <cell r="E526">
            <v>1.0109161512764826</v>
          </cell>
          <cell r="F526">
            <v>148.470865761721</v>
          </cell>
          <cell r="G526">
            <v>15.12</v>
          </cell>
          <cell r="H526">
            <v>5.6097449407954691E-4</v>
          </cell>
          <cell r="J526">
            <v>1.973178040499276</v>
          </cell>
          <cell r="K526">
            <v>1.0043322517672546</v>
          </cell>
          <cell r="L526">
            <v>163.2479556961419</v>
          </cell>
        </row>
        <row r="527">
          <cell r="B527">
            <v>36920</v>
          </cell>
          <cell r="C527">
            <v>521</v>
          </cell>
          <cell r="D527">
            <v>1.6736124299308042</v>
          </cell>
          <cell r="E527">
            <v>1.0114811580148639</v>
          </cell>
          <cell r="F527">
            <v>148.55384696595121</v>
          </cell>
          <cell r="G527">
            <v>15.09</v>
          </cell>
          <cell r="H527">
            <v>5.5890563986737973E-4</v>
          </cell>
          <cell r="J527">
            <v>1.9736333727409265</v>
          </cell>
          <cell r="K527">
            <v>1.0045640123312651</v>
          </cell>
          <cell r="L527">
            <v>163.2856269331445</v>
          </cell>
        </row>
        <row r="528">
          <cell r="B528">
            <v>36921</v>
          </cell>
          <cell r="C528">
            <v>522</v>
          </cell>
          <cell r="D528">
            <v>1.6725774209223054</v>
          </cell>
          <cell r="E528">
            <v>1.012045433827762</v>
          </cell>
          <cell r="F528">
            <v>148.63672082088328</v>
          </cell>
          <cell r="G528">
            <v>15.08</v>
          </cell>
          <cell r="H528">
            <v>5.5787080997693472E-4</v>
          </cell>
          <cell r="J528">
            <v>1.9740888100554317</v>
          </cell>
          <cell r="K528">
            <v>1.00479582637654</v>
          </cell>
          <cell r="L528">
            <v>163.32330686319375</v>
          </cell>
        </row>
        <row r="529">
          <cell r="B529">
            <v>36922</v>
          </cell>
          <cell r="C529">
            <v>523</v>
          </cell>
          <cell r="D529">
            <v>1.6684364888797099</v>
          </cell>
          <cell r="E529">
            <v>1.0126096752749514</v>
          </cell>
          <cell r="F529">
            <v>148.71958962860495</v>
          </cell>
          <cell r="G529">
            <v>15.04</v>
          </cell>
          <cell r="H529">
            <v>5.5752580697432386E-4</v>
          </cell>
          <cell r="J529">
            <v>1.974544352467039</v>
          </cell>
          <cell r="K529">
            <v>1.0050276939154212</v>
          </cell>
          <cell r="L529">
            <v>163.36099548829571</v>
          </cell>
        </row>
        <row r="530">
          <cell r="B530">
            <v>36923</v>
          </cell>
          <cell r="C530">
            <v>524</v>
          </cell>
          <cell r="D530">
            <v>1.6674010317896393</v>
          </cell>
          <cell r="E530">
            <v>1.0005561454962932</v>
          </cell>
          <cell r="F530">
            <v>148.80229935858748</v>
          </cell>
          <cell r="G530">
            <v>15.03</v>
          </cell>
          <cell r="H530">
            <v>5.5614549629323662E-4</v>
          </cell>
          <cell r="J530">
            <v>1.9750000000000001</v>
          </cell>
          <cell r="K530">
            <v>1.0002307608499104</v>
          </cell>
          <cell r="L530">
            <v>163.39869281045679</v>
          </cell>
        </row>
        <row r="531">
          <cell r="B531">
            <v>36924</v>
          </cell>
          <cell r="C531">
            <v>525</v>
          </cell>
          <cell r="D531">
            <v>1.6663654850359588</v>
          </cell>
          <cell r="E531">
            <v>1.0011122549460811</v>
          </cell>
          <cell r="F531">
            <v>148.88500372774851</v>
          </cell>
          <cell r="G531">
            <v>15.02</v>
          </cell>
          <cell r="H531">
            <v>5.5580034392965771E-4</v>
          </cell>
          <cell r="J531">
            <v>1.975554231566093</v>
          </cell>
          <cell r="K531">
            <v>1.0005114491846143</v>
          </cell>
          <cell r="L531">
            <v>163.44454633623599</v>
          </cell>
        </row>
        <row r="532">
          <cell r="B532">
            <v>36927</v>
          </cell>
          <cell r="C532">
            <v>526</v>
          </cell>
          <cell r="D532">
            <v>1.6684364888797099</v>
          </cell>
          <cell r="E532">
            <v>1.0016683279155107</v>
          </cell>
          <cell r="F532">
            <v>148.96770267156563</v>
          </cell>
          <cell r="G532">
            <v>15.04</v>
          </cell>
          <cell r="H532">
            <v>5.5545516167865294E-4</v>
          </cell>
          <cell r="J532">
            <v>1.9761086186626309</v>
          </cell>
          <cell r="K532">
            <v>1.000792216287083</v>
          </cell>
          <cell r="L532">
            <v>163.49041272959562</v>
          </cell>
        </row>
        <row r="533">
          <cell r="B533">
            <v>36928</v>
          </cell>
          <cell r="C533">
            <v>527</v>
          </cell>
          <cell r="D533">
            <v>1.6694718563221578</v>
          </cell>
          <cell r="E533">
            <v>1.0022254012448606</v>
          </cell>
          <cell r="F533">
            <v>149.0505503884996</v>
          </cell>
          <cell r="G533">
            <v>15.05</v>
          </cell>
          <cell r="H533">
            <v>5.5614549629345866E-4</v>
          </cell>
          <cell r="J533">
            <v>1.9766631613332593</v>
          </cell>
          <cell r="K533">
            <v>1.0010730621794204</v>
          </cell>
          <cell r="L533">
            <v>163.53629199414667</v>
          </cell>
        </row>
        <row r="534">
          <cell r="B534">
            <v>36929</v>
          </cell>
          <cell r="C534">
            <v>528</v>
          </cell>
          <cell r="D534">
            <v>1.6725774209223054</v>
          </cell>
          <cell r="E534">
            <v>1.0027831302785504</v>
          </cell>
          <cell r="F534">
            <v>149.1334956215139</v>
          </cell>
          <cell r="G534">
            <v>15.08</v>
          </cell>
          <cell r="H534">
            <v>5.5649061877405259E-4</v>
          </cell>
          <cell r="J534">
            <v>1.9772178596216359</v>
          </cell>
          <cell r="K534">
            <v>1.0013539868837369</v>
          </cell>
          <cell r="L534">
            <v>163.58218413350107</v>
          </cell>
        </row>
        <row r="535">
          <cell r="B535">
            <v>36930</v>
          </cell>
          <cell r="C535">
            <v>529</v>
          </cell>
          <cell r="D535">
            <v>1.674647349370284</v>
          </cell>
          <cell r="E535">
            <v>1.003342207752479</v>
          </cell>
          <cell r="F535">
            <v>149.21664139400715</v>
          </cell>
          <cell r="G535">
            <v>15.1</v>
          </cell>
          <cell r="H535">
            <v>5.5752580697410181E-4</v>
          </cell>
          <cell r="J535">
            <v>1.9777727135714309</v>
          </cell>
          <cell r="K535">
            <v>1.0016349904221491</v>
          </cell>
          <cell r="L535">
            <v>163.62808915127181</v>
          </cell>
        </row>
        <row r="536">
          <cell r="B536">
            <v>36931</v>
          </cell>
          <cell r="C536">
            <v>530</v>
          </cell>
          <cell r="D536">
            <v>1.6767169196014731</v>
          </cell>
          <cell r="E536">
            <v>1.0039022892087204</v>
          </cell>
          <cell r="F536">
            <v>149.29993647833797</v>
          </cell>
          <cell r="G536">
            <v>15.12</v>
          </cell>
          <cell r="H536">
            <v>5.5821578312342801E-4</v>
          </cell>
          <cell r="J536">
            <v>1.9783277232263263</v>
          </cell>
          <cell r="K536">
            <v>1.0019160728167795</v>
          </cell>
          <cell r="L536">
            <v>163.67400705107286</v>
          </cell>
        </row>
        <row r="537">
          <cell r="B537">
            <v>36934</v>
          </cell>
          <cell r="C537">
            <v>531</v>
          </cell>
          <cell r="D537">
            <v>1.674647349370284</v>
          </cell>
          <cell r="E537">
            <v>1.0044633758600348</v>
          </cell>
          <cell r="F537">
            <v>149.38338105486756</v>
          </cell>
          <cell r="G537">
            <v>15.1</v>
          </cell>
          <cell r="H537">
            <v>5.5890563986737973E-4</v>
          </cell>
          <cell r="J537">
            <v>1.9788828886300169</v>
          </cell>
          <cell r="K537">
            <v>1.0021972340897571</v>
          </cell>
          <cell r="L537">
            <v>163.71993783651925</v>
          </cell>
        </row>
        <row r="538">
          <cell r="B538">
            <v>36935</v>
          </cell>
          <cell r="C538">
            <v>532</v>
          </cell>
          <cell r="D538">
            <v>1.6725774209223054</v>
          </cell>
          <cell r="E538">
            <v>1.0050240831700092</v>
          </cell>
          <cell r="F538">
            <v>149.46676921590873</v>
          </cell>
          <cell r="G538">
            <v>15.08</v>
          </cell>
          <cell r="H538">
            <v>5.5821578312342801E-4</v>
          </cell>
          <cell r="J538">
            <v>1.9794382098262093</v>
          </cell>
          <cell r="K538">
            <v>1.0024784742632171</v>
          </cell>
          <cell r="L538">
            <v>163.76588151122698</v>
          </cell>
        </row>
        <row r="539">
          <cell r="B539">
            <v>36936</v>
          </cell>
          <cell r="C539">
            <v>533</v>
          </cell>
          <cell r="D539">
            <v>1.6632583066433781</v>
          </cell>
          <cell r="E539">
            <v>1.0055844100330069</v>
          </cell>
          <cell r="F539">
            <v>149.55010079703163</v>
          </cell>
          <cell r="G539">
            <v>14.99</v>
          </cell>
          <cell r="H539">
            <v>5.5752580697410181E-4</v>
          </cell>
          <cell r="J539">
            <v>1.9799936868586225</v>
          </cell>
          <cell r="K539">
            <v>1.0027597933593009</v>
          </cell>
          <cell r="L539">
            <v>163.81183807881308</v>
          </cell>
        </row>
        <row r="540">
          <cell r="B540">
            <v>36937</v>
          </cell>
          <cell r="C540">
            <v>534</v>
          </cell>
          <cell r="D540">
            <v>1.6818892787977546</v>
          </cell>
          <cell r="E540">
            <v>1.0061419255740132</v>
          </cell>
          <cell r="F540">
            <v>149.63301427950165</v>
          </cell>
          <cell r="G540">
            <v>15.17</v>
          </cell>
          <cell r="H540">
            <v>5.5441943554779272E-4</v>
          </cell>
          <cell r="J540">
            <v>1.980549319770988</v>
          </cell>
          <cell r="K540">
            <v>1.0030411914001558</v>
          </cell>
          <cell r="L540">
            <v>163.85780754289561</v>
          </cell>
        </row>
        <row r="541">
          <cell r="B541">
            <v>36938</v>
          </cell>
          <cell r="C541">
            <v>535</v>
          </cell>
          <cell r="D541">
            <v>1.6818892787977546</v>
          </cell>
          <cell r="E541">
            <v>1.0067059986798705</v>
          </cell>
          <cell r="F541">
            <v>149.71690300032529</v>
          </cell>
          <cell r="G541">
            <v>15.17</v>
          </cell>
          <cell r="H541">
            <v>5.6062975959925154E-4</v>
          </cell>
          <cell r="J541">
            <v>1.9811051086070492</v>
          </cell>
          <cell r="K541">
            <v>1.0033226684079357</v>
          </cell>
          <cell r="L541">
            <v>163.90378990709362</v>
          </cell>
        </row>
        <row r="542">
          <cell r="B542">
            <v>36941</v>
          </cell>
          <cell r="C542">
            <v>536</v>
          </cell>
          <cell r="D542">
            <v>1.6787861317404396</v>
          </cell>
          <cell r="E542">
            <v>1.0072703880218976</v>
          </cell>
          <cell r="F542">
            <v>149.8008387516623</v>
          </cell>
          <cell r="G542">
            <v>15.14</v>
          </cell>
          <cell r="H542">
            <v>5.6062975959925154E-4</v>
          </cell>
          <cell r="J542">
            <v>1.9816610534105621</v>
          </cell>
          <cell r="K542">
            <v>1.0036042244048007</v>
          </cell>
          <cell r="L542">
            <v>163.94978517502719</v>
          </cell>
        </row>
        <row r="543">
          <cell r="B543">
            <v>36942</v>
          </cell>
          <cell r="C543">
            <v>537</v>
          </cell>
          <cell r="D543">
            <v>1.6798206035646412</v>
          </cell>
          <cell r="E543">
            <v>1.0078340518746722</v>
          </cell>
          <cell r="F543">
            <v>149.88466660853541</v>
          </cell>
          <cell r="G543">
            <v>15.15</v>
          </cell>
          <cell r="H543">
            <v>5.5959537724681319E-4</v>
          </cell>
          <cell r="J543">
            <v>1.9822171542252949</v>
          </cell>
          <cell r="K543">
            <v>1.0038858594129167</v>
          </cell>
          <cell r="L543">
            <v>163.9957933503174</v>
          </cell>
        </row>
        <row r="544">
          <cell r="B544">
            <v>36943</v>
          </cell>
          <cell r="C544">
            <v>538</v>
          </cell>
          <cell r="D544">
            <v>1.6798206035646412</v>
          </cell>
          <cell r="E544">
            <v>1.0083983786764432</v>
          </cell>
          <cell r="F544">
            <v>149.96859305891124</v>
          </cell>
          <cell r="G544">
            <v>15.15</v>
          </cell>
          <cell r="H544">
            <v>5.5994020118821375E-4</v>
          </cell>
          <cell r="J544">
            <v>1.9827734110950279</v>
          </cell>
          <cell r="K544">
            <v>1.0041675734544564</v>
          </cell>
          <cell r="L544">
            <v>164.04181443658635</v>
          </cell>
        </row>
        <row r="545">
          <cell r="B545">
            <v>36944</v>
          </cell>
          <cell r="C545">
            <v>539</v>
          </cell>
          <cell r="D545">
            <v>1.6798206035646412</v>
          </cell>
          <cell r="E545">
            <v>1.0089630214674772</v>
          </cell>
          <cell r="F545">
            <v>150.05256650308056</v>
          </cell>
          <cell r="G545">
            <v>15.15</v>
          </cell>
          <cell r="H545">
            <v>5.5994020118821375E-4</v>
          </cell>
          <cell r="J545">
            <v>1.9833298240635537</v>
          </cell>
          <cell r="K545">
            <v>1.0044493665515983</v>
          </cell>
          <cell r="L545">
            <v>164.08784843745718</v>
          </cell>
        </row>
        <row r="546">
          <cell r="B546">
            <v>36945</v>
          </cell>
          <cell r="C546">
            <v>540</v>
          </cell>
          <cell r="D546">
            <v>1.6798206035646412</v>
          </cell>
          <cell r="E546">
            <v>1.0095279804247093</v>
          </cell>
          <cell r="F546">
            <v>150.13658696735712</v>
          </cell>
          <cell r="G546">
            <v>15.15</v>
          </cell>
          <cell r="H546">
            <v>5.5994020118843579E-4</v>
          </cell>
          <cell r="J546">
            <v>1.9838863931746775</v>
          </cell>
          <cell r="K546">
            <v>1.0047312387265275</v>
          </cell>
          <cell r="L546">
            <v>164.13389535655406</v>
          </cell>
        </row>
        <row r="547">
          <cell r="B547">
            <v>36950</v>
          </cell>
          <cell r="C547">
            <v>541</v>
          </cell>
          <cell r="D547">
            <v>1.6767169196014731</v>
          </cell>
          <cell r="E547">
            <v>1.0100932557251734</v>
          </cell>
          <cell r="F547">
            <v>150.22065447806935</v>
          </cell>
          <cell r="G547">
            <v>15.12</v>
          </cell>
          <cell r="H547">
            <v>5.5994020118843579E-4</v>
          </cell>
          <cell r="J547">
            <v>1.9844431184722167</v>
          </cell>
          <cell r="K547">
            <v>1.0050131900014347</v>
          </cell>
          <cell r="L547">
            <v>164.17995519750212</v>
          </cell>
        </row>
        <row r="548">
          <cell r="B548">
            <v>36951</v>
          </cell>
          <cell r="C548">
            <v>542</v>
          </cell>
          <cell r="D548">
            <v>1.6736124299308042</v>
          </cell>
          <cell r="E548">
            <v>1.0005589056398672</v>
          </cell>
          <cell r="F548">
            <v>150.30461364908169</v>
          </cell>
          <cell r="G548">
            <v>15.09</v>
          </cell>
          <cell r="H548">
            <v>5.5890563986715769E-4</v>
          </cell>
          <cell r="J548">
            <v>1.9850000000000001</v>
          </cell>
          <cell r="K548">
            <v>1.0002806235777684</v>
          </cell>
          <cell r="L548">
            <v>164.22602796392749</v>
          </cell>
        </row>
        <row r="549">
          <cell r="B549">
            <v>36952</v>
          </cell>
          <cell r="C549">
            <v>543</v>
          </cell>
          <cell r="D549">
            <v>1.6736124299308042</v>
          </cell>
          <cell r="E549">
            <v>1.0011170882469862</v>
          </cell>
          <cell r="F549">
            <v>150.38846420564138</v>
          </cell>
          <cell r="G549">
            <v>15.09</v>
          </cell>
          <cell r="H549">
            <v>5.5787080997693472E-4</v>
          </cell>
          <cell r="J549">
            <v>1.9854534561208328</v>
          </cell>
          <cell r="K549">
            <v>1.0005091290544996</v>
          </cell>
          <cell r="L549">
            <v>164.26354398285963</v>
          </cell>
        </row>
        <row r="550">
          <cell r="B550">
            <v>36955</v>
          </cell>
          <cell r="C550">
            <v>544</v>
          </cell>
          <cell r="D550">
            <v>1.6736124299308042</v>
          </cell>
          <cell r="E550">
            <v>1.0016755822478882</v>
          </cell>
          <cell r="F550">
            <v>150.47236153997898</v>
          </cell>
          <cell r="G550">
            <v>15.09</v>
          </cell>
          <cell r="H550">
            <v>5.5787080997693472E-4</v>
          </cell>
          <cell r="J550">
            <v>1.9859070158298033</v>
          </cell>
          <cell r="K550">
            <v>1.0007376867313353</v>
          </cell>
          <cell r="L550">
            <v>164.30106857200255</v>
          </cell>
        </row>
        <row r="551">
          <cell r="B551">
            <v>36956</v>
          </cell>
          <cell r="C551">
            <v>545</v>
          </cell>
          <cell r="D551">
            <v>1.6725774209223054</v>
          </cell>
          <cell r="E551">
            <v>1.0022343878162909</v>
          </cell>
          <cell r="F551">
            <v>150.5563056781904</v>
          </cell>
          <cell r="G551">
            <v>15.08</v>
          </cell>
          <cell r="H551">
            <v>5.5787080997671268E-4</v>
          </cell>
          <cell r="J551">
            <v>1.9863606791505755</v>
          </cell>
          <cell r="K551">
            <v>1.0009662966202</v>
          </cell>
          <cell r="L551">
            <v>164.33860173331405</v>
          </cell>
        </row>
        <row r="552">
          <cell r="B552">
            <v>36957</v>
          </cell>
          <cell r="C552">
            <v>546</v>
          </cell>
          <cell r="D552">
            <v>1.6715423223281345</v>
          </cell>
          <cell r="E552">
            <v>1.0027931593521353</v>
          </cell>
          <cell r="F552">
            <v>150.64024470400867</v>
          </cell>
          <cell r="G552">
            <v>15.07</v>
          </cell>
          <cell r="H552">
            <v>5.5752580697410181E-4</v>
          </cell>
          <cell r="J552">
            <v>1.9868144461068185</v>
          </cell>
          <cell r="K552">
            <v>1.0011949587330209</v>
          </cell>
          <cell r="L552">
            <v>164.37614346875236</v>
          </cell>
        </row>
        <row r="553">
          <cell r="B553">
            <v>36958</v>
          </cell>
          <cell r="C553">
            <v>547</v>
          </cell>
          <cell r="D553">
            <v>1.6715423223281345</v>
          </cell>
          <cell r="E553">
            <v>1.0033518964209347</v>
          </cell>
          <cell r="F553">
            <v>150.72417855216486</v>
          </cell>
          <cell r="G553">
            <v>15.07</v>
          </cell>
          <cell r="H553">
            <v>5.5718077410937816E-4</v>
          </cell>
          <cell r="J553">
            <v>1.9872683167222067</v>
          </cell>
          <cell r="K553">
            <v>1.0014236730817283</v>
          </cell>
          <cell r="L553">
            <v>164.41369378027616</v>
          </cell>
        </row>
        <row r="554">
          <cell r="B554">
            <v>36959</v>
          </cell>
          <cell r="C554">
            <v>548</v>
          </cell>
          <cell r="D554">
            <v>1.6694718563221578</v>
          </cell>
          <cell r="E554">
            <v>1.0039109448072867</v>
          </cell>
          <cell r="F554">
            <v>150.80815916664756</v>
          </cell>
          <cell r="G554">
            <v>15.05</v>
          </cell>
          <cell r="H554">
            <v>5.5718077410937816E-4</v>
          </cell>
          <cell r="J554">
            <v>1.9877222910204206</v>
          </cell>
          <cell r="K554">
            <v>1.0016524396782551</v>
          </cell>
          <cell r="L554">
            <v>164.45125266984462</v>
          </cell>
        </row>
        <row r="555">
          <cell r="B555">
            <v>36962</v>
          </cell>
          <cell r="C555">
            <v>549</v>
          </cell>
          <cell r="D555">
            <v>1.6694718563221578</v>
          </cell>
          <cell r="E555">
            <v>1.0044696118301566</v>
          </cell>
          <cell r="F555">
            <v>150.89208249245837</v>
          </cell>
          <cell r="G555">
            <v>15.05</v>
          </cell>
          <cell r="H555">
            <v>5.5649061877405259E-4</v>
          </cell>
          <cell r="J555">
            <v>1.9881763690251455</v>
          </cell>
          <cell r="K555">
            <v>1.0018812585345367</v>
          </cell>
          <cell r="L555">
            <v>164.48882013941727</v>
          </cell>
        </row>
        <row r="556">
          <cell r="B556">
            <v>36963</v>
          </cell>
          <cell r="C556">
            <v>550</v>
          </cell>
          <cell r="D556">
            <v>1.6694718563221578</v>
          </cell>
          <cell r="E556">
            <v>1.0050285897459836</v>
          </cell>
          <cell r="F556">
            <v>150.97605252081271</v>
          </cell>
          <cell r="G556">
            <v>15.05</v>
          </cell>
          <cell r="H556">
            <v>5.5649061877405259E-4</v>
          </cell>
          <cell r="J556">
            <v>1.9886305507600721</v>
          </cell>
          <cell r="K556">
            <v>1.0021101296625115</v>
          </cell>
          <cell r="L556">
            <v>164.52639619095419</v>
          </cell>
        </row>
        <row r="557">
          <cell r="B557">
            <v>36964</v>
          </cell>
          <cell r="C557">
            <v>551</v>
          </cell>
          <cell r="D557">
            <v>1.6694718563221578</v>
          </cell>
          <cell r="E557">
            <v>1.005587878727777</v>
          </cell>
          <cell r="F557">
            <v>151.06006927770008</v>
          </cell>
          <cell r="G557">
            <v>15.05</v>
          </cell>
          <cell r="H557">
            <v>5.5649061877405259E-4</v>
          </cell>
          <cell r="J557">
            <v>1.9890848362488969</v>
          </cell>
          <cell r="K557">
            <v>1.0023390530741205</v>
          </cell>
          <cell r="L557">
            <v>164.56398082641581</v>
          </cell>
        </row>
        <row r="558">
          <cell r="B558">
            <v>36965</v>
          </cell>
          <cell r="C558">
            <v>552</v>
          </cell>
          <cell r="D558">
            <v>1.6694718563221578</v>
          </cell>
          <cell r="E558">
            <v>1.006147478948642</v>
          </cell>
          <cell r="F558">
            <v>151.14413278912448</v>
          </cell>
          <cell r="G558">
            <v>15.05</v>
          </cell>
          <cell r="H558">
            <v>5.5649061877405259E-4</v>
          </cell>
          <cell r="J558">
            <v>1.9895392255153213</v>
          </cell>
          <cell r="K558">
            <v>1.0025680287813075</v>
          </cell>
          <cell r="L558">
            <v>164.60157404776308</v>
          </cell>
        </row>
        <row r="559">
          <cell r="B559">
            <v>36966</v>
          </cell>
          <cell r="C559">
            <v>553</v>
          </cell>
          <cell r="D559">
            <v>1.6694718563221578</v>
          </cell>
          <cell r="E559">
            <v>1.00670739058178</v>
          </cell>
          <cell r="F559">
            <v>151.22824308110438</v>
          </cell>
          <cell r="G559">
            <v>15.05</v>
          </cell>
          <cell r="H559">
            <v>5.5649061877405259E-4</v>
          </cell>
          <cell r="J559">
            <v>1.9899937185830525</v>
          </cell>
          <cell r="K559">
            <v>1.0027970567960187</v>
          </cell>
          <cell r="L559">
            <v>164.63917585695737</v>
          </cell>
        </row>
        <row r="560">
          <cell r="B560">
            <v>36969</v>
          </cell>
          <cell r="C560">
            <v>554</v>
          </cell>
          <cell r="D560">
            <v>1.6694718563221578</v>
          </cell>
          <cell r="E560">
            <v>1.0072676138004892</v>
          </cell>
          <cell r="F560">
            <v>151.31240017967269</v>
          </cell>
          <cell r="G560">
            <v>15.05</v>
          </cell>
          <cell r="H560">
            <v>5.5649061877405259E-4</v>
          </cell>
          <cell r="J560">
            <v>1.9904483154758033</v>
          </cell>
          <cell r="K560">
            <v>1.0030261371302036</v>
          </cell>
          <cell r="L560">
            <v>164.67678625596048</v>
          </cell>
        </row>
        <row r="561">
          <cell r="B561">
            <v>36970</v>
          </cell>
          <cell r="C561">
            <v>555</v>
          </cell>
          <cell r="D561">
            <v>1.6694718563221578</v>
          </cell>
          <cell r="E561">
            <v>1.0078281487781642</v>
          </cell>
          <cell r="F561">
            <v>151.39660411087686</v>
          </cell>
          <cell r="G561">
            <v>15.05</v>
          </cell>
          <cell r="H561">
            <v>5.5649061877405259E-4</v>
          </cell>
          <cell r="J561">
            <v>1.9909030162172912</v>
          </cell>
          <cell r="K561">
            <v>1.0032552697958141</v>
          </cell>
          <cell r="L561">
            <v>164.71440524673469</v>
          </cell>
        </row>
        <row r="562">
          <cell r="B562">
            <v>36971</v>
          </cell>
          <cell r="C562">
            <v>556</v>
          </cell>
          <cell r="D562">
            <v>1.6694718563221578</v>
          </cell>
          <cell r="E562">
            <v>1.0083889956882957</v>
          </cell>
          <cell r="F562">
            <v>151.48085490077884</v>
          </cell>
          <cell r="G562">
            <v>15.05</v>
          </cell>
          <cell r="H562">
            <v>5.5649061877427464E-4</v>
          </cell>
          <cell r="J562">
            <v>1.9913578208312392</v>
          </cell>
          <cell r="K562">
            <v>1.0034844548048045</v>
          </cell>
          <cell r="L562">
            <v>164.75203283124267</v>
          </cell>
        </row>
        <row r="563">
          <cell r="B563">
            <v>36972</v>
          </cell>
          <cell r="C563">
            <v>557</v>
          </cell>
          <cell r="D563">
            <v>1.6694718563221578</v>
          </cell>
          <cell r="E563">
            <v>1.0089501547044712</v>
          </cell>
          <cell r="F563">
            <v>151.56515257545502</v>
          </cell>
          <cell r="G563">
            <v>15.05</v>
          </cell>
          <cell r="H563">
            <v>5.5649061877427464E-4</v>
          </cell>
          <cell r="J563">
            <v>1.9918127293413772</v>
          </cell>
          <cell r="K563">
            <v>1.0037136921691328</v>
          </cell>
          <cell r="L563">
            <v>164.78966901144767</v>
          </cell>
        </row>
        <row r="564">
          <cell r="B564">
            <v>36973</v>
          </cell>
          <cell r="C564">
            <v>558</v>
          </cell>
          <cell r="D564">
            <v>1.6694718563221578</v>
          </cell>
          <cell r="E564">
            <v>1.0095116260003749</v>
          </cell>
          <cell r="F564">
            <v>151.6494971609963</v>
          </cell>
          <cell r="G564">
            <v>15.05</v>
          </cell>
          <cell r="H564">
            <v>5.5649061877405259E-4</v>
          </cell>
          <cell r="J564">
            <v>1.9922677417714383</v>
          </cell>
          <cell r="K564">
            <v>1.0039429819007586</v>
          </cell>
          <cell r="L564">
            <v>164.82731378931325</v>
          </cell>
        </row>
        <row r="565">
          <cell r="B565">
            <v>36976</v>
          </cell>
          <cell r="C565">
            <v>559</v>
          </cell>
          <cell r="D565">
            <v>1.6694718563221578</v>
          </cell>
          <cell r="E565">
            <v>1.0100734097497874</v>
          </cell>
          <cell r="F565">
            <v>151.73388868350818</v>
          </cell>
          <cell r="G565">
            <v>15.05</v>
          </cell>
          <cell r="H565">
            <v>5.5649061877383055E-4</v>
          </cell>
          <cell r="J565">
            <v>1.992722858145163</v>
          </cell>
          <cell r="K565">
            <v>1.0041723240116451</v>
          </cell>
          <cell r="L565">
            <v>164.86496716680352</v>
          </cell>
        </row>
        <row r="566">
          <cell r="B566">
            <v>36977</v>
          </cell>
          <cell r="C566">
            <v>560</v>
          </cell>
          <cell r="D566">
            <v>1.6694718563221578</v>
          </cell>
          <cell r="E566">
            <v>1.0106355061265864</v>
          </cell>
          <cell r="F566">
            <v>151.81832716911066</v>
          </cell>
          <cell r="G566">
            <v>15.05</v>
          </cell>
          <cell r="H566">
            <v>5.5649061877405259E-4</v>
          </cell>
          <cell r="J566">
            <v>1.993178078486296</v>
          </cell>
          <cell r="K566">
            <v>1.0044017185137579</v>
          </cell>
          <cell r="L566">
            <v>164.90262914588294</v>
          </cell>
        </row>
        <row r="567">
          <cell r="B567">
            <v>36978</v>
          </cell>
          <cell r="C567">
            <v>561</v>
          </cell>
          <cell r="D567">
            <v>1.6694718563221578</v>
          </cell>
          <cell r="E567">
            <v>1.0111979153047457</v>
          </cell>
          <cell r="F567">
            <v>151.9028126439382</v>
          </cell>
          <cell r="G567">
            <v>15.05</v>
          </cell>
          <cell r="H567">
            <v>5.5649061877383055E-4</v>
          </cell>
          <cell r="J567">
            <v>1.9936334028185874</v>
          </cell>
          <cell r="K567">
            <v>1.0046311654190649</v>
          </cell>
          <cell r="L567">
            <v>164.94029972851646</v>
          </cell>
        </row>
        <row r="568">
          <cell r="B568">
            <v>36979</v>
          </cell>
          <cell r="C568">
            <v>562</v>
          </cell>
          <cell r="D568">
            <v>1.6694718563221578</v>
          </cell>
          <cell r="E568">
            <v>1.0117606374583366</v>
          </cell>
          <cell r="F568">
            <v>151.98734513413993</v>
          </cell>
          <cell r="G568">
            <v>15.05</v>
          </cell>
          <cell r="H568">
            <v>5.5649061877383055E-4</v>
          </cell>
          <cell r="J568">
            <v>1.9940888311657936</v>
          </cell>
          <cell r="K568">
            <v>1.0048606647395377</v>
          </cell>
          <cell r="L568">
            <v>164.97797891666954</v>
          </cell>
        </row>
        <row r="569">
          <cell r="B569">
            <v>36980</v>
          </cell>
          <cell r="C569">
            <v>563</v>
          </cell>
          <cell r="D569">
            <v>1.6694718563221578</v>
          </cell>
          <cell r="E569">
            <v>1.012323672761527</v>
          </cell>
          <cell r="F569">
            <v>152.07192466587946</v>
          </cell>
          <cell r="G569">
            <v>15.05</v>
          </cell>
          <cell r="H569">
            <v>5.5649061877405259E-4</v>
          </cell>
          <cell r="J569">
            <v>1.9945443635516753</v>
          </cell>
          <cell r="K569">
            <v>1.0050902164871496</v>
          </cell>
          <cell r="L569">
            <v>165.01566671230799</v>
          </cell>
        </row>
        <row r="570">
          <cell r="B570">
            <v>36983</v>
          </cell>
          <cell r="C570">
            <v>564</v>
          </cell>
          <cell r="D570">
            <v>1.6694718563221578</v>
          </cell>
          <cell r="E570">
            <v>1.0005564906187741</v>
          </cell>
          <cell r="F570">
            <v>152.15655126533494</v>
          </cell>
          <cell r="G570">
            <v>15.05</v>
          </cell>
          <cell r="H570">
            <v>5.5649061877405259E-4</v>
          </cell>
          <cell r="J570">
            <v>1.9950000000000001</v>
          </cell>
          <cell r="K570">
            <v>1.0002284413706966</v>
          </cell>
          <cell r="L570">
            <v>165.05336311739816</v>
          </cell>
        </row>
        <row r="571">
          <cell r="B571">
            <v>36984</v>
          </cell>
          <cell r="C571">
            <v>565</v>
          </cell>
          <cell r="D571">
            <v>1.6694718563221578</v>
          </cell>
          <cell r="E571">
            <v>1.001113290919357</v>
          </cell>
          <cell r="F571">
            <v>152.24122495869915</v>
          </cell>
          <cell r="G571">
            <v>15.05</v>
          </cell>
          <cell r="H571">
            <v>5.5649061877427464E-4</v>
          </cell>
          <cell r="J571">
            <v>1.9954988133882721</v>
          </cell>
          <cell r="K571">
            <v>1.0004785302618675</v>
          </cell>
          <cell r="L571">
            <v>165.09463170251209</v>
          </cell>
        </row>
        <row r="572">
          <cell r="B572">
            <v>36985</v>
          </cell>
          <cell r="C572">
            <v>566</v>
          </cell>
          <cell r="D572">
            <v>1.6694718563221578</v>
          </cell>
          <cell r="E572">
            <v>1.0016704010740836</v>
          </cell>
          <cell r="F572">
            <v>152.32594577217935</v>
          </cell>
          <cell r="G572">
            <v>15.05</v>
          </cell>
          <cell r="H572">
            <v>5.5649061877405259E-4</v>
          </cell>
          <cell r="J572">
            <v>1.9959977514957401</v>
          </cell>
          <cell r="K572">
            <v>1.0007286816832075</v>
          </cell>
          <cell r="L572">
            <v>165.13591060608354</v>
          </cell>
        </row>
        <row r="573">
          <cell r="B573">
            <v>36986</v>
          </cell>
          <cell r="C573">
            <v>567</v>
          </cell>
          <cell r="D573">
            <v>1.6694718563221578</v>
          </cell>
          <cell r="E573">
            <v>1.002227821255385</v>
          </cell>
          <cell r="F573">
            <v>152.41071373199748</v>
          </cell>
          <cell r="G573">
            <v>15.05</v>
          </cell>
          <cell r="H573">
            <v>5.5649061877427464E-4</v>
          </cell>
          <cell r="J573">
            <v>1.9964968143535879</v>
          </cell>
          <cell r="K573">
            <v>1.0009788956503509</v>
          </cell>
          <cell r="L573">
            <v>165.17719983069244</v>
          </cell>
        </row>
        <row r="574">
          <cell r="B574">
            <v>36987</v>
          </cell>
          <cell r="C574">
            <v>568</v>
          </cell>
          <cell r="D574">
            <v>1.6694718563221578</v>
          </cell>
          <cell r="E574">
            <v>1.002785551635788</v>
          </cell>
          <cell r="F574">
            <v>152.49552886439</v>
          </cell>
          <cell r="G574">
            <v>15.05</v>
          </cell>
          <cell r="H574">
            <v>5.5649061877405259E-4</v>
          </cell>
          <cell r="J574">
            <v>1.9969960019930073</v>
          </cell>
          <cell r="K574">
            <v>1.0012291721789364</v>
          </cell>
          <cell r="L574">
            <v>165.2184993789194</v>
          </cell>
        </row>
        <row r="575">
          <cell r="B575">
            <v>36990</v>
          </cell>
          <cell r="C575">
            <v>569</v>
          </cell>
          <cell r="D575">
            <v>1.6694718563221578</v>
          </cell>
          <cell r="E575">
            <v>1.0033435923879155</v>
          </cell>
          <cell r="F575">
            <v>152.580391195608</v>
          </cell>
          <cell r="G575">
            <v>15.05</v>
          </cell>
          <cell r="H575">
            <v>5.5649061877405259E-4</v>
          </cell>
          <cell r="J575">
            <v>1.9974953144451975</v>
          </cell>
          <cell r="K575">
            <v>1.0014795112846062</v>
          </cell>
          <cell r="L575">
            <v>165.25980925334568</v>
          </cell>
        </row>
        <row r="576">
          <cell r="B576">
            <v>36991</v>
          </cell>
          <cell r="C576">
            <v>570</v>
          </cell>
          <cell r="D576">
            <v>1.6694718563221578</v>
          </cell>
          <cell r="E576">
            <v>1.0039019436844865</v>
          </cell>
          <cell r="F576">
            <v>152.66530075191724</v>
          </cell>
          <cell r="G576">
            <v>15.05</v>
          </cell>
          <cell r="H576">
            <v>5.5649061877405259E-4</v>
          </cell>
          <cell r="J576">
            <v>1.9979947517413656</v>
          </cell>
          <cell r="K576">
            <v>1.0017299129830066</v>
          </cell>
          <cell r="L576">
            <v>165.3011294565531</v>
          </cell>
        </row>
        <row r="577">
          <cell r="B577">
            <v>36992</v>
          </cell>
          <cell r="C577">
            <v>571</v>
          </cell>
          <cell r="D577">
            <v>1.6694718563221578</v>
          </cell>
          <cell r="E577">
            <v>1.0044606056983159</v>
          </cell>
          <cell r="F577">
            <v>152.750257559598</v>
          </cell>
          <cell r="G577">
            <v>15.05</v>
          </cell>
          <cell r="H577">
            <v>5.5649061877405259E-4</v>
          </cell>
          <cell r="J577">
            <v>1.9984943139127269</v>
          </cell>
          <cell r="K577">
            <v>1.0019803772897877</v>
          </cell>
          <cell r="L577">
            <v>165.34245999112423</v>
          </cell>
        </row>
        <row r="578">
          <cell r="B578">
            <v>36993</v>
          </cell>
          <cell r="C578">
            <v>572</v>
          </cell>
          <cell r="D578">
            <v>1.6694718563221578</v>
          </cell>
          <cell r="E578">
            <v>1.0050195786023151</v>
          </cell>
          <cell r="F578">
            <v>152.83526164494523</v>
          </cell>
          <cell r="G578">
            <v>15.05</v>
          </cell>
          <cell r="H578">
            <v>5.5649061877405259E-4</v>
          </cell>
          <cell r="J578">
            <v>1.9989940009905038</v>
          </cell>
          <cell r="K578">
            <v>1.0022309042206037</v>
          </cell>
          <cell r="L578">
            <v>165.38380085964221</v>
          </cell>
        </row>
        <row r="579">
          <cell r="B579">
            <v>36997</v>
          </cell>
          <cell r="C579">
            <v>573</v>
          </cell>
          <cell r="D579">
            <v>1.6694718563221578</v>
          </cell>
          <cell r="E579">
            <v>1.0055788625694915</v>
          </cell>
          <cell r="F579">
            <v>152.92031303426853</v>
          </cell>
          <cell r="G579">
            <v>15.05</v>
          </cell>
          <cell r="H579">
            <v>5.5649061877405259E-4</v>
          </cell>
          <cell r="J579">
            <v>1.999493813005927</v>
          </cell>
          <cell r="K579">
            <v>1.0024814937911124</v>
          </cell>
          <cell r="L579">
            <v>165.42515206469088</v>
          </cell>
        </row>
        <row r="580">
          <cell r="B580">
            <v>36998</v>
          </cell>
          <cell r="C580">
            <v>574</v>
          </cell>
          <cell r="D580">
            <v>1.6694718563221578</v>
          </cell>
          <cell r="E580">
            <v>1.0061384577729489</v>
          </cell>
          <cell r="F580">
            <v>153.0054117538921</v>
          </cell>
          <cell r="G580">
            <v>15.05</v>
          </cell>
          <cell r="H580">
            <v>5.5649061877405259E-4</v>
          </cell>
          <cell r="J580">
            <v>1.9999937499902347</v>
          </cell>
          <cell r="K580">
            <v>1.002732146016976</v>
          </cell>
          <cell r="L580">
            <v>165.46651360885468</v>
          </cell>
        </row>
        <row r="581">
          <cell r="B581">
            <v>36999</v>
          </cell>
          <cell r="C581">
            <v>575</v>
          </cell>
          <cell r="D581">
            <v>1.6694718563221578</v>
          </cell>
          <cell r="E581">
            <v>1.0066983643858873</v>
          </cell>
          <cell r="F581">
            <v>153.09055783015481</v>
          </cell>
          <cell r="G581">
            <v>15.05</v>
          </cell>
          <cell r="H581">
            <v>5.5649061877405259E-4</v>
          </cell>
          <cell r="J581">
            <v>2.0004938119746734</v>
          </cell>
          <cell r="K581">
            <v>1.0029828609138602</v>
          </cell>
          <cell r="L581">
            <v>165.50788549471872</v>
          </cell>
        </row>
        <row r="582">
          <cell r="B582">
            <v>37000</v>
          </cell>
          <cell r="C582">
            <v>576</v>
          </cell>
          <cell r="D582">
            <v>1.6694718563221578</v>
          </cell>
          <cell r="E582">
            <v>1.0072585825816032</v>
          </cell>
          <cell r="F582">
            <v>153.17575128941019</v>
          </cell>
          <cell r="G582">
            <v>15.05</v>
          </cell>
          <cell r="H582">
            <v>5.5649061877405259E-4</v>
          </cell>
          <cell r="J582">
            <v>2.0009939989904968</v>
          </cell>
          <cell r="K582">
            <v>1.0032336384974347</v>
          </cell>
          <cell r="L582">
            <v>165.54926772486877</v>
          </cell>
        </row>
        <row r="583">
          <cell r="B583">
            <v>37001</v>
          </cell>
          <cell r="C583">
            <v>577</v>
          </cell>
          <cell r="D583">
            <v>1.6694718563221578</v>
          </cell>
          <cell r="E583">
            <v>1.0078191125334894</v>
          </cell>
          <cell r="F583">
            <v>153.2609921580264</v>
          </cell>
          <cell r="G583">
            <v>15.05</v>
          </cell>
          <cell r="H583">
            <v>5.5649061877405259E-4</v>
          </cell>
          <cell r="J583">
            <v>2.0014943110689671</v>
          </cell>
          <cell r="K583">
            <v>1.0034844787833732</v>
          </cell>
          <cell r="L583">
            <v>165.59066030189121</v>
          </cell>
        </row>
        <row r="584">
          <cell r="B584">
            <v>37004</v>
          </cell>
          <cell r="C584">
            <v>578</v>
          </cell>
          <cell r="D584">
            <v>1.6694718563221578</v>
          </cell>
          <cell r="E584">
            <v>1.0083799544150356</v>
          </cell>
          <cell r="F584">
            <v>153.34628046238635</v>
          </cell>
          <cell r="G584">
            <v>15.05</v>
          </cell>
          <cell r="H584">
            <v>5.5649061877405259E-4</v>
          </cell>
          <cell r="J584">
            <v>2.0019947482413536</v>
          </cell>
          <cell r="K584">
            <v>1.0037353817873533</v>
          </cell>
          <cell r="L584">
            <v>165.63206322837308</v>
          </cell>
        </row>
        <row r="585">
          <cell r="B585">
            <v>37005</v>
          </cell>
          <cell r="C585">
            <v>579</v>
          </cell>
          <cell r="D585">
            <v>1.6694718563221578</v>
          </cell>
          <cell r="E585">
            <v>1.0089411083998274</v>
          </cell>
          <cell r="F585">
            <v>153.43161622888758</v>
          </cell>
          <cell r="G585">
            <v>15.05</v>
          </cell>
          <cell r="H585">
            <v>5.5649061877427464E-4</v>
          </cell>
          <cell r="J585">
            <v>2.0024953105389338</v>
          </cell>
          <cell r="K585">
            <v>1.0039863475250563</v>
          </cell>
          <cell r="L585">
            <v>165.67347650690212</v>
          </cell>
        </row>
        <row r="586">
          <cell r="B586">
            <v>37006</v>
          </cell>
          <cell r="C586">
            <v>580</v>
          </cell>
          <cell r="D586">
            <v>1.6694718563221578</v>
          </cell>
          <cell r="E586">
            <v>1.0095025746615474</v>
          </cell>
          <cell r="F586">
            <v>153.51699948394227</v>
          </cell>
          <cell r="G586">
            <v>15.05</v>
          </cell>
          <cell r="H586">
            <v>5.5649061877383055E-4</v>
          </cell>
          <cell r="J586">
            <v>2.002995997992993</v>
          </cell>
          <cell r="K586">
            <v>1.0042373760121679</v>
          </cell>
          <cell r="L586">
            <v>165.71490014006662</v>
          </cell>
        </row>
        <row r="587">
          <cell r="B587">
            <v>37007</v>
          </cell>
          <cell r="C587">
            <v>581</v>
          </cell>
          <cell r="D587">
            <v>1.6694718563221578</v>
          </cell>
          <cell r="E587">
            <v>1.0100643533739748</v>
          </cell>
          <cell r="F587">
            <v>153.60243025397745</v>
          </cell>
          <cell r="G587">
            <v>15.05</v>
          </cell>
          <cell r="H587">
            <v>5.5649061877427464E-4</v>
          </cell>
          <cell r="J587">
            <v>2.0034968106348243</v>
          </cell>
          <cell r="K587">
            <v>1.0044884672643775</v>
          </cell>
          <cell r="L587">
            <v>165.7563341304556</v>
          </cell>
        </row>
        <row r="588">
          <cell r="B588">
            <v>37008</v>
          </cell>
          <cell r="C588">
            <v>582</v>
          </cell>
          <cell r="D588">
            <v>1.6694718563221578</v>
          </cell>
          <cell r="E588">
            <v>1.0106264447109856</v>
          </cell>
          <cell r="F588">
            <v>153.6879085654347</v>
          </cell>
          <cell r="G588">
            <v>15.05</v>
          </cell>
          <cell r="H588">
            <v>5.5649061877427464E-4</v>
          </cell>
          <cell r="J588">
            <v>2.003997748495729</v>
          </cell>
          <cell r="K588">
            <v>1.004739621297378</v>
          </cell>
          <cell r="L588">
            <v>165.79777848065868</v>
          </cell>
        </row>
        <row r="589">
          <cell r="B589">
            <v>37011</v>
          </cell>
          <cell r="C589">
            <v>583</v>
          </cell>
          <cell r="D589">
            <v>1.6694718563221578</v>
          </cell>
          <cell r="E589">
            <v>1.0111888488465524</v>
          </cell>
          <cell r="F589">
            <v>153.77343444477037</v>
          </cell>
          <cell r="G589">
            <v>15.05</v>
          </cell>
          <cell r="H589">
            <v>5.5649061877405259E-4</v>
          </cell>
          <cell r="J589">
            <v>2.0044988116070153</v>
          </cell>
          <cell r="K589">
            <v>1.0049908381268668</v>
          </cell>
          <cell r="L589">
            <v>165.83923319326615</v>
          </cell>
        </row>
        <row r="590">
          <cell r="B590">
            <v>37012</v>
          </cell>
          <cell r="C590">
            <v>584</v>
          </cell>
          <cell r="D590">
            <v>1.6694718563221578</v>
          </cell>
          <cell r="E590">
            <v>1.0005564906187741</v>
          </cell>
          <cell r="F590">
            <v>153.85900791845555</v>
          </cell>
          <cell r="G590">
            <v>15.05</v>
          </cell>
          <cell r="H590">
            <v>5.5649061877405259E-4</v>
          </cell>
          <cell r="J590">
            <v>2.0049999999999999</v>
          </cell>
          <cell r="K590">
            <v>1.0002500317735699</v>
          </cell>
          <cell r="L590">
            <v>165.88069827086892</v>
          </cell>
        </row>
        <row r="591">
          <cell r="B591">
            <v>37014</v>
          </cell>
          <cell r="C591">
            <v>585</v>
          </cell>
          <cell r="D591">
            <v>1.6694718563221578</v>
          </cell>
          <cell r="E591">
            <v>1.001113290919357</v>
          </cell>
          <cell r="F591">
            <v>153.94462901297607</v>
          </cell>
          <cell r="G591">
            <v>15.05</v>
          </cell>
          <cell r="H591">
            <v>5.5649061877405259E-4</v>
          </cell>
          <cell r="J591">
            <v>2.00545346695184</v>
          </cell>
          <cell r="K591">
            <v>1.0004762563785508</v>
          </cell>
          <cell r="L591">
            <v>165.91821518588839</v>
          </cell>
        </row>
        <row r="592">
          <cell r="B592">
            <v>37015</v>
          </cell>
          <cell r="C592">
            <v>586</v>
          </cell>
          <cell r="D592">
            <v>1.6694718563221578</v>
          </cell>
          <cell r="E592">
            <v>1.0016704010740836</v>
          </cell>
          <cell r="F592">
            <v>154.03029775483242</v>
          </cell>
          <cell r="G592">
            <v>15.05</v>
          </cell>
          <cell r="H592">
            <v>5.5649061877383055E-4</v>
          </cell>
          <cell r="J592">
            <v>2.0059070364634191</v>
          </cell>
          <cell r="K592">
            <v>1.0007025321483107</v>
          </cell>
          <cell r="L592">
            <v>165.95574058603557</v>
          </cell>
        </row>
        <row r="593">
          <cell r="B593">
            <v>37018</v>
          </cell>
          <cell r="C593">
            <v>587</v>
          </cell>
          <cell r="D593">
            <v>1.6694718563221578</v>
          </cell>
          <cell r="E593">
            <v>1.002227821255385</v>
          </cell>
          <cell r="F593">
            <v>154.11601417053998</v>
          </cell>
          <cell r="G593">
            <v>15.05</v>
          </cell>
          <cell r="H593">
            <v>5.5649061877427464E-4</v>
          </cell>
          <cell r="J593">
            <v>2.0063607085579327</v>
          </cell>
          <cell r="K593">
            <v>1.0009288590944214</v>
          </cell>
          <cell r="L593">
            <v>165.99327447322955</v>
          </cell>
        </row>
        <row r="594">
          <cell r="B594">
            <v>37019</v>
          </cell>
          <cell r="C594">
            <v>588</v>
          </cell>
          <cell r="D594">
            <v>1.6694718563221578</v>
          </cell>
          <cell r="E594">
            <v>1.002785551635788</v>
          </cell>
          <cell r="F594">
            <v>154.20177828662875</v>
          </cell>
          <cell r="G594">
            <v>15.05</v>
          </cell>
          <cell r="H594">
            <v>5.5649061877405259E-4</v>
          </cell>
          <cell r="J594">
            <v>2.0068144832585819</v>
          </cell>
          <cell r="K594">
            <v>1.0011552372284576</v>
          </cell>
          <cell r="L594">
            <v>166.03081684938982</v>
          </cell>
        </row>
        <row r="595">
          <cell r="B595">
            <v>37020</v>
          </cell>
          <cell r="C595">
            <v>589</v>
          </cell>
          <cell r="D595">
            <v>1.6694718563221578</v>
          </cell>
          <cell r="E595">
            <v>1.0033435923879155</v>
          </cell>
          <cell r="F595">
            <v>154.28759012964355</v>
          </cell>
          <cell r="G595">
            <v>15.05</v>
          </cell>
          <cell r="H595">
            <v>5.5649061877405259E-4</v>
          </cell>
          <cell r="J595">
            <v>2.0072683605885731</v>
          </cell>
          <cell r="K595">
            <v>1.0013816665619961</v>
          </cell>
          <cell r="L595">
            <v>166.06836771643634</v>
          </cell>
        </row>
        <row r="596">
          <cell r="B596">
            <v>37021</v>
          </cell>
          <cell r="C596">
            <v>590</v>
          </cell>
          <cell r="D596">
            <v>1.6694718563221578</v>
          </cell>
          <cell r="E596">
            <v>1.0039019436844865</v>
          </cell>
          <cell r="F596">
            <v>154.37344972614395</v>
          </cell>
          <cell r="G596">
            <v>15.05</v>
          </cell>
          <cell r="H596">
            <v>5.5649061877405259E-4</v>
          </cell>
          <cell r="J596">
            <v>2.0077223405711173</v>
          </cell>
          <cell r="K596">
            <v>1.0016081471066169</v>
          </cell>
          <cell r="L596">
            <v>166.10592707628945</v>
          </cell>
        </row>
        <row r="597">
          <cell r="B597">
            <v>37022</v>
          </cell>
          <cell r="C597">
            <v>591</v>
          </cell>
          <cell r="D597">
            <v>1.6694718563221578</v>
          </cell>
          <cell r="E597">
            <v>1.0044606056983159</v>
          </cell>
          <cell r="F597">
            <v>154.45935710270433</v>
          </cell>
          <cell r="G597">
            <v>15.05</v>
          </cell>
          <cell r="H597">
            <v>5.5649061877405259E-4</v>
          </cell>
          <cell r="J597">
            <v>2.0081764232294317</v>
          </cell>
          <cell r="K597">
            <v>1.0018346788739021</v>
          </cell>
          <cell r="L597">
            <v>166.14349493086993</v>
          </cell>
        </row>
        <row r="598">
          <cell r="B598">
            <v>37025</v>
          </cell>
          <cell r="C598">
            <v>592</v>
          </cell>
          <cell r="D598">
            <v>1.6694718563221578</v>
          </cell>
          <cell r="E598">
            <v>1.0050195786023151</v>
          </cell>
          <cell r="F598">
            <v>154.54531228591384</v>
          </cell>
          <cell r="G598">
            <v>15.05</v>
          </cell>
          <cell r="H598">
            <v>5.5649061877383055E-4</v>
          </cell>
          <cell r="J598">
            <v>2.008630608586738</v>
          </cell>
          <cell r="K598">
            <v>1.0020612618754368</v>
          </cell>
          <cell r="L598">
            <v>166.18107128209905</v>
          </cell>
        </row>
        <row r="599">
          <cell r="B599">
            <v>37026</v>
          </cell>
          <cell r="C599">
            <v>593</v>
          </cell>
          <cell r="D599">
            <v>1.6694718563221578</v>
          </cell>
          <cell r="E599">
            <v>1.0055788625694915</v>
          </cell>
          <cell r="F599">
            <v>154.63131530237646</v>
          </cell>
          <cell r="G599">
            <v>15.05</v>
          </cell>
          <cell r="H599">
            <v>5.5649061877405259E-4</v>
          </cell>
          <cell r="J599">
            <v>2.0090848966662631</v>
          </cell>
          <cell r="K599">
            <v>1.0022878961228081</v>
          </cell>
          <cell r="L599">
            <v>166.21865613189843</v>
          </cell>
        </row>
        <row r="600">
          <cell r="B600">
            <v>37027</v>
          </cell>
          <cell r="C600">
            <v>594</v>
          </cell>
          <cell r="D600">
            <v>1.6694718563221578</v>
          </cell>
          <cell r="E600">
            <v>1.0061384577729489</v>
          </cell>
          <cell r="F600">
            <v>154.71736617871093</v>
          </cell>
          <cell r="G600">
            <v>15.05</v>
          </cell>
          <cell r="H600">
            <v>5.5649061877405259E-4</v>
          </cell>
          <cell r="J600">
            <v>2.0095392874912403</v>
          </cell>
          <cell r="K600">
            <v>1.0025145816276066</v>
          </cell>
          <cell r="L600">
            <v>166.25624948219027</v>
          </cell>
        </row>
        <row r="601">
          <cell r="B601">
            <v>37028</v>
          </cell>
          <cell r="C601">
            <v>595</v>
          </cell>
          <cell r="D601">
            <v>1.6694718563221578</v>
          </cell>
          <cell r="E601">
            <v>1.0066983643858873</v>
          </cell>
          <cell r="F601">
            <v>154.80346494155083</v>
          </cell>
          <cell r="G601">
            <v>15.05</v>
          </cell>
          <cell r="H601">
            <v>5.5649061877405259E-4</v>
          </cell>
          <cell r="J601">
            <v>2.0099937810849071</v>
          </cell>
          <cell r="K601">
            <v>1.0027413184014251</v>
          </cell>
          <cell r="L601">
            <v>166.29385133489706</v>
          </cell>
        </row>
        <row r="602">
          <cell r="B602">
            <v>37029</v>
          </cell>
          <cell r="C602">
            <v>596</v>
          </cell>
          <cell r="D602">
            <v>1.6694718563221578</v>
          </cell>
          <cell r="E602">
            <v>1.0072585825816032</v>
          </cell>
          <cell r="F602">
            <v>154.88961161754449</v>
          </cell>
          <cell r="G602">
            <v>15.05</v>
          </cell>
          <cell r="H602">
            <v>5.5649061877383055E-4</v>
          </cell>
          <cell r="J602">
            <v>2.0104483774705062</v>
          </cell>
          <cell r="K602">
            <v>1.0029681064558589</v>
          </cell>
          <cell r="L602">
            <v>166.33146169194174</v>
          </cell>
        </row>
        <row r="603">
          <cell r="B603">
            <v>37032</v>
          </cell>
          <cell r="C603">
            <v>597</v>
          </cell>
          <cell r="D603">
            <v>1.6694718563221578</v>
          </cell>
          <cell r="E603">
            <v>1.0078191125334894</v>
          </cell>
          <cell r="F603">
            <v>154.9758062333552</v>
          </cell>
          <cell r="G603">
            <v>15.05</v>
          </cell>
          <cell r="H603">
            <v>5.5649061877405259E-4</v>
          </cell>
          <cell r="J603">
            <v>2.0109030766712856</v>
          </cell>
          <cell r="K603">
            <v>1.0031949458025058</v>
          </cell>
          <cell r="L603">
            <v>166.36908055524773</v>
          </cell>
        </row>
        <row r="604">
          <cell r="B604">
            <v>37033</v>
          </cell>
          <cell r="C604">
            <v>598</v>
          </cell>
          <cell r="D604">
            <v>1.6694718563221578</v>
          </cell>
          <cell r="E604">
            <v>1.0083799544150356</v>
          </cell>
          <cell r="F604">
            <v>155.062048815661</v>
          </cell>
          <cell r="G604">
            <v>15.05</v>
          </cell>
          <cell r="H604">
            <v>5.5649061877405259E-4</v>
          </cell>
          <cell r="J604">
            <v>2.0113578787104998</v>
          </cell>
          <cell r="K604">
            <v>1.003421836452967</v>
          </cell>
          <cell r="L604">
            <v>166.40670792673893</v>
          </cell>
        </row>
        <row r="605">
          <cell r="B605">
            <v>37034</v>
          </cell>
          <cell r="C605">
            <v>599</v>
          </cell>
          <cell r="D605">
            <v>1.6694718563221578</v>
          </cell>
          <cell r="E605">
            <v>1.0089411083998274</v>
          </cell>
          <cell r="F605">
            <v>155.14833939115479</v>
          </cell>
          <cell r="G605">
            <v>15.05</v>
          </cell>
          <cell r="H605">
            <v>5.5649061877405259E-4</v>
          </cell>
          <cell r="J605">
            <v>2.0118127836114068</v>
          </cell>
          <cell r="K605">
            <v>1.0036487784188455</v>
          </cell>
          <cell r="L605">
            <v>166.4443438083396</v>
          </cell>
        </row>
        <row r="606">
          <cell r="B606">
            <v>37035</v>
          </cell>
          <cell r="C606">
            <v>600</v>
          </cell>
          <cell r="D606">
            <v>1.6694718563221578</v>
          </cell>
          <cell r="E606">
            <v>1.0095025746615474</v>
          </cell>
          <cell r="F606">
            <v>155.23467798654434</v>
          </cell>
          <cell r="G606">
            <v>15.05</v>
          </cell>
          <cell r="H606">
            <v>5.5649061877405259E-4</v>
          </cell>
          <cell r="J606">
            <v>2.0122677913972704</v>
          </cell>
          <cell r="K606">
            <v>1.0038757717117468</v>
          </cell>
          <cell r="L606">
            <v>166.48198820197439</v>
          </cell>
        </row>
        <row r="607">
          <cell r="B607">
            <v>37036</v>
          </cell>
          <cell r="C607">
            <v>601</v>
          </cell>
          <cell r="D607">
            <v>1.6694718563221578</v>
          </cell>
          <cell r="E607">
            <v>1.0100643533739748</v>
          </cell>
          <cell r="F607">
            <v>155.32106462855228</v>
          </cell>
          <cell r="G607">
            <v>15.05</v>
          </cell>
          <cell r="H607">
            <v>5.5649061877405259E-4</v>
          </cell>
          <cell r="J607">
            <v>2.0127229020913608</v>
          </cell>
          <cell r="K607">
            <v>1.0041028163432801</v>
          </cell>
          <cell r="L607">
            <v>166.51964110956854</v>
          </cell>
        </row>
        <row r="608">
          <cell r="B608">
            <v>37039</v>
          </cell>
          <cell r="C608">
            <v>602</v>
          </cell>
          <cell r="D608">
            <v>1.6694718563221578</v>
          </cell>
          <cell r="E608">
            <v>1.0106264447109856</v>
          </cell>
          <cell r="F608">
            <v>155.40749934391607</v>
          </cell>
          <cell r="G608">
            <v>15.05</v>
          </cell>
          <cell r="H608">
            <v>5.5649061877405259E-4</v>
          </cell>
          <cell r="J608">
            <v>2.0131781157169519</v>
          </cell>
          <cell r="K608">
            <v>1.0043299123250564</v>
          </cell>
          <cell r="L608">
            <v>166.55730253304759</v>
          </cell>
        </row>
        <row r="609">
          <cell r="B609">
            <v>37040</v>
          </cell>
          <cell r="C609">
            <v>603</v>
          </cell>
          <cell r="D609">
            <v>1.6694718563221578</v>
          </cell>
          <cell r="E609">
            <v>1.0111888488465524</v>
          </cell>
          <cell r="F609">
            <v>155.49398215938811</v>
          </cell>
          <cell r="G609">
            <v>15.05</v>
          </cell>
          <cell r="H609">
            <v>5.5649061877405259E-4</v>
          </cell>
          <cell r="J609">
            <v>2.0136334322973233</v>
          </cell>
          <cell r="K609">
            <v>1.0045570596686892</v>
          </cell>
          <cell r="L609">
            <v>166.59497247433754</v>
          </cell>
        </row>
        <row r="610">
          <cell r="B610">
            <v>37041</v>
          </cell>
          <cell r="C610">
            <v>604</v>
          </cell>
          <cell r="D610">
            <v>1.6694718563221578</v>
          </cell>
          <cell r="E610">
            <v>1.0117515659547445</v>
          </cell>
          <cell r="F610">
            <v>155.58051310173565</v>
          </cell>
          <cell r="G610">
            <v>15.05</v>
          </cell>
          <cell r="H610">
            <v>5.5649061877427464E-4</v>
          </cell>
          <cell r="J610">
            <v>2.0140888518557611</v>
          </cell>
          <cell r="K610">
            <v>1.0047842583857953</v>
          </cell>
          <cell r="L610">
            <v>166.63265093536489</v>
          </cell>
        </row>
        <row r="611">
          <cell r="B611">
            <v>37042</v>
          </cell>
          <cell r="C611">
            <v>605</v>
          </cell>
          <cell r="D611">
            <v>1.6694718563221578</v>
          </cell>
          <cell r="E611">
            <v>1.0123145962097282</v>
          </cell>
          <cell r="F611">
            <v>155.6670921977408</v>
          </cell>
          <cell r="G611">
            <v>15.05</v>
          </cell>
          <cell r="H611">
            <v>5.5649061877405259E-4</v>
          </cell>
          <cell r="J611">
            <v>2.0145443744155545</v>
          </cell>
          <cell r="K611">
            <v>1.0050115084879934</v>
          </cell>
          <cell r="L611">
            <v>166.67033791805648</v>
          </cell>
        </row>
        <row r="612">
          <cell r="B612">
            <v>37043</v>
          </cell>
          <cell r="C612">
            <v>606</v>
          </cell>
          <cell r="D612">
            <v>1.6694718563221578</v>
          </cell>
          <cell r="E612">
            <v>1.0005564906187741</v>
          </cell>
          <cell r="F612">
            <v>155.75371947420066</v>
          </cell>
          <cell r="G612">
            <v>15.05</v>
          </cell>
          <cell r="H612">
            <v>5.5649061877405259E-4</v>
          </cell>
          <cell r="J612">
            <v>2.0149999999999997</v>
          </cell>
          <cell r="K612">
            <v>1.0002261680557805</v>
          </cell>
          <cell r="L612">
            <v>166.70803342433967</v>
          </cell>
        </row>
        <row r="613">
          <cell r="B613">
            <v>37046</v>
          </cell>
          <cell r="C613">
            <v>607</v>
          </cell>
          <cell r="D613">
            <v>1.6694718563221578</v>
          </cell>
          <cell r="E613">
            <v>1.001113290919357</v>
          </cell>
          <cell r="F613">
            <v>155.84039495792723</v>
          </cell>
          <cell r="G613">
            <v>15.05</v>
          </cell>
          <cell r="H613">
            <v>5.5649061877405259E-4</v>
          </cell>
          <cell r="J613">
            <v>2.0154988251282173</v>
          </cell>
          <cell r="K613">
            <v>1.000473779939913</v>
          </cell>
          <cell r="L613">
            <v>166.74930298074057</v>
          </cell>
        </row>
        <row r="614">
          <cell r="B614">
            <v>37047</v>
          </cell>
          <cell r="C614">
            <v>608</v>
          </cell>
          <cell r="D614">
            <v>1.6694718563221578</v>
          </cell>
          <cell r="E614">
            <v>1.0016704010740836</v>
          </cell>
          <cell r="F614">
            <v>155.92711867574735</v>
          </cell>
          <cell r="G614">
            <v>15.05</v>
          </cell>
          <cell r="H614">
            <v>5.5649061877405259E-4</v>
          </cell>
          <cell r="J614">
            <v>2.0159977737435364</v>
          </cell>
          <cell r="K614">
            <v>1.0007214531218274</v>
          </cell>
          <cell r="L614">
            <v>166.79058275366347</v>
          </cell>
        </row>
        <row r="615">
          <cell r="B615">
            <v>37048</v>
          </cell>
          <cell r="C615">
            <v>609</v>
          </cell>
          <cell r="D615">
            <v>1.6694718563221578</v>
          </cell>
          <cell r="E615">
            <v>1.002227821255385</v>
          </cell>
          <cell r="F615">
            <v>156.01389065450289</v>
          </cell>
          <cell r="G615">
            <v>15.05</v>
          </cell>
          <cell r="H615">
            <v>5.5649061877405259E-4</v>
          </cell>
          <cell r="J615">
            <v>2.0164968458765267</v>
          </cell>
          <cell r="K615">
            <v>1.000969187616698</v>
          </cell>
          <cell r="L615">
            <v>166.8318727456375</v>
          </cell>
        </row>
        <row r="616">
          <cell r="B616">
            <v>37049</v>
          </cell>
          <cell r="C616">
            <v>610</v>
          </cell>
          <cell r="D616">
            <v>1.6694718563221578</v>
          </cell>
          <cell r="E616">
            <v>1.002785551635788</v>
          </cell>
          <cell r="F616">
            <v>156.10071092105053</v>
          </cell>
          <cell r="G616">
            <v>15.05</v>
          </cell>
          <cell r="H616">
            <v>5.5649061877383055E-4</v>
          </cell>
          <cell r="J616">
            <v>2.016996041557765</v>
          </cell>
          <cell r="K616">
            <v>1.0012169834397029</v>
          </cell>
          <cell r="L616">
            <v>166.8731729591924</v>
          </cell>
        </row>
        <row r="617">
          <cell r="B617">
            <v>37050</v>
          </cell>
          <cell r="C617">
            <v>611</v>
          </cell>
          <cell r="D617">
            <v>1.6694718563221578</v>
          </cell>
          <cell r="E617">
            <v>1.0033435923879155</v>
          </cell>
          <cell r="F617">
            <v>156.18757950226205</v>
          </cell>
          <cell r="G617">
            <v>15.05</v>
          </cell>
          <cell r="H617">
            <v>5.5649061877405259E-4</v>
          </cell>
          <cell r="J617">
            <v>2.0174953608178368</v>
          </cell>
          <cell r="K617">
            <v>1.0014648406060245</v>
          </cell>
          <cell r="L617">
            <v>166.91448339685863</v>
          </cell>
        </row>
        <row r="618">
          <cell r="B618">
            <v>37053</v>
          </cell>
          <cell r="C618">
            <v>612</v>
          </cell>
          <cell r="D618">
            <v>1.6694718563221578</v>
          </cell>
          <cell r="E618">
            <v>1.0039019436844865</v>
          </cell>
          <cell r="F618">
            <v>156.2744964250241</v>
          </cell>
          <cell r="G618">
            <v>15.05</v>
          </cell>
          <cell r="H618">
            <v>5.5649061877405259E-4</v>
          </cell>
          <cell r="J618">
            <v>2.0179948036873352</v>
          </cell>
          <cell r="K618">
            <v>1.001712759130849</v>
          </cell>
          <cell r="L618">
            <v>166.95580406116727</v>
          </cell>
        </row>
        <row r="619">
          <cell r="B619">
            <v>37054</v>
          </cell>
          <cell r="C619">
            <v>613</v>
          </cell>
          <cell r="D619">
            <v>1.6694718563221578</v>
          </cell>
          <cell r="E619">
            <v>1.0044606056983159</v>
          </cell>
          <cell r="F619">
            <v>156.36146171623827</v>
          </cell>
          <cell r="G619">
            <v>15.05</v>
          </cell>
          <cell r="H619">
            <v>5.5649061877405259E-4</v>
          </cell>
          <cell r="J619">
            <v>2.0184943701968598</v>
          </cell>
          <cell r="K619">
            <v>1.0019607390293654</v>
          </cell>
          <cell r="L619">
            <v>166.99713495464991</v>
          </cell>
        </row>
        <row r="620">
          <cell r="B620">
            <v>37055</v>
          </cell>
          <cell r="C620">
            <v>614</v>
          </cell>
          <cell r="D620">
            <v>1.6694718563221578</v>
          </cell>
          <cell r="E620">
            <v>1.0050195786023151</v>
          </cell>
          <cell r="F620">
            <v>156.44847540282115</v>
          </cell>
          <cell r="G620">
            <v>15.05</v>
          </cell>
          <cell r="H620">
            <v>5.5649061877405259E-4</v>
          </cell>
          <cell r="J620">
            <v>2.0189940603770191</v>
          </cell>
          <cell r="K620">
            <v>1.0022087803167679</v>
          </cell>
          <cell r="L620">
            <v>167.03847607983889</v>
          </cell>
        </row>
        <row r="621">
          <cell r="B621">
            <v>37057</v>
          </cell>
          <cell r="C621">
            <v>615</v>
          </cell>
          <cell r="D621">
            <v>1.6694718563221578</v>
          </cell>
          <cell r="E621">
            <v>1.0055788625694915</v>
          </cell>
          <cell r="F621">
            <v>156.53553751170429</v>
          </cell>
          <cell r="G621">
            <v>15.05</v>
          </cell>
          <cell r="H621">
            <v>5.5649061877383055E-4</v>
          </cell>
          <cell r="J621">
            <v>2.0194938742584281</v>
          </cell>
          <cell r="K621">
            <v>1.0024568830082532</v>
          </cell>
          <cell r="L621">
            <v>167.07982743926712</v>
          </cell>
        </row>
        <row r="622">
          <cell r="B622">
            <v>37060</v>
          </cell>
          <cell r="C622">
            <v>616</v>
          </cell>
          <cell r="D622">
            <v>1.6694718563221578</v>
          </cell>
          <cell r="E622">
            <v>1.0061384577729489</v>
          </cell>
          <cell r="F622">
            <v>156.62264806983433</v>
          </cell>
          <cell r="G622">
            <v>15.05</v>
          </cell>
          <cell r="H622">
            <v>5.5649061877427464E-4</v>
          </cell>
          <cell r="J622">
            <v>2.0199938118717093</v>
          </cell>
          <cell r="K622">
            <v>1.002705047119022</v>
          </cell>
          <cell r="L622">
            <v>167.12118903546809</v>
          </cell>
        </row>
        <row r="623">
          <cell r="B623">
            <v>37061</v>
          </cell>
          <cell r="C623">
            <v>617</v>
          </cell>
          <cell r="D623">
            <v>1.6694718563221578</v>
          </cell>
          <cell r="E623">
            <v>1.0066983643858873</v>
          </cell>
          <cell r="F623">
            <v>156.70980710417277</v>
          </cell>
          <cell r="G623">
            <v>15.05</v>
          </cell>
          <cell r="H623">
            <v>5.5649061877427464E-4</v>
          </cell>
          <cell r="J623">
            <v>2.020493873247494</v>
          </cell>
          <cell r="K623">
            <v>1.0029532726642794</v>
          </cell>
          <cell r="L623">
            <v>167.16256087097602</v>
          </cell>
        </row>
        <row r="624">
          <cell r="B624">
            <v>37062</v>
          </cell>
          <cell r="C624">
            <v>618</v>
          </cell>
          <cell r="D624">
            <v>1.6694718563221578</v>
          </cell>
          <cell r="E624">
            <v>1.0072585825816032</v>
          </cell>
          <cell r="F624">
            <v>156.79701464169611</v>
          </cell>
          <cell r="G624">
            <v>15.05</v>
          </cell>
          <cell r="H624">
            <v>5.5649061877383055E-4</v>
          </cell>
          <cell r="J624">
            <v>2.0209940584164205</v>
          </cell>
          <cell r="K624">
            <v>1.0032015596592341</v>
          </cell>
          <cell r="L624">
            <v>167.20394294832576</v>
          </cell>
        </row>
        <row r="625">
          <cell r="B625">
            <v>37063</v>
          </cell>
          <cell r="C625">
            <v>619</v>
          </cell>
          <cell r="D625">
            <v>1.6694718563221578</v>
          </cell>
          <cell r="E625">
            <v>1.0078191125334894</v>
          </cell>
          <cell r="F625">
            <v>156.88427070939599</v>
          </cell>
          <cell r="G625">
            <v>15.05</v>
          </cell>
          <cell r="H625">
            <v>5.5649061877405259E-4</v>
          </cell>
          <cell r="J625">
            <v>2.0214943674091335</v>
          </cell>
          <cell r="K625">
            <v>1.0034499081190977</v>
          </cell>
          <cell r="L625">
            <v>167.24533527005266</v>
          </cell>
        </row>
        <row r="626">
          <cell r="B626">
            <v>37064</v>
          </cell>
          <cell r="C626">
            <v>620</v>
          </cell>
          <cell r="D626">
            <v>1.6694718563221578</v>
          </cell>
          <cell r="E626">
            <v>1.0083799544150356</v>
          </cell>
          <cell r="F626">
            <v>156.97157533427901</v>
          </cell>
          <cell r="G626">
            <v>15.05</v>
          </cell>
          <cell r="H626">
            <v>5.5649061877427464E-4</v>
          </cell>
          <cell r="J626">
            <v>2.0219948002562873</v>
          </cell>
          <cell r="K626">
            <v>1.0036983180590868</v>
          </cell>
          <cell r="L626">
            <v>167.28673783869286</v>
          </cell>
        </row>
        <row r="627">
          <cell r="B627">
            <v>37067</v>
          </cell>
          <cell r="C627">
            <v>621</v>
          </cell>
          <cell r="D627">
            <v>1.6694718563221578</v>
          </cell>
          <cell r="E627">
            <v>1.0089411083998274</v>
          </cell>
          <cell r="F627">
            <v>157.05892854336673</v>
          </cell>
          <cell r="G627">
            <v>15.05</v>
          </cell>
          <cell r="H627">
            <v>5.5649061877405259E-4</v>
          </cell>
          <cell r="J627">
            <v>2.022495356988542</v>
          </cell>
          <cell r="K627">
            <v>1.0039467894944207</v>
          </cell>
          <cell r="L627">
            <v>167.32815065678292</v>
          </cell>
        </row>
        <row r="628">
          <cell r="B628">
            <v>37068</v>
          </cell>
          <cell r="C628">
            <v>622</v>
          </cell>
          <cell r="D628">
            <v>1.6694718563221578</v>
          </cell>
          <cell r="E628">
            <v>1.0095025746615474</v>
          </cell>
          <cell r="F628">
            <v>157.1463303636958</v>
          </cell>
          <cell r="G628">
            <v>15.05</v>
          </cell>
          <cell r="H628">
            <v>5.5649061877383055E-4</v>
          </cell>
          <cell r="J628">
            <v>2.0229960376365663</v>
          </cell>
          <cell r="K628">
            <v>1.0041953224403231</v>
          </cell>
          <cell r="L628">
            <v>167.36957372686024</v>
          </cell>
        </row>
        <row r="629">
          <cell r="B629">
            <v>37069</v>
          </cell>
          <cell r="C629">
            <v>623</v>
          </cell>
          <cell r="D629">
            <v>1.6694718563221578</v>
          </cell>
          <cell r="E629">
            <v>1.0100643533739748</v>
          </cell>
          <cell r="F629">
            <v>157.23378082231795</v>
          </cell>
          <cell r="G629">
            <v>15.05</v>
          </cell>
          <cell r="H629">
            <v>5.5649061877405259E-4</v>
          </cell>
          <cell r="J629">
            <v>2.0234968422310371</v>
          </cell>
          <cell r="K629">
            <v>1.0044439169120214</v>
          </cell>
          <cell r="L629">
            <v>167.41100705146278</v>
          </cell>
        </row>
        <row r="630">
          <cell r="B630">
            <v>37070</v>
          </cell>
          <cell r="C630">
            <v>624</v>
          </cell>
          <cell r="D630">
            <v>1.6694718563221578</v>
          </cell>
          <cell r="E630">
            <v>1.0106264447109856</v>
          </cell>
          <cell r="F630">
            <v>157.32127994629994</v>
          </cell>
          <cell r="G630">
            <v>15.05</v>
          </cell>
          <cell r="H630">
            <v>5.5649061877405259E-4</v>
          </cell>
          <cell r="J630">
            <v>2.0239977708026373</v>
          </cell>
          <cell r="K630">
            <v>1.0046925729247467</v>
          </cell>
          <cell r="L630">
            <v>167.45245063312908</v>
          </cell>
        </row>
        <row r="631">
          <cell r="B631">
            <v>37071</v>
          </cell>
          <cell r="C631">
            <v>625</v>
          </cell>
          <cell r="D631">
            <v>1.6694718563221578</v>
          </cell>
          <cell r="E631">
            <v>1.0111888488465524</v>
          </cell>
          <cell r="F631">
            <v>157.4088277627236</v>
          </cell>
          <cell r="G631">
            <v>15.05</v>
          </cell>
          <cell r="H631">
            <v>5.5649061877427464E-4</v>
          </cell>
          <cell r="J631">
            <v>2.0244988233820584</v>
          </cell>
          <cell r="K631">
            <v>1.0049412904937338</v>
          </cell>
          <cell r="L631">
            <v>167.49390447439831</v>
          </cell>
        </row>
        <row r="632">
          <cell r="B632">
            <v>37074</v>
          </cell>
          <cell r="C632">
            <v>626</v>
          </cell>
          <cell r="D632">
            <v>1.6694718563221578</v>
          </cell>
          <cell r="E632">
            <v>1.0005564906187741</v>
          </cell>
          <cell r="F632">
            <v>157.49642429868578</v>
          </cell>
          <cell r="G632">
            <v>15.05</v>
          </cell>
          <cell r="H632">
            <v>5.5649061877405259E-4</v>
          </cell>
          <cell r="J632">
            <v>2.0249999999999995</v>
          </cell>
          <cell r="K632">
            <v>1.0002475558948973</v>
          </cell>
          <cell r="L632">
            <v>167.53536857781032</v>
          </cell>
        </row>
        <row r="633">
          <cell r="B633">
            <v>37075</v>
          </cell>
          <cell r="C633">
            <v>627</v>
          </cell>
          <cell r="D633">
            <v>1.6694718563221578</v>
          </cell>
          <cell r="E633">
            <v>1.001113290919357</v>
          </cell>
          <cell r="F633">
            <v>157.58406958129848</v>
          </cell>
          <cell r="G633">
            <v>15.05</v>
          </cell>
          <cell r="H633">
            <v>5.5649061877427464E-4</v>
          </cell>
          <cell r="J633">
            <v>2.0254534775695863</v>
          </cell>
          <cell r="K633">
            <v>1.0004715508729876</v>
          </cell>
          <cell r="L633">
            <v>167.57288637127328</v>
          </cell>
        </row>
        <row r="634">
          <cell r="B634">
            <v>37076</v>
          </cell>
          <cell r="C634">
            <v>628</v>
          </cell>
          <cell r="D634">
            <v>1.6694718563221578</v>
          </cell>
          <cell r="E634">
            <v>1.0016704010740836</v>
          </cell>
          <cell r="F634">
            <v>157.67176363768871</v>
          </cell>
          <cell r="G634">
            <v>15.05</v>
          </cell>
          <cell r="H634">
            <v>5.5649061877405259E-4</v>
          </cell>
          <cell r="J634">
            <v>2.0259070566907318</v>
          </cell>
          <cell r="K634">
            <v>1.0006955960124102</v>
          </cell>
          <cell r="L634">
            <v>167.6104125664537</v>
          </cell>
        </row>
        <row r="635">
          <cell r="B635">
            <v>37077</v>
          </cell>
          <cell r="C635">
            <v>629</v>
          </cell>
          <cell r="D635">
            <v>1.6694718563221578</v>
          </cell>
          <cell r="E635">
            <v>1.002227821255385</v>
          </cell>
          <cell r="F635">
            <v>157.75950649499867</v>
          </cell>
          <cell r="G635">
            <v>15.05</v>
          </cell>
          <cell r="H635">
            <v>5.5649061877427464E-4</v>
          </cell>
          <cell r="J635">
            <v>2.0263607373861774</v>
          </cell>
          <cell r="K635">
            <v>1.0009196913243985</v>
          </cell>
          <cell r="L635">
            <v>167.64794716523301</v>
          </cell>
        </row>
        <row r="636">
          <cell r="B636">
            <v>37078</v>
          </cell>
          <cell r="C636">
            <v>630</v>
          </cell>
          <cell r="D636">
            <v>1.6694718563221578</v>
          </cell>
          <cell r="E636">
            <v>1.002785551635788</v>
          </cell>
          <cell r="F636">
            <v>157.84729818038556</v>
          </cell>
          <cell r="G636">
            <v>15.05</v>
          </cell>
          <cell r="H636">
            <v>5.5649061877405259E-4</v>
          </cell>
          <cell r="J636">
            <v>2.0268145196786693</v>
          </cell>
          <cell r="K636">
            <v>1.0011438368201879</v>
          </cell>
          <cell r="L636">
            <v>167.68549016949314</v>
          </cell>
        </row>
        <row r="637">
          <cell r="B637">
            <v>37081</v>
          </cell>
          <cell r="C637">
            <v>631</v>
          </cell>
          <cell r="D637">
            <v>1.6694718563221578</v>
          </cell>
          <cell r="E637">
            <v>1.0033435923879155</v>
          </cell>
          <cell r="F637">
            <v>157.93513872102179</v>
          </cell>
          <cell r="G637">
            <v>15.05</v>
          </cell>
          <cell r="H637">
            <v>5.5649061877405259E-4</v>
          </cell>
          <cell r="J637">
            <v>2.0272684035909596</v>
          </cell>
          <cell r="K637">
            <v>1.0013680325110166</v>
          </cell>
          <cell r="L637">
            <v>167.72304158111638</v>
          </cell>
        </row>
        <row r="638">
          <cell r="B638">
            <v>37082</v>
          </cell>
          <cell r="C638">
            <v>632</v>
          </cell>
          <cell r="D638">
            <v>1.6694718563221578</v>
          </cell>
          <cell r="E638">
            <v>1.0039019436844865</v>
          </cell>
          <cell r="F638">
            <v>158.02302814409484</v>
          </cell>
          <cell r="G638">
            <v>15.05</v>
          </cell>
          <cell r="H638">
            <v>5.5649061877427464E-4</v>
          </cell>
          <cell r="J638">
            <v>2.0277223891458047</v>
          </cell>
          <cell r="K638">
            <v>1.0015922784081253</v>
          </cell>
          <cell r="L638">
            <v>167.7606014019855</v>
          </cell>
        </row>
        <row r="639">
          <cell r="B639">
            <v>37083</v>
          </cell>
          <cell r="C639">
            <v>633</v>
          </cell>
          <cell r="D639">
            <v>1.6694718563221578</v>
          </cell>
          <cell r="E639">
            <v>1.0044606056983159</v>
          </cell>
          <cell r="F639">
            <v>158.11096647680728</v>
          </cell>
          <cell r="G639">
            <v>15.05</v>
          </cell>
          <cell r="H639">
            <v>5.5649061877405259E-4</v>
          </cell>
          <cell r="J639">
            <v>2.028176476365966</v>
          </cell>
          <cell r="K639">
            <v>1.0018165745227572</v>
          </cell>
          <cell r="L639">
            <v>167.79816963398363</v>
          </cell>
        </row>
        <row r="640">
          <cell r="B640">
            <v>37084</v>
          </cell>
          <cell r="C640">
            <v>634</v>
          </cell>
          <cell r="D640">
            <v>1.6694718563221578</v>
          </cell>
          <cell r="E640">
            <v>1.0050195786023151</v>
          </cell>
          <cell r="F640">
            <v>158.19895374637693</v>
          </cell>
          <cell r="G640">
            <v>15.05</v>
          </cell>
          <cell r="H640">
            <v>5.5649061877405259E-4</v>
          </cell>
          <cell r="J640">
            <v>2.028630665274211</v>
          </cell>
          <cell r="K640">
            <v>1.002040920866158</v>
          </cell>
          <cell r="L640">
            <v>167.83574627899438</v>
          </cell>
        </row>
        <row r="641">
          <cell r="B641">
            <v>37085</v>
          </cell>
          <cell r="C641">
            <v>635</v>
          </cell>
          <cell r="D641">
            <v>1.6694718563221578</v>
          </cell>
          <cell r="E641">
            <v>1.0055788625694915</v>
          </cell>
          <cell r="F641">
            <v>158.28698998003665</v>
          </cell>
          <cell r="G641">
            <v>15.05</v>
          </cell>
          <cell r="H641">
            <v>5.5649061877405259E-4</v>
          </cell>
          <cell r="J641">
            <v>2.0290849558933113</v>
          </cell>
          <cell r="K641">
            <v>1.0022653174495759</v>
          </cell>
          <cell r="L641">
            <v>167.87333133890175</v>
          </cell>
        </row>
        <row r="642">
          <cell r="B642">
            <v>37088</v>
          </cell>
          <cell r="C642">
            <v>636</v>
          </cell>
          <cell r="D642">
            <v>1.6694718563221578</v>
          </cell>
          <cell r="E642">
            <v>1.0061384577729489</v>
          </cell>
          <cell r="F642">
            <v>158.37507520503451</v>
          </cell>
          <cell r="G642">
            <v>15.05</v>
          </cell>
          <cell r="H642">
            <v>5.5649061877383055E-4</v>
          </cell>
          <cell r="J642">
            <v>2.0295393482460442</v>
          </cell>
          <cell r="K642">
            <v>1.0024897642842616</v>
          </cell>
          <cell r="L642">
            <v>167.91092481559016</v>
          </cell>
        </row>
        <row r="643">
          <cell r="B643">
            <v>37089</v>
          </cell>
          <cell r="C643">
            <v>637</v>
          </cell>
          <cell r="D643">
            <v>1.6694718563221578</v>
          </cell>
          <cell r="E643">
            <v>1.0066983643858873</v>
          </cell>
          <cell r="F643">
            <v>158.46320944863376</v>
          </cell>
          <cell r="G643">
            <v>15.05</v>
          </cell>
          <cell r="H643">
            <v>5.5649061877427464E-4</v>
          </cell>
          <cell r="J643">
            <v>2.029993842355192</v>
          </cell>
          <cell r="K643">
            <v>1.0027142613814684</v>
          </cell>
          <cell r="L643">
            <v>167.94852671094446</v>
          </cell>
        </row>
        <row r="644">
          <cell r="B644">
            <v>37090</v>
          </cell>
          <cell r="C644">
            <v>638</v>
          </cell>
          <cell r="D644">
            <v>1.6694718563221578</v>
          </cell>
          <cell r="E644">
            <v>1.0072585825816032</v>
          </cell>
          <cell r="F644">
            <v>158.55139273811272</v>
          </cell>
          <cell r="G644">
            <v>15.05</v>
          </cell>
          <cell r="H644">
            <v>5.5649061877383055E-4</v>
          </cell>
          <cell r="J644">
            <v>2.0304484382435417</v>
          </cell>
          <cell r="K644">
            <v>1.0029388087524518</v>
          </cell>
          <cell r="L644">
            <v>167.98613702684995</v>
          </cell>
        </row>
        <row r="645">
          <cell r="B645">
            <v>37091</v>
          </cell>
          <cell r="C645">
            <v>639</v>
          </cell>
          <cell r="D645">
            <v>1.6694718563221578</v>
          </cell>
          <cell r="E645">
            <v>1.0078191125334894</v>
          </cell>
          <cell r="F645">
            <v>158.63962510076504</v>
          </cell>
          <cell r="G645">
            <v>15.05</v>
          </cell>
          <cell r="H645">
            <v>5.5649061877405259E-4</v>
          </cell>
          <cell r="J645">
            <v>2.0309031359338858</v>
          </cell>
          <cell r="K645">
            <v>1.0031634064084702</v>
          </cell>
          <cell r="L645">
            <v>168.02375576519228</v>
          </cell>
        </row>
        <row r="646">
          <cell r="B646">
            <v>37092</v>
          </cell>
          <cell r="C646">
            <v>640</v>
          </cell>
          <cell r="D646">
            <v>1.6694718563221578</v>
          </cell>
          <cell r="E646">
            <v>1.0083799544150356</v>
          </cell>
          <cell r="F646">
            <v>158.72790656389947</v>
          </cell>
          <cell r="G646">
            <v>15.05</v>
          </cell>
          <cell r="H646">
            <v>5.5649061877405259E-4</v>
          </cell>
          <cell r="J646">
            <v>2.0313579354490217</v>
          </cell>
          <cell r="K646">
            <v>1.0033880543607847</v>
          </cell>
          <cell r="L646">
            <v>168.06138292785761</v>
          </cell>
        </row>
        <row r="647">
          <cell r="B647">
            <v>37095</v>
          </cell>
          <cell r="C647">
            <v>641</v>
          </cell>
          <cell r="D647">
            <v>1.6694718563221578</v>
          </cell>
          <cell r="E647">
            <v>1.0089411083998274</v>
          </cell>
          <cell r="F647">
            <v>158.81623715483994</v>
          </cell>
          <cell r="G647">
            <v>15.05</v>
          </cell>
          <cell r="H647">
            <v>5.5649061877427464E-4</v>
          </cell>
          <cell r="J647">
            <v>2.0318128368117518</v>
          </cell>
          <cell r="K647">
            <v>1.0036127526206584</v>
          </cell>
          <cell r="L647">
            <v>168.09901851673246</v>
          </cell>
        </row>
        <row r="648">
          <cell r="B648">
            <v>37096</v>
          </cell>
          <cell r="C648">
            <v>642</v>
          </cell>
          <cell r="D648">
            <v>1.6694718563221578</v>
          </cell>
          <cell r="E648">
            <v>1.0095025746615474</v>
          </cell>
          <cell r="F648">
            <v>158.90461690092559</v>
          </cell>
          <cell r="G648">
            <v>15.05</v>
          </cell>
          <cell r="H648">
            <v>5.5649061877405259E-4</v>
          </cell>
          <cell r="J648">
            <v>2.0322678400448844</v>
          </cell>
          <cell r="K648">
            <v>1.0038375011993572</v>
          </cell>
          <cell r="L648">
            <v>168.13666253370377</v>
          </cell>
        </row>
        <row r="649">
          <cell r="B649">
            <v>37097</v>
          </cell>
          <cell r="C649">
            <v>643</v>
          </cell>
          <cell r="D649">
            <v>1.6694718563221578</v>
          </cell>
          <cell r="E649">
            <v>1.0100643533739748</v>
          </cell>
          <cell r="F649">
            <v>158.99304582951083</v>
          </cell>
          <cell r="G649">
            <v>15.05</v>
          </cell>
          <cell r="H649">
            <v>5.5649061877405259E-4</v>
          </cell>
          <cell r="J649">
            <v>2.0327229451712316</v>
          </cell>
          <cell r="K649">
            <v>1.0040623001081495</v>
          </cell>
          <cell r="L649">
            <v>168.17431498065895</v>
          </cell>
        </row>
        <row r="650">
          <cell r="B650">
            <v>37098</v>
          </cell>
          <cell r="C650">
            <v>644</v>
          </cell>
          <cell r="D650">
            <v>1.6694718563221578</v>
          </cell>
          <cell r="E650">
            <v>1.0106264447109856</v>
          </cell>
          <cell r="F650">
            <v>159.08152396796527</v>
          </cell>
          <cell r="G650">
            <v>15.05</v>
          </cell>
          <cell r="H650">
            <v>5.5649061877405259E-4</v>
          </cell>
          <cell r="J650">
            <v>2.0331781522136119</v>
          </cell>
          <cell r="K650">
            <v>1.0042871493583059</v>
          </cell>
          <cell r="L650">
            <v>168.21197585948582</v>
          </cell>
        </row>
        <row r="651">
          <cell r="B651">
            <v>37099</v>
          </cell>
          <cell r="C651">
            <v>645</v>
          </cell>
          <cell r="D651">
            <v>1.6694718563221578</v>
          </cell>
          <cell r="E651">
            <v>1.0111888488465524</v>
          </cell>
          <cell r="F651">
            <v>159.17005134367375</v>
          </cell>
          <cell r="G651">
            <v>15.05</v>
          </cell>
          <cell r="H651">
            <v>5.5649061877427464E-4</v>
          </cell>
          <cell r="J651">
            <v>2.0336334611948481</v>
          </cell>
          <cell r="K651">
            <v>1.0045120489611001</v>
          </cell>
          <cell r="L651">
            <v>168.24964517207258</v>
          </cell>
        </row>
        <row r="652">
          <cell r="B652">
            <v>37102</v>
          </cell>
          <cell r="C652">
            <v>646</v>
          </cell>
          <cell r="D652">
            <v>1.6694718563221578</v>
          </cell>
          <cell r="E652">
            <v>1.0117515659547445</v>
          </cell>
          <cell r="F652">
            <v>159.25862798403631</v>
          </cell>
          <cell r="G652">
            <v>15.05</v>
          </cell>
          <cell r="H652">
            <v>5.5649061877427464E-4</v>
          </cell>
          <cell r="J652">
            <v>2.0340888721377683</v>
          </cell>
          <cell r="K652">
            <v>1.0047369989278081</v>
          </cell>
          <cell r="L652">
            <v>168.2873229203079</v>
          </cell>
        </row>
        <row r="653">
          <cell r="B653">
            <v>37103</v>
          </cell>
          <cell r="C653">
            <v>647</v>
          </cell>
          <cell r="D653">
            <v>1.6694718563221578</v>
          </cell>
          <cell r="E653">
            <v>1.0123145962097282</v>
          </cell>
          <cell r="F653">
            <v>159.34725391646822</v>
          </cell>
          <cell r="G653">
            <v>15.05</v>
          </cell>
          <cell r="H653">
            <v>5.5649061877383055E-4</v>
          </cell>
          <cell r="J653">
            <v>2.0345443850652059</v>
          </cell>
          <cell r="K653">
            <v>1.0049619992697083</v>
          </cell>
          <cell r="L653">
            <v>168.32500910608084</v>
          </cell>
        </row>
        <row r="654">
          <cell r="B654">
            <v>37104</v>
          </cell>
          <cell r="C654">
            <v>648</v>
          </cell>
          <cell r="D654">
            <v>1.6694718563221578</v>
          </cell>
          <cell r="E654">
            <v>1.0005564906187741</v>
          </cell>
          <cell r="F654">
            <v>159.43592916840015</v>
          </cell>
          <cell r="G654">
            <v>15.05</v>
          </cell>
          <cell r="H654">
            <v>5.5649061877405259E-4</v>
          </cell>
          <cell r="J654">
            <v>2.0349999999999993</v>
          </cell>
          <cell r="K654">
            <v>1.0002239395405368</v>
          </cell>
          <cell r="L654">
            <v>168.3627037312809</v>
          </cell>
        </row>
        <row r="655">
          <cell r="B655">
            <v>37105</v>
          </cell>
          <cell r="C655">
            <v>649</v>
          </cell>
          <cell r="D655">
            <v>1.6694718563221578</v>
          </cell>
          <cell r="E655">
            <v>1.001113290919357</v>
          </cell>
          <cell r="F655">
            <v>159.5246537672779</v>
          </cell>
          <cell r="G655">
            <v>15.05</v>
          </cell>
          <cell r="H655">
            <v>5.5649061877405259E-4</v>
          </cell>
          <cell r="J655">
            <v>2.0354337640557811</v>
          </cell>
          <cell r="K655">
            <v>1.0004371391438318</v>
          </cell>
          <cell r="L655">
            <v>168.39859055644695</v>
          </cell>
        </row>
        <row r="656">
          <cell r="B656">
            <v>37106</v>
          </cell>
          <cell r="C656">
            <v>650</v>
          </cell>
          <cell r="D656">
            <v>1.6694718563221578</v>
          </cell>
          <cell r="E656">
            <v>1.0016704010740836</v>
          </cell>
          <cell r="F656">
            <v>159.61342774056257</v>
          </cell>
          <cell r="G656">
            <v>15.05</v>
          </cell>
          <cell r="H656">
            <v>5.5649061877405259E-4</v>
          </cell>
          <cell r="J656">
            <v>2.0358676205691824</v>
          </cell>
          <cell r="K656">
            <v>1.0006503841910208</v>
          </cell>
          <cell r="L656">
            <v>168.43448503095686</v>
          </cell>
        </row>
        <row r="657">
          <cell r="B657">
            <v>37109</v>
          </cell>
          <cell r="C657">
            <v>651</v>
          </cell>
          <cell r="D657">
            <v>1.6694718563221578</v>
          </cell>
          <cell r="E657">
            <v>1.002227821255385</v>
          </cell>
          <cell r="F657">
            <v>159.70225111573058</v>
          </cell>
          <cell r="G657">
            <v>15.05</v>
          </cell>
          <cell r="H657">
            <v>5.5649061877405259E-4</v>
          </cell>
          <cell r="J657">
            <v>2.0363015695599112</v>
          </cell>
          <cell r="K657">
            <v>1.0008636746917905</v>
          </cell>
          <cell r="L657">
            <v>168.47038715644118</v>
          </cell>
        </row>
        <row r="658">
          <cell r="B658">
            <v>37110</v>
          </cell>
          <cell r="C658">
            <v>652</v>
          </cell>
          <cell r="D658">
            <v>1.6694718563221578</v>
          </cell>
          <cell r="E658">
            <v>1.002785551635788</v>
          </cell>
          <cell r="F658">
            <v>159.79112392027358</v>
          </cell>
          <cell r="G658">
            <v>15.05</v>
          </cell>
          <cell r="H658">
            <v>5.5649061877405259E-4</v>
          </cell>
          <cell r="J658">
            <v>2.0367356110476789</v>
          </cell>
          <cell r="K658">
            <v>1.0010770106558293</v>
          </cell>
          <cell r="L658">
            <v>168.50629693453067</v>
          </cell>
        </row>
        <row r="659">
          <cell r="B659">
            <v>37111</v>
          </cell>
          <cell r="C659">
            <v>653</v>
          </cell>
          <cell r="D659">
            <v>1.6694718563221578</v>
          </cell>
          <cell r="E659">
            <v>1.0033435923879155</v>
          </cell>
          <cell r="F659">
            <v>159.88004618169859</v>
          </cell>
          <cell r="G659">
            <v>15.05</v>
          </cell>
          <cell r="H659">
            <v>5.5649061877405259E-4</v>
          </cell>
          <cell r="J659">
            <v>2.0371697450522013</v>
          </cell>
          <cell r="K659">
            <v>1.0012903920928278</v>
          </cell>
          <cell r="L659">
            <v>168.54221436685648</v>
          </cell>
        </row>
        <row r="660">
          <cell r="B660">
            <v>37112</v>
          </cell>
          <cell r="C660">
            <v>654</v>
          </cell>
          <cell r="D660">
            <v>1.6694718563221578</v>
          </cell>
          <cell r="E660">
            <v>1.0039019436844865</v>
          </cell>
          <cell r="F660">
            <v>159.96901792752789</v>
          </cell>
          <cell r="G660">
            <v>15.05</v>
          </cell>
          <cell r="H660">
            <v>5.5649061877427464E-4</v>
          </cell>
          <cell r="J660">
            <v>2.0376039715931991</v>
          </cell>
          <cell r="K660">
            <v>1.0015038190124788</v>
          </cell>
          <cell r="L660">
            <v>168.57813945505021</v>
          </cell>
        </row>
        <row r="661">
          <cell r="B661">
            <v>37113</v>
          </cell>
          <cell r="C661">
            <v>655</v>
          </cell>
          <cell r="D661">
            <v>1.6694718563221578</v>
          </cell>
          <cell r="E661">
            <v>1.0044606056983159</v>
          </cell>
          <cell r="F661">
            <v>160.05803918529904</v>
          </cell>
          <cell r="G661">
            <v>15.05</v>
          </cell>
          <cell r="H661">
            <v>5.5649061877405259E-4</v>
          </cell>
          <cell r="J661">
            <v>2.0380382906903955</v>
          </cell>
          <cell r="K661">
            <v>1.0017172914244765</v>
          </cell>
          <cell r="L661">
            <v>168.61407220074364</v>
          </cell>
        </row>
        <row r="662">
          <cell r="B662">
            <v>37116</v>
          </cell>
          <cell r="C662">
            <v>656</v>
          </cell>
          <cell r="D662">
            <v>1.6694718563221578</v>
          </cell>
          <cell r="E662">
            <v>1.0050195786023151</v>
          </cell>
          <cell r="F662">
            <v>160.14710998256504</v>
          </cell>
          <cell r="G662">
            <v>15.05</v>
          </cell>
          <cell r="H662">
            <v>5.5649061877405259E-4</v>
          </cell>
          <cell r="J662">
            <v>2.0384727023635199</v>
          </cell>
          <cell r="K662">
            <v>1.0019308093385182</v>
          </cell>
          <cell r="L662">
            <v>168.650012605569</v>
          </cell>
        </row>
        <row r="663">
          <cell r="B663">
            <v>37117</v>
          </cell>
          <cell r="C663">
            <v>657</v>
          </cell>
          <cell r="D663">
            <v>1.6694718563221578</v>
          </cell>
          <cell r="E663">
            <v>1.0055788625694915</v>
          </cell>
          <cell r="F663">
            <v>160.23623034689413</v>
          </cell>
          <cell r="G663">
            <v>15.05</v>
          </cell>
          <cell r="H663">
            <v>5.5649061877405259E-4</v>
          </cell>
          <cell r="J663">
            <v>2.0389072066323051</v>
          </cell>
          <cell r="K663">
            <v>1.0021443727643027</v>
          </cell>
          <cell r="L663">
            <v>168.68596067115891</v>
          </cell>
        </row>
        <row r="664">
          <cell r="B664">
            <v>37118</v>
          </cell>
          <cell r="C664">
            <v>658</v>
          </cell>
          <cell r="D664">
            <v>1.6694718563221578</v>
          </cell>
          <cell r="E664">
            <v>1.0061384577729489</v>
          </cell>
          <cell r="F664">
            <v>160.32540030586989</v>
          </cell>
          <cell r="G664">
            <v>15.05</v>
          </cell>
          <cell r="H664">
            <v>5.5649061877405259E-4</v>
          </cell>
          <cell r="J664">
            <v>2.0393418035164874</v>
          </cell>
          <cell r="K664">
            <v>1.0023579817115307</v>
          </cell>
          <cell r="L664">
            <v>168.72191639914618</v>
          </cell>
        </row>
        <row r="665">
          <cell r="B665">
            <v>37119</v>
          </cell>
          <cell r="C665">
            <v>659</v>
          </cell>
          <cell r="D665">
            <v>1.6694718563221578</v>
          </cell>
          <cell r="E665">
            <v>1.0066983643858873</v>
          </cell>
          <cell r="F665">
            <v>160.41461988709133</v>
          </cell>
          <cell r="G665">
            <v>15.05</v>
          </cell>
          <cell r="H665">
            <v>5.5649061877427464E-4</v>
          </cell>
          <cell r="J665">
            <v>2.0397764930358089</v>
          </cell>
          <cell r="K665">
            <v>1.0025716361899055</v>
          </cell>
          <cell r="L665">
            <v>168.75787979116416</v>
          </cell>
        </row>
        <row r="666">
          <cell r="B666">
            <v>37120</v>
          </cell>
          <cell r="C666">
            <v>660</v>
          </cell>
          <cell r="D666">
            <v>1.6694718563221578</v>
          </cell>
          <cell r="E666">
            <v>1.0072585825816032</v>
          </cell>
          <cell r="F666">
            <v>160.50388911817268</v>
          </cell>
          <cell r="G666">
            <v>15.05</v>
          </cell>
          <cell r="H666">
            <v>5.5649061877383055E-4</v>
          </cell>
          <cell r="J666">
            <v>2.0402112752100137</v>
          </cell>
          <cell r="K666">
            <v>1.0027853362091317</v>
          </cell>
          <cell r="L666">
            <v>168.79385084884638</v>
          </cell>
        </row>
        <row r="667">
          <cell r="B667">
            <v>37123</v>
          </cell>
          <cell r="C667">
            <v>661</v>
          </cell>
          <cell r="D667">
            <v>1.6694718563221578</v>
          </cell>
          <cell r="E667">
            <v>1.0078191125334894</v>
          </cell>
          <cell r="F667">
            <v>160.5932080267437</v>
          </cell>
          <cell r="G667">
            <v>15.05</v>
          </cell>
          <cell r="H667">
            <v>5.5649061877405259E-4</v>
          </cell>
          <cell r="J667">
            <v>2.0406461500588522</v>
          </cell>
          <cell r="K667">
            <v>1.0029990817789165</v>
          </cell>
          <cell r="L667">
            <v>168.8298295738268</v>
          </cell>
        </row>
        <row r="668">
          <cell r="B668">
            <v>37124</v>
          </cell>
          <cell r="C668">
            <v>662</v>
          </cell>
          <cell r="D668">
            <v>1.6694718563221578</v>
          </cell>
          <cell r="E668">
            <v>1.0083799544150356</v>
          </cell>
          <cell r="F668">
            <v>160.68257664044944</v>
          </cell>
          <cell r="G668">
            <v>15.05</v>
          </cell>
          <cell r="H668">
            <v>5.5649061877427464E-4</v>
          </cell>
          <cell r="J668">
            <v>2.0410811176020784</v>
          </cell>
          <cell r="K668">
            <v>1.0032128729089695</v>
          </cell>
          <cell r="L668">
            <v>168.86581596773979</v>
          </cell>
        </row>
        <row r="669">
          <cell r="B669">
            <v>37125</v>
          </cell>
          <cell r="C669">
            <v>663</v>
          </cell>
          <cell r="D669">
            <v>1.6694718563221578</v>
          </cell>
          <cell r="E669">
            <v>1.0089411083998274</v>
          </cell>
          <cell r="F669">
            <v>160.77199498695029</v>
          </cell>
          <cell r="G669">
            <v>15.05</v>
          </cell>
          <cell r="H669">
            <v>5.5649061877405259E-4</v>
          </cell>
          <cell r="J669">
            <v>2.0415161778594499</v>
          </cell>
          <cell r="K669">
            <v>1.0034267096090017</v>
          </cell>
          <cell r="L669">
            <v>168.90181003221994</v>
          </cell>
        </row>
        <row r="670">
          <cell r="B670">
            <v>37126</v>
          </cell>
          <cell r="C670">
            <v>664</v>
          </cell>
          <cell r="D670">
            <v>1.6694718563221578</v>
          </cell>
          <cell r="E670">
            <v>1.0095025746615474</v>
          </cell>
          <cell r="F670">
            <v>160.86146309392211</v>
          </cell>
          <cell r="G670">
            <v>15.05</v>
          </cell>
          <cell r="H670">
            <v>5.5649061877405259E-4</v>
          </cell>
          <cell r="J670">
            <v>2.0419513308507287</v>
          </cell>
          <cell r="K670">
            <v>1.0036405918887263</v>
          </cell>
          <cell r="L670">
            <v>168.93781176890221</v>
          </cell>
        </row>
        <row r="671">
          <cell r="B671">
            <v>37127</v>
          </cell>
          <cell r="C671">
            <v>665</v>
          </cell>
          <cell r="D671">
            <v>1.6694718563221578</v>
          </cell>
          <cell r="E671">
            <v>1.0100643533739748</v>
          </cell>
          <cell r="F671">
            <v>160.95098098905615</v>
          </cell>
          <cell r="G671">
            <v>15.05</v>
          </cell>
          <cell r="H671">
            <v>5.5649061877405259E-4</v>
          </cell>
          <cell r="J671">
            <v>2.0423865765956815</v>
          </cell>
          <cell r="K671">
            <v>1.003854519757859</v>
          </cell>
          <cell r="L671">
            <v>168.973821179422</v>
          </cell>
        </row>
        <row r="672">
          <cell r="B672">
            <v>37130</v>
          </cell>
          <cell r="C672">
            <v>666</v>
          </cell>
          <cell r="D672">
            <v>1.6694718563221578</v>
          </cell>
          <cell r="E672">
            <v>1.0106264447109856</v>
          </cell>
          <cell r="F672">
            <v>161.04054870005905</v>
          </cell>
          <cell r="G672">
            <v>15.05</v>
          </cell>
          <cell r="H672">
            <v>5.5649061877405259E-4</v>
          </cell>
          <cell r="J672">
            <v>2.0428219151140783</v>
          </cell>
          <cell r="K672">
            <v>1.0040684932261168</v>
          </cell>
          <cell r="L672">
            <v>169.00983826541497</v>
          </cell>
        </row>
        <row r="673">
          <cell r="B673">
            <v>37131</v>
          </cell>
          <cell r="C673">
            <v>667</v>
          </cell>
          <cell r="D673">
            <v>1.6694718563221578</v>
          </cell>
          <cell r="E673">
            <v>1.0111888488465524</v>
          </cell>
          <cell r="F673">
            <v>161.13016625465286</v>
          </cell>
          <cell r="G673">
            <v>15.05</v>
          </cell>
          <cell r="H673">
            <v>5.5649061877405259E-4</v>
          </cell>
          <cell r="J673">
            <v>2.0432573464256949</v>
          </cell>
          <cell r="K673">
            <v>1.0042825123032197</v>
          </cell>
          <cell r="L673">
            <v>169.0458630285172</v>
          </cell>
        </row>
        <row r="674">
          <cell r="B674">
            <v>37132</v>
          </cell>
          <cell r="C674">
            <v>668</v>
          </cell>
          <cell r="D674">
            <v>1.6694718563221578</v>
          </cell>
          <cell r="E674">
            <v>1.0117515659547445</v>
          </cell>
          <cell r="F674">
            <v>161.21983368057511</v>
          </cell>
          <cell r="G674">
            <v>15.05</v>
          </cell>
          <cell r="H674">
            <v>5.5649061877427464E-4</v>
          </cell>
          <cell r="J674">
            <v>2.0436928705503101</v>
          </cell>
          <cell r="K674">
            <v>1.0044965769988894</v>
          </cell>
          <cell r="L674">
            <v>169.08189547036508</v>
          </cell>
        </row>
        <row r="675">
          <cell r="B675">
            <v>37133</v>
          </cell>
          <cell r="C675">
            <v>669</v>
          </cell>
          <cell r="D675">
            <v>1.6694718563221578</v>
          </cell>
          <cell r="E675">
            <v>1.0123145962097282</v>
          </cell>
          <cell r="F675">
            <v>161.30955100557867</v>
          </cell>
          <cell r="G675">
            <v>15.05</v>
          </cell>
          <cell r="H675">
            <v>5.5649061877405259E-4</v>
          </cell>
          <cell r="J675">
            <v>2.0441284875077064</v>
          </cell>
          <cell r="K675">
            <v>1.0047106873228488</v>
          </cell>
          <cell r="L675">
            <v>169.11793559259527</v>
          </cell>
        </row>
        <row r="676">
          <cell r="B676">
            <v>37134</v>
          </cell>
          <cell r="C676">
            <v>670</v>
          </cell>
          <cell r="D676">
            <v>1.6694718563221578</v>
          </cell>
          <cell r="E676">
            <v>1.012877939785767</v>
          </cell>
          <cell r="F676">
            <v>161.39931825743193</v>
          </cell>
          <cell r="G676">
            <v>15.05</v>
          </cell>
          <cell r="H676">
            <v>5.5649061877405259E-4</v>
          </cell>
          <cell r="J676">
            <v>2.0445641973176722</v>
          </cell>
          <cell r="K676">
            <v>1.0049248432848246</v>
          </cell>
          <cell r="L676">
            <v>169.15398339684495</v>
          </cell>
        </row>
        <row r="677">
          <cell r="B677">
            <v>37137</v>
          </cell>
          <cell r="C677">
            <v>671</v>
          </cell>
          <cell r="D677">
            <v>1.6694718563221578</v>
          </cell>
          <cell r="E677">
            <v>1.0005564906187741</v>
          </cell>
          <cell r="F677">
            <v>161.48913546391873</v>
          </cell>
          <cell r="G677">
            <v>15.05</v>
          </cell>
          <cell r="H677">
            <v>5.5649061877405259E-4</v>
          </cell>
          <cell r="J677">
            <v>2.044999999999999</v>
          </cell>
          <cell r="K677">
            <v>1.0002131518701631</v>
          </cell>
          <cell r="L677">
            <v>169.19003888475154</v>
          </cell>
        </row>
        <row r="678">
          <cell r="B678">
            <v>37138</v>
          </cell>
          <cell r="C678">
            <v>672</v>
          </cell>
          <cell r="D678">
            <v>1.6694718563221578</v>
          </cell>
          <cell r="E678">
            <v>1.001113290919357</v>
          </cell>
          <cell r="F678">
            <v>161.57900265283837</v>
          </cell>
          <cell r="G678">
            <v>15.05</v>
          </cell>
          <cell r="H678">
            <v>5.5649061877427464E-4</v>
          </cell>
          <cell r="J678">
            <v>2.0455251005377901</v>
          </cell>
          <cell r="K678">
            <v>1.000469979480898</v>
          </cell>
          <cell r="L678">
            <v>169.23348229815363</v>
          </cell>
        </row>
        <row r="679">
          <cell r="B679">
            <v>37139</v>
          </cell>
          <cell r="C679">
            <v>673</v>
          </cell>
          <cell r="D679">
            <v>1.6694718563221578</v>
          </cell>
          <cell r="E679">
            <v>1.0016704010740836</v>
          </cell>
          <cell r="F679">
            <v>161.66891985200553</v>
          </cell>
          <cell r="G679">
            <v>15.05</v>
          </cell>
          <cell r="H679">
            <v>5.5649061877405259E-4</v>
          </cell>
          <cell r="J679">
            <v>2.0460503359071582</v>
          </cell>
          <cell r="K679">
            <v>1.0007268730379979</v>
          </cell>
          <cell r="L679">
            <v>169.27693686664605</v>
          </cell>
        </row>
        <row r="680">
          <cell r="B680">
            <v>37140</v>
          </cell>
          <cell r="C680">
            <v>674</v>
          </cell>
          <cell r="D680">
            <v>1.6694718563221578</v>
          </cell>
          <cell r="E680">
            <v>1.002227821255385</v>
          </cell>
          <cell r="F680">
            <v>161.75888708925052</v>
          </cell>
          <cell r="G680">
            <v>15.05</v>
          </cell>
          <cell r="H680">
            <v>5.5649061877405259E-4</v>
          </cell>
          <cell r="J680">
            <v>2.0465757061427241</v>
          </cell>
          <cell r="K680">
            <v>1.000983832558396</v>
          </cell>
          <cell r="L680">
            <v>169.32040259309315</v>
          </cell>
        </row>
        <row r="681">
          <cell r="B681">
            <v>37144</v>
          </cell>
          <cell r="C681">
            <v>675</v>
          </cell>
          <cell r="D681">
            <v>1.6694718563221578</v>
          </cell>
          <cell r="E681">
            <v>1.002785551635788</v>
          </cell>
          <cell r="F681">
            <v>161.848904392419</v>
          </cell>
          <cell r="G681">
            <v>15.05</v>
          </cell>
          <cell r="H681">
            <v>5.5649061877383055E-4</v>
          </cell>
          <cell r="J681">
            <v>2.0471012112791178</v>
          </cell>
          <cell r="K681">
            <v>1.00124085805903</v>
          </cell>
          <cell r="L681">
            <v>169.36387948035997</v>
          </cell>
        </row>
        <row r="682">
          <cell r="B682">
            <v>37145</v>
          </cell>
          <cell r="C682">
            <v>676</v>
          </cell>
          <cell r="D682">
            <v>1.6694718563221578</v>
          </cell>
          <cell r="E682">
            <v>1.0033435923879155</v>
          </cell>
          <cell r="F682">
            <v>161.93897178937223</v>
          </cell>
          <cell r="G682">
            <v>15.05</v>
          </cell>
          <cell r="H682">
            <v>5.5649061877405259E-4</v>
          </cell>
          <cell r="J682">
            <v>2.0476268513509788</v>
          </cell>
          <cell r="K682">
            <v>1.0014979495568417</v>
          </cell>
          <cell r="L682">
            <v>169.4073675313123</v>
          </cell>
        </row>
        <row r="683">
          <cell r="B683">
            <v>37146</v>
          </cell>
          <cell r="C683">
            <v>677</v>
          </cell>
          <cell r="D683">
            <v>1.6694718563221578</v>
          </cell>
          <cell r="E683">
            <v>1.0039019436844865</v>
          </cell>
          <cell r="F683">
            <v>162.02908930798696</v>
          </cell>
          <cell r="G683">
            <v>15.05</v>
          </cell>
          <cell r="H683">
            <v>5.5649061877427464E-4</v>
          </cell>
          <cell r="J683">
            <v>2.0481526263929539</v>
          </cell>
          <cell r="K683">
            <v>1.0017551070687774</v>
          </cell>
          <cell r="L683">
            <v>169.45086674881665</v>
          </cell>
        </row>
        <row r="684">
          <cell r="B684">
            <v>37147</v>
          </cell>
          <cell r="C684">
            <v>678</v>
          </cell>
          <cell r="D684">
            <v>1.6694718563221578</v>
          </cell>
          <cell r="E684">
            <v>1.0044606056983159</v>
          </cell>
          <cell r="F684">
            <v>162.11925697615536</v>
          </cell>
          <cell r="G684">
            <v>15.05</v>
          </cell>
          <cell r="H684">
            <v>5.5649061877405259E-4</v>
          </cell>
          <cell r="J684">
            <v>2.0486785364397</v>
          </cell>
          <cell r="K684">
            <v>1.0020123306117878</v>
          </cell>
          <cell r="L684">
            <v>169.49437713574031</v>
          </cell>
        </row>
        <row r="685">
          <cell r="B685">
            <v>37148</v>
          </cell>
          <cell r="C685">
            <v>679</v>
          </cell>
          <cell r="D685">
            <v>1.6694718563221578</v>
          </cell>
          <cell r="E685">
            <v>1.0050195786023151</v>
          </cell>
          <cell r="F685">
            <v>162.20947482178519</v>
          </cell>
          <cell r="G685">
            <v>15.05</v>
          </cell>
          <cell r="H685">
            <v>5.5649061877405259E-4</v>
          </cell>
          <cell r="J685">
            <v>2.0492045815258835</v>
          </cell>
          <cell r="K685">
            <v>1.0022696202028283</v>
          </cell>
          <cell r="L685">
            <v>169.53789869495134</v>
          </cell>
        </row>
        <row r="686">
          <cell r="B686">
            <v>37151</v>
          </cell>
          <cell r="C686">
            <v>680</v>
          </cell>
          <cell r="D686">
            <v>1.6694718563221578</v>
          </cell>
          <cell r="E686">
            <v>1.0055788625694915</v>
          </cell>
          <cell r="F686">
            <v>162.29974287279978</v>
          </cell>
          <cell r="G686">
            <v>15.05</v>
          </cell>
          <cell r="H686">
            <v>5.5649061877405259E-4</v>
          </cell>
          <cell r="J686">
            <v>2.0497307616861784</v>
          </cell>
          <cell r="K686">
            <v>1.0025269758588577</v>
          </cell>
          <cell r="L686">
            <v>169.58143142931843</v>
          </cell>
        </row>
        <row r="687">
          <cell r="B687">
            <v>37152</v>
          </cell>
          <cell r="C687">
            <v>681</v>
          </cell>
          <cell r="D687">
            <v>1.6694718563221578</v>
          </cell>
          <cell r="E687">
            <v>1.0061384577729489</v>
          </cell>
          <cell r="F687">
            <v>162.39006115713795</v>
          </cell>
          <cell r="G687">
            <v>15.05</v>
          </cell>
          <cell r="H687">
            <v>5.5649061877405259E-4</v>
          </cell>
          <cell r="J687">
            <v>2.0502570769552677</v>
          </cell>
          <cell r="K687">
            <v>1.0027843975968396</v>
          </cell>
          <cell r="L687">
            <v>169.62497534171101</v>
          </cell>
        </row>
        <row r="688">
          <cell r="B688">
            <v>37153</v>
          </cell>
          <cell r="C688">
            <v>682</v>
          </cell>
          <cell r="D688">
            <v>1.6694718563221578</v>
          </cell>
          <cell r="E688">
            <v>1.0066983643858873</v>
          </cell>
          <cell r="F688">
            <v>162.48042970275407</v>
          </cell>
          <cell r="G688">
            <v>15.05</v>
          </cell>
          <cell r="H688">
            <v>5.5649061877427464E-4</v>
          </cell>
          <cell r="J688">
            <v>2.0507835273678436</v>
          </cell>
          <cell r="K688">
            <v>1.0030418854337424</v>
          </cell>
          <cell r="L688">
            <v>169.66853043499935</v>
          </cell>
        </row>
        <row r="689">
          <cell r="B689">
            <v>37154</v>
          </cell>
          <cell r="C689">
            <v>683</v>
          </cell>
          <cell r="D689">
            <v>1.6694718563221578</v>
          </cell>
          <cell r="E689">
            <v>1.0072585825816032</v>
          </cell>
          <cell r="F689">
            <v>162.57084853761799</v>
          </cell>
          <cell r="G689">
            <v>15.05</v>
          </cell>
          <cell r="H689">
            <v>5.5649061877383055E-4</v>
          </cell>
          <cell r="J689">
            <v>2.0513101129586082</v>
          </cell>
          <cell r="K689">
            <v>1.0032994393865386</v>
          </cell>
          <cell r="L689">
            <v>169.71209671205443</v>
          </cell>
        </row>
        <row r="690">
          <cell r="B690">
            <v>37155</v>
          </cell>
          <cell r="C690">
            <v>684</v>
          </cell>
          <cell r="D690">
            <v>1.6694718563221578</v>
          </cell>
          <cell r="E690">
            <v>1.0078191125334894</v>
          </cell>
          <cell r="F690">
            <v>162.6613176897153</v>
          </cell>
          <cell r="G690">
            <v>15.05</v>
          </cell>
          <cell r="H690">
            <v>5.5649061877405259E-4</v>
          </cell>
          <cell r="J690">
            <v>2.0518368337622706</v>
          </cell>
          <cell r="K690">
            <v>1.0035570594722045</v>
          </cell>
          <cell r="L690">
            <v>169.75567417574786</v>
          </cell>
        </row>
        <row r="691">
          <cell r="B691">
            <v>37158</v>
          </cell>
          <cell r="C691">
            <v>685</v>
          </cell>
          <cell r="D691">
            <v>1.6694718563221578</v>
          </cell>
          <cell r="E691">
            <v>1.0083799544150356</v>
          </cell>
          <cell r="F691">
            <v>162.75183718704707</v>
          </cell>
          <cell r="G691">
            <v>15.05</v>
          </cell>
          <cell r="H691">
            <v>5.5649061877405259E-4</v>
          </cell>
          <cell r="J691">
            <v>2.0523636898135509</v>
          </cell>
          <cell r="K691">
            <v>1.0038147457077218</v>
          </cell>
          <cell r="L691">
            <v>169.79926282895215</v>
          </cell>
        </row>
        <row r="692">
          <cell r="B692">
            <v>37159</v>
          </cell>
          <cell r="C692">
            <v>686</v>
          </cell>
          <cell r="D692">
            <v>1.6694718563221578</v>
          </cell>
          <cell r="E692">
            <v>1.0089411083998274</v>
          </cell>
          <cell r="F692">
            <v>162.84240705762991</v>
          </cell>
          <cell r="G692">
            <v>15.05</v>
          </cell>
          <cell r="H692">
            <v>5.5649061877405259E-4</v>
          </cell>
          <cell r="J692">
            <v>2.0528906811471761</v>
          </cell>
          <cell r="K692">
            <v>1.0040724981100757</v>
          </cell>
          <cell r="L692">
            <v>169.84286267454041</v>
          </cell>
        </row>
        <row r="693">
          <cell r="B693">
            <v>37160</v>
          </cell>
          <cell r="C693">
            <v>687</v>
          </cell>
          <cell r="D693">
            <v>1.6694718563221578</v>
          </cell>
          <cell r="E693">
            <v>1.0095025746615474</v>
          </cell>
          <cell r="F693">
            <v>162.93302732949607</v>
          </cell>
          <cell r="G693">
            <v>15.05</v>
          </cell>
          <cell r="H693">
            <v>5.5649061877405259E-4</v>
          </cell>
          <cell r="J693">
            <v>2.0534178077978829</v>
          </cell>
          <cell r="K693">
            <v>1.0043303166962558</v>
          </cell>
          <cell r="L693">
            <v>169.88647371538653</v>
          </cell>
        </row>
        <row r="694">
          <cell r="B694">
            <v>37161</v>
          </cell>
          <cell r="C694">
            <v>688</v>
          </cell>
          <cell r="D694">
            <v>1.6694718563221578</v>
          </cell>
          <cell r="E694">
            <v>1.0100643533739748</v>
          </cell>
          <cell r="F694">
            <v>163.0236980306934</v>
          </cell>
          <cell r="G694">
            <v>15.05</v>
          </cell>
          <cell r="H694">
            <v>5.5649061877405259E-4</v>
          </cell>
          <cell r="J694">
            <v>2.053945069800418</v>
          </cell>
          <cell r="K694">
            <v>1.0045882014832568</v>
          </cell>
          <cell r="L694">
            <v>169.93009595436519</v>
          </cell>
        </row>
        <row r="695">
          <cell r="B695">
            <v>37162</v>
          </cell>
          <cell r="C695">
            <v>689</v>
          </cell>
          <cell r="D695">
            <v>1.6694718563221578</v>
          </cell>
          <cell r="E695">
            <v>1.0106264447109856</v>
          </cell>
          <cell r="F695">
            <v>163.11441918928537</v>
          </cell>
          <cell r="G695">
            <v>15.05</v>
          </cell>
          <cell r="H695">
            <v>5.5649061877427464E-4</v>
          </cell>
          <cell r="J695">
            <v>2.0544724671895356</v>
          </cell>
          <cell r="K695">
            <v>1.004846152488077</v>
          </cell>
          <cell r="L695">
            <v>169.97372939435175</v>
          </cell>
        </row>
        <row r="696">
          <cell r="B696">
            <v>37165</v>
          </cell>
          <cell r="C696">
            <v>690</v>
          </cell>
          <cell r="D696">
            <v>1.6694718563221578</v>
          </cell>
          <cell r="E696">
            <v>1.0005564906187741</v>
          </cell>
          <cell r="F696">
            <v>163.205190833351</v>
          </cell>
          <cell r="G696">
            <v>15.05</v>
          </cell>
          <cell r="H696">
            <v>5.5649061877405259E-4</v>
          </cell>
          <cell r="J696">
            <v>2.0549999999999988</v>
          </cell>
          <cell r="K696">
            <v>1.0002567728791152</v>
          </cell>
          <cell r="L696">
            <v>170.01737403822227</v>
          </cell>
        </row>
        <row r="697">
          <cell r="B697">
            <v>37162</v>
          </cell>
          <cell r="C697">
            <v>689</v>
          </cell>
          <cell r="D697">
            <v>2.0023121055647852</v>
          </cell>
          <cell r="E697">
            <v>1.012757774702232</v>
          </cell>
          <cell r="F697">
            <v>164.80445813013733</v>
          </cell>
          <cell r="G697">
            <v>18.309999999999999</v>
          </cell>
          <cell r="H697">
            <v>6.6743736852159508E-4</v>
          </cell>
          <cell r="J697">
            <v>2.543943429927582</v>
          </cell>
          <cell r="K697">
            <v>1.0078507560763352</v>
          </cell>
          <cell r="L697">
            <v>210.46938280198327</v>
          </cell>
        </row>
        <row r="698">
          <cell r="B698">
            <v>37165</v>
          </cell>
          <cell r="C698">
            <v>690</v>
          </cell>
          <cell r="D698">
            <v>2.0023121055647852</v>
          </cell>
          <cell r="E698">
            <v>1.0006674373685216</v>
          </cell>
          <cell r="F698">
            <v>164.91445478399234</v>
          </cell>
          <cell r="G698">
            <v>18.309999999999999</v>
          </cell>
          <cell r="H698">
            <v>6.6743736852159508E-4</v>
          </cell>
          <cell r="J698">
            <v>2.5449999999999999</v>
          </cell>
          <cell r="K698">
            <v>1.0004153276601941</v>
          </cell>
          <cell r="L698">
            <v>210.55679655828493</v>
          </cell>
        </row>
        <row r="699">
          <cell r="B699">
            <v>37166</v>
          </cell>
          <cell r="C699">
            <v>691</v>
          </cell>
          <cell r="D699">
            <v>2.0023121055647852</v>
          </cell>
          <cell r="E699">
            <v>1.0013353202096842</v>
          </cell>
          <cell r="F699">
            <v>165.02452485372456</v>
          </cell>
          <cell r="G699">
            <v>18.309999999999999</v>
          </cell>
          <cell r="H699">
            <v>6.6743736852159508E-4</v>
          </cell>
          <cell r="J699">
            <v>2.5459056985661315</v>
          </cell>
          <cell r="K699">
            <v>1.0007713491642405</v>
          </cell>
          <cell r="L699">
            <v>210.63172818450579</v>
          </cell>
        </row>
        <row r="700">
          <cell r="B700">
            <v>37167</v>
          </cell>
          <cell r="C700">
            <v>692</v>
          </cell>
          <cell r="D700">
            <v>2.0023121055647852</v>
          </cell>
          <cell r="E700">
            <v>1.0020036488208126</v>
          </cell>
          <cell r="F700">
            <v>165.13466838833446</v>
          </cell>
          <cell r="G700">
            <v>18.309999999999999</v>
          </cell>
          <cell r="H700">
            <v>6.6743736852159508E-4</v>
          </cell>
          <cell r="J700">
            <v>2.5468117194465627</v>
          </cell>
          <cell r="K700">
            <v>1.0011274973669766</v>
          </cell>
          <cell r="L700">
            <v>210.7066864769217</v>
          </cell>
        </row>
        <row r="701">
          <cell r="B701">
            <v>37168</v>
          </cell>
          <cell r="C701">
            <v>693</v>
          </cell>
          <cell r="D701">
            <v>2.0023121055647852</v>
          </cell>
          <cell r="E701">
            <v>1.0026724234994306</v>
          </cell>
          <cell r="F701">
            <v>165.24488543685527</v>
          </cell>
          <cell r="G701">
            <v>18.309999999999999</v>
          </cell>
          <cell r="H701">
            <v>6.6743736852159508E-4</v>
          </cell>
          <cell r="J701">
            <v>2.547718062755997</v>
          </cell>
          <cell r="K701">
            <v>1.0014837723134913</v>
          </cell>
          <cell r="L701">
            <v>210.78167144502248</v>
          </cell>
        </row>
        <row r="702">
          <cell r="B702">
            <v>37169</v>
          </cell>
          <cell r="C702">
            <v>694</v>
          </cell>
          <cell r="D702">
            <v>2.0023121055647852</v>
          </cell>
          <cell r="E702">
            <v>1.0033416445432604</v>
          </cell>
          <cell r="F702">
            <v>165.35517604835292</v>
          </cell>
          <cell r="G702">
            <v>18.309999999999999</v>
          </cell>
          <cell r="H702">
            <v>6.6743736852181712E-4</v>
          </cell>
          <cell r="J702">
            <v>2.5486247286091781</v>
          </cell>
          <cell r="K702">
            <v>1.0018401740488894</v>
          </cell>
          <cell r="L702">
            <v>210.85668309830129</v>
          </cell>
        </row>
        <row r="703">
          <cell r="B703">
            <v>37172</v>
          </cell>
          <cell r="C703">
            <v>695</v>
          </cell>
          <cell r="D703">
            <v>2.0023121055647852</v>
          </cell>
          <cell r="E703">
            <v>1.0040113122502223</v>
          </cell>
          <cell r="F703">
            <v>165.46554027192605</v>
          </cell>
          <cell r="G703">
            <v>18.309999999999999</v>
          </cell>
          <cell r="H703">
            <v>6.6743736852159508E-4</v>
          </cell>
          <cell r="J703">
            <v>2.5495317171208907</v>
          </cell>
          <cell r="K703">
            <v>1.0021967026182919</v>
          </cell>
          <cell r="L703">
            <v>210.9317214462547</v>
          </cell>
        </row>
        <row r="704">
          <cell r="B704">
            <v>37173</v>
          </cell>
          <cell r="C704">
            <v>696</v>
          </cell>
          <cell r="D704">
            <v>2.0023121055647852</v>
          </cell>
          <cell r="E704">
            <v>1.0046814269184365</v>
          </cell>
          <cell r="F704">
            <v>165.57597815670616</v>
          </cell>
          <cell r="G704">
            <v>18.309999999999999</v>
          </cell>
          <cell r="H704">
            <v>6.6743736852159508E-4</v>
          </cell>
          <cell r="J704">
            <v>2.5504390284059606</v>
          </cell>
          <cell r="K704">
            <v>1.0025533580668353</v>
          </cell>
          <cell r="L704">
            <v>211.00678649838261</v>
          </cell>
        </row>
        <row r="705">
          <cell r="B705">
            <v>37174</v>
          </cell>
          <cell r="C705">
            <v>697</v>
          </cell>
          <cell r="D705">
            <v>2.0023121055647852</v>
          </cell>
          <cell r="E705">
            <v>1.0053519888462215</v>
          </cell>
          <cell r="F705">
            <v>165.68648975185747</v>
          </cell>
          <cell r="G705">
            <v>18.309999999999999</v>
          </cell>
          <cell r="H705">
            <v>6.6743736852159508E-4</v>
          </cell>
          <cell r="J705">
            <v>2.5513466625792547</v>
          </cell>
          <cell r="K705">
            <v>1.0029101404396727</v>
          </cell>
          <cell r="L705">
            <v>211.08187826418836</v>
          </cell>
        </row>
        <row r="706">
          <cell r="B706">
            <v>37175</v>
          </cell>
          <cell r="C706">
            <v>698</v>
          </cell>
          <cell r="D706">
            <v>2.0023121055647852</v>
          </cell>
          <cell r="E706">
            <v>1.006022998332095</v>
          </cell>
          <cell r="F706">
            <v>165.79707510657704</v>
          </cell>
          <cell r="G706">
            <v>18.309999999999999</v>
          </cell>
          <cell r="H706">
            <v>6.6743736852159508E-4</v>
          </cell>
          <cell r="J706">
            <v>2.5522546197556801</v>
          </cell>
          <cell r="K706">
            <v>1.0032670497819733</v>
          </cell>
          <cell r="L706">
            <v>211.15699675317862</v>
          </cell>
        </row>
        <row r="707">
          <cell r="B707">
            <v>37179</v>
          </cell>
          <cell r="C707">
            <v>699</v>
          </cell>
          <cell r="D707">
            <v>2.0023121055647852</v>
          </cell>
          <cell r="E707">
            <v>1.0066944556747739</v>
          </cell>
          <cell r="F707">
            <v>165.90773427009472</v>
          </cell>
          <cell r="G707">
            <v>18.309999999999999</v>
          </cell>
          <cell r="H707">
            <v>6.6743736852137303E-4</v>
          </cell>
          <cell r="J707">
            <v>2.5531629000501854</v>
          </cell>
          <cell r="K707">
            <v>1.0036240861389221</v>
          </cell>
          <cell r="L707">
            <v>211.23214197486348</v>
          </cell>
        </row>
        <row r="708">
          <cell r="B708">
            <v>37180</v>
          </cell>
          <cell r="C708">
            <v>700</v>
          </cell>
          <cell r="D708">
            <v>2.0023121055647852</v>
          </cell>
          <cell r="E708">
            <v>1.0073663611731747</v>
          </cell>
          <cell r="F708">
            <v>166.01846729167332</v>
          </cell>
          <cell r="G708">
            <v>18.309999999999999</v>
          </cell>
          <cell r="H708">
            <v>6.6743736852159508E-4</v>
          </cell>
          <cell r="J708">
            <v>2.5540715035777595</v>
          </cell>
          <cell r="K708">
            <v>1.0039812495557201</v>
          </cell>
          <cell r="L708">
            <v>211.30731393875641</v>
          </cell>
        </row>
        <row r="709">
          <cell r="B709">
            <v>37181</v>
          </cell>
          <cell r="C709">
            <v>701</v>
          </cell>
          <cell r="D709">
            <v>2.0023121055647852</v>
          </cell>
          <cell r="E709">
            <v>1.0080387151264132</v>
          </cell>
          <cell r="F709">
            <v>166.12927422060847</v>
          </cell>
          <cell r="G709">
            <v>18.309999999999999</v>
          </cell>
          <cell r="H709">
            <v>6.6743736852159508E-4</v>
          </cell>
          <cell r="J709">
            <v>2.5549804304534325</v>
          </cell>
          <cell r="K709">
            <v>1.0043385400775848</v>
          </cell>
          <cell r="L709">
            <v>211.38251265437427</v>
          </cell>
        </row>
        <row r="710">
          <cell r="B710">
            <v>37182</v>
          </cell>
          <cell r="C710">
            <v>702</v>
          </cell>
          <cell r="D710">
            <v>2.0023121055647852</v>
          </cell>
          <cell r="E710">
            <v>1.0087115178338051</v>
          </cell>
          <cell r="F710">
            <v>166.24015510622866</v>
          </cell>
          <cell r="G710">
            <v>18.309999999999999</v>
          </cell>
          <cell r="H710">
            <v>6.6743736852159508E-4</v>
          </cell>
          <cell r="J710">
            <v>2.5558896807922755</v>
          </cell>
          <cell r="K710">
            <v>1.0046959577497494</v>
          </cell>
          <cell r="L710">
            <v>211.45773813123728</v>
          </cell>
        </row>
        <row r="711">
          <cell r="B711">
            <v>37183</v>
          </cell>
          <cell r="C711">
            <v>703</v>
          </cell>
          <cell r="D711">
            <v>2.0023121055647852</v>
          </cell>
          <cell r="E711">
            <v>1.0093847695948654</v>
          </cell>
          <cell r="F711">
            <v>166.35110999789538</v>
          </cell>
          <cell r="G711">
            <v>18.309999999999999</v>
          </cell>
          <cell r="H711">
            <v>6.6743736852159508E-4</v>
          </cell>
          <cell r="J711">
            <v>2.5567992547094009</v>
          </cell>
          <cell r="K711">
            <v>1.0050535026174634</v>
          </cell>
          <cell r="L711">
            <v>211.53299037886907</v>
          </cell>
        </row>
        <row r="712">
          <cell r="B712">
            <v>37186</v>
          </cell>
          <cell r="C712">
            <v>704</v>
          </cell>
          <cell r="D712">
            <v>2.0023121055647852</v>
          </cell>
          <cell r="E712">
            <v>1.0100584707093097</v>
          </cell>
          <cell r="F712">
            <v>166.46213894500303</v>
          </cell>
          <cell r="G712">
            <v>18.309999999999999</v>
          </cell>
          <cell r="H712">
            <v>6.6743736852159508E-4</v>
          </cell>
          <cell r="J712">
            <v>2.5577091523199615</v>
          </cell>
          <cell r="K712">
            <v>1.0054111747259924</v>
          </cell>
          <cell r="L712">
            <v>211.60826940679664</v>
          </cell>
        </row>
        <row r="713">
          <cell r="B713">
            <v>37187</v>
          </cell>
          <cell r="C713">
            <v>705</v>
          </cell>
          <cell r="D713">
            <v>2.0023121055647852</v>
          </cell>
          <cell r="E713">
            <v>1.0107326214770529</v>
          </cell>
          <cell r="F713">
            <v>166.57324199697899</v>
          </cell>
          <cell r="G713">
            <v>18.309999999999999</v>
          </cell>
          <cell r="H713">
            <v>6.6743736852181712E-4</v>
          </cell>
          <cell r="J713">
            <v>2.5586193737391505</v>
          </cell>
          <cell r="K713">
            <v>1.0057689741206177</v>
          </cell>
          <cell r="L713">
            <v>211.68357522455034</v>
          </cell>
        </row>
        <row r="714">
          <cell r="B714">
            <v>37188</v>
          </cell>
          <cell r="C714">
            <v>706</v>
          </cell>
          <cell r="D714">
            <v>2.0023121055647852</v>
          </cell>
          <cell r="E714">
            <v>1.0114072221982104</v>
          </cell>
          <cell r="F714">
            <v>166.68441920328357</v>
          </cell>
          <cell r="G714">
            <v>18.309999999999999</v>
          </cell>
          <cell r="H714">
            <v>6.6743736852159508E-4</v>
          </cell>
          <cell r="J714">
            <v>2.5595299190822045</v>
          </cell>
          <cell r="K714">
            <v>1.0061269008466376</v>
          </cell>
          <cell r="L714">
            <v>211.7589078416641</v>
          </cell>
        </row>
        <row r="715">
          <cell r="B715">
            <v>37189</v>
          </cell>
          <cell r="C715">
            <v>707</v>
          </cell>
          <cell r="D715">
            <v>2.0023121055647852</v>
          </cell>
          <cell r="E715">
            <v>1.0120822731730981</v>
          </cell>
          <cell r="F715">
            <v>166.79567061341012</v>
          </cell>
          <cell r="G715">
            <v>18.309999999999999</v>
          </cell>
          <cell r="H715">
            <v>6.6743736852137303E-4</v>
          </cell>
          <cell r="J715">
            <v>2.560440788464398</v>
          </cell>
          <cell r="K715">
            <v>1.0064849549493655</v>
          </cell>
          <cell r="L715">
            <v>211.83426726767496</v>
          </cell>
        </row>
        <row r="716">
          <cell r="B716">
            <v>37190</v>
          </cell>
          <cell r="C716">
            <v>708</v>
          </cell>
          <cell r="D716">
            <v>2.0023121055647852</v>
          </cell>
          <cell r="E716">
            <v>1.012757774702232</v>
          </cell>
          <cell r="F716">
            <v>166.90699627688511</v>
          </cell>
          <cell r="G716">
            <v>18.309999999999999</v>
          </cell>
          <cell r="H716">
            <v>6.6743736852137303E-4</v>
          </cell>
          <cell r="J716">
            <v>2.5613519820010486</v>
          </cell>
          <cell r="K716">
            <v>1.0068431364741317</v>
          </cell>
          <cell r="L716">
            <v>211.90965351212358</v>
          </cell>
        </row>
        <row r="717">
          <cell r="B717">
            <v>37193</v>
          </cell>
          <cell r="C717">
            <v>709</v>
          </cell>
          <cell r="D717">
            <v>2.0023121055647852</v>
          </cell>
          <cell r="E717">
            <v>1.0134337270863292</v>
          </cell>
          <cell r="F717">
            <v>167.018396243268</v>
          </cell>
          <cell r="G717">
            <v>18.309999999999999</v>
          </cell>
          <cell r="H717">
            <v>6.6743736852159508E-4</v>
          </cell>
          <cell r="J717">
            <v>2.5622634998075147</v>
          </cell>
          <cell r="K717">
            <v>1.0072014454662825</v>
          </cell>
          <cell r="L717">
            <v>211.98506658455398</v>
          </cell>
        </row>
        <row r="718">
          <cell r="B718">
            <v>37194</v>
          </cell>
          <cell r="C718">
            <v>710</v>
          </cell>
          <cell r="D718">
            <v>2.0023121055647852</v>
          </cell>
          <cell r="E718">
            <v>1.0141101306263067</v>
          </cell>
          <cell r="F718">
            <v>167.1298705621513</v>
          </cell>
          <cell r="G718">
            <v>18.309999999999999</v>
          </cell>
          <cell r="H718">
            <v>6.6743736852159508E-4</v>
          </cell>
          <cell r="J718">
            <v>2.5631753419991945</v>
          </cell>
          <cell r="K718">
            <v>1.00755988197118</v>
          </cell>
          <cell r="L718">
            <v>212.06050649451345</v>
          </cell>
        </row>
        <row r="719">
          <cell r="B719">
            <v>37195</v>
          </cell>
          <cell r="C719">
            <v>711</v>
          </cell>
          <cell r="D719">
            <v>2.0023121055647852</v>
          </cell>
          <cell r="E719">
            <v>1.014786985623283</v>
          </cell>
          <cell r="F719">
            <v>167.24141928316064</v>
          </cell>
          <cell r="G719">
            <v>18.309999999999999</v>
          </cell>
          <cell r="H719">
            <v>6.6743736852159508E-4</v>
          </cell>
          <cell r="J719">
            <v>2.5640875086915296</v>
          </cell>
          <cell r="K719">
            <v>1.0079184460342028</v>
          </cell>
          <cell r="L719">
            <v>212.13597325155283</v>
          </cell>
        </row>
        <row r="720">
          <cell r="B720">
            <v>37196</v>
          </cell>
          <cell r="C720">
            <v>712</v>
          </cell>
          <cell r="D720">
            <v>2.0023121055647852</v>
          </cell>
          <cell r="E720">
            <v>1.0006674373685216</v>
          </cell>
          <cell r="F720">
            <v>167.35304245595481</v>
          </cell>
          <cell r="G720">
            <v>18.309999999999999</v>
          </cell>
          <cell r="H720">
            <v>6.6743736852159508E-4</v>
          </cell>
          <cell r="J720">
            <v>2.5649999999999999</v>
          </cell>
          <cell r="K720">
            <v>1.0003558736998552</v>
          </cell>
          <cell r="L720">
            <v>212.21146686522624</v>
          </cell>
        </row>
        <row r="721">
          <cell r="B721">
            <v>37200</v>
          </cell>
          <cell r="C721">
            <v>713</v>
          </cell>
          <cell r="D721">
            <v>2.0023121055647852</v>
          </cell>
          <cell r="E721">
            <v>1.0013353202096842</v>
          </cell>
          <cell r="F721">
            <v>167.46474013022572</v>
          </cell>
          <cell r="G721">
            <v>18.309999999999999</v>
          </cell>
          <cell r="H721">
            <v>6.6743736852181712E-4</v>
          </cell>
          <cell r="J721">
            <v>2.5659963149602212</v>
          </cell>
          <cell r="K721">
            <v>1.0007444388158444</v>
          </cell>
          <cell r="L721">
            <v>212.2938955042782</v>
          </cell>
        </row>
        <row r="722">
          <cell r="B722">
            <v>37201</v>
          </cell>
          <cell r="C722">
            <v>714</v>
          </cell>
          <cell r="D722">
            <v>2.0023121055647852</v>
          </cell>
          <cell r="E722">
            <v>1.0020036488208126</v>
          </cell>
          <cell r="F722">
            <v>167.57651235569838</v>
          </cell>
          <cell r="G722">
            <v>18.309999999999999</v>
          </cell>
          <cell r="H722">
            <v>6.6743736852159508E-4</v>
          </cell>
          <cell r="J722">
            <v>2.5669930169159589</v>
          </cell>
          <cell r="K722">
            <v>1.0011331548609712</v>
          </cell>
          <cell r="L722">
            <v>212.37635616082966</v>
          </cell>
        </row>
        <row r="723">
          <cell r="B723">
            <v>37202</v>
          </cell>
          <cell r="C723">
            <v>715</v>
          </cell>
          <cell r="D723">
            <v>2.0023121055647852</v>
          </cell>
          <cell r="E723">
            <v>1.0026724234994306</v>
          </cell>
          <cell r="F723">
            <v>167.68835918213111</v>
          </cell>
          <cell r="G723">
            <v>18.309999999999999</v>
          </cell>
          <cell r="H723">
            <v>6.6743736852159508E-4</v>
          </cell>
          <cell r="J723">
            <v>2.5679901060175325</v>
          </cell>
          <cell r="K723">
            <v>1.0015220218938605</v>
          </cell>
          <cell r="L723">
            <v>212.45884884731709</v>
          </cell>
        </row>
        <row r="724">
          <cell r="B724">
            <v>37203</v>
          </cell>
          <cell r="C724">
            <v>716</v>
          </cell>
          <cell r="D724">
            <v>2.0023121055647852</v>
          </cell>
          <cell r="E724">
            <v>1.0033416445432604</v>
          </cell>
          <cell r="F724">
            <v>167.80028065931535</v>
          </cell>
          <cell r="G724">
            <v>18.309999999999999</v>
          </cell>
          <cell r="H724">
            <v>6.6743736852159508E-4</v>
          </cell>
          <cell r="J724">
            <v>2.5689875824153199</v>
          </cell>
          <cell r="K724">
            <v>1.0019110399731603</v>
          </cell>
          <cell r="L724">
            <v>212.54137357618177</v>
          </cell>
        </row>
        <row r="725">
          <cell r="B725">
            <v>37204</v>
          </cell>
          <cell r="C725">
            <v>717</v>
          </cell>
          <cell r="D725">
            <v>2.0023121055647852</v>
          </cell>
          <cell r="E725">
            <v>1.0040113122502223</v>
          </cell>
          <cell r="F725">
            <v>167.91227683707578</v>
          </cell>
          <cell r="G725">
            <v>18.309999999999999</v>
          </cell>
          <cell r="H725">
            <v>6.6743736852159508E-4</v>
          </cell>
          <cell r="J725">
            <v>2.5699854462597576</v>
          </cell>
          <cell r="K725">
            <v>1.0023002091575408</v>
          </cell>
          <cell r="L725">
            <v>212.62393035986983</v>
          </cell>
        </row>
        <row r="726">
          <cell r="B726">
            <v>37207</v>
          </cell>
          <cell r="C726">
            <v>718</v>
          </cell>
          <cell r="D726">
            <v>2.0023121055647852</v>
          </cell>
          <cell r="E726">
            <v>1.0046814269184365</v>
          </cell>
          <cell r="F726">
            <v>168.02434776527039</v>
          </cell>
          <cell r="G726">
            <v>18.309999999999999</v>
          </cell>
          <cell r="H726">
            <v>6.6743736852159508E-4</v>
          </cell>
          <cell r="J726">
            <v>2.5709836977013398</v>
          </cell>
          <cell r="K726">
            <v>1.0026895295056955</v>
          </cell>
          <cell r="L726">
            <v>212.70651921083223</v>
          </cell>
        </row>
        <row r="727">
          <cell r="B727">
            <v>37208</v>
          </cell>
          <cell r="C727">
            <v>719</v>
          </cell>
          <cell r="D727">
            <v>2.0023121055647852</v>
          </cell>
          <cell r="E727">
            <v>1.0053519888462215</v>
          </cell>
          <cell r="F727">
            <v>168.1364934937904</v>
          </cell>
          <cell r="G727">
            <v>18.309999999999999</v>
          </cell>
          <cell r="H727">
            <v>6.6743736852159508E-4</v>
          </cell>
          <cell r="J727">
            <v>2.5719823368906205</v>
          </cell>
          <cell r="K727">
            <v>1.0030790010763402</v>
          </cell>
          <cell r="L727">
            <v>212.78914014152474</v>
          </cell>
        </row>
        <row r="728">
          <cell r="B728">
            <v>37209</v>
          </cell>
          <cell r="C728">
            <v>720</v>
          </cell>
          <cell r="D728">
            <v>2.0023121055647852</v>
          </cell>
          <cell r="E728">
            <v>1.006022998332095</v>
          </cell>
          <cell r="F728">
            <v>168.24871407256035</v>
          </cell>
          <cell r="G728">
            <v>18.309999999999999</v>
          </cell>
          <cell r="H728">
            <v>6.6743736852159508E-4</v>
          </cell>
          <cell r="J728">
            <v>2.5729813639782106</v>
          </cell>
          <cell r="K728">
            <v>1.0034686239282138</v>
          </cell>
          <cell r="L728">
            <v>212.87179316440802</v>
          </cell>
        </row>
        <row r="729">
          <cell r="B729">
            <v>37211</v>
          </cell>
          <cell r="C729">
            <v>721</v>
          </cell>
          <cell r="D729">
            <v>2.0023121055647852</v>
          </cell>
          <cell r="E729">
            <v>1.0066944556747739</v>
          </cell>
          <cell r="F729">
            <v>168.36100955153807</v>
          </cell>
          <cell r="G729">
            <v>18.309999999999999</v>
          </cell>
          <cell r="H729">
            <v>6.6743736852159508E-4</v>
          </cell>
          <cell r="J729">
            <v>2.5739807791147804</v>
          </cell>
          <cell r="K729">
            <v>1.0038583981200782</v>
          </cell>
          <cell r="L729">
            <v>212.95447829194751</v>
          </cell>
        </row>
        <row r="730">
          <cell r="B730">
            <v>37214</v>
          </cell>
          <cell r="C730">
            <v>722</v>
          </cell>
          <cell r="D730">
            <v>2.0023121055647852</v>
          </cell>
          <cell r="E730">
            <v>1.0073663611731747</v>
          </cell>
          <cell r="F730">
            <v>168.47337998071478</v>
          </cell>
          <cell r="G730">
            <v>18.309999999999999</v>
          </cell>
          <cell r="H730">
            <v>6.6743736852159508E-4</v>
          </cell>
          <cell r="J730">
            <v>2.5749805824510585</v>
          </cell>
          <cell r="K730">
            <v>1.0042483237107178</v>
          </cell>
          <cell r="L730">
            <v>213.03719553661352</v>
          </cell>
        </row>
        <row r="731">
          <cell r="B731">
            <v>37215</v>
          </cell>
          <cell r="C731">
            <v>723</v>
          </cell>
          <cell r="D731">
            <v>2.0023121055647852</v>
          </cell>
          <cell r="E731">
            <v>1.0080387151264132</v>
          </cell>
          <cell r="F731">
            <v>168.58582541011504</v>
          </cell>
          <cell r="G731">
            <v>18.309999999999999</v>
          </cell>
          <cell r="H731">
            <v>6.6743736852159508E-4</v>
          </cell>
          <cell r="J731">
            <v>2.5759807741378324</v>
          </cell>
          <cell r="K731">
            <v>1.00463840075894</v>
          </cell>
          <cell r="L731">
            <v>213.11994491088123</v>
          </cell>
        </row>
        <row r="732">
          <cell r="B732">
            <v>37216</v>
          </cell>
          <cell r="C732">
            <v>724</v>
          </cell>
          <cell r="D732">
            <v>2.0023121055647852</v>
          </cell>
          <cell r="E732">
            <v>1.0087115178338051</v>
          </cell>
          <cell r="F732">
            <v>168.6983458897968</v>
          </cell>
          <cell r="G732">
            <v>18.309999999999999</v>
          </cell>
          <cell r="H732">
            <v>6.6743736852159508E-4</v>
          </cell>
          <cell r="J732">
            <v>2.5769813543259477</v>
          </cell>
          <cell r="K732">
            <v>1.0050286293235748</v>
          </cell>
          <cell r="L732">
            <v>213.20272642723063</v>
          </cell>
        </row>
        <row r="733">
          <cell r="B733">
            <v>37217</v>
          </cell>
          <cell r="C733">
            <v>725</v>
          </cell>
          <cell r="D733">
            <v>2.0023121055647852</v>
          </cell>
          <cell r="E733">
            <v>1.0093847695948654</v>
          </cell>
          <cell r="F733">
            <v>168.81094146985143</v>
          </cell>
          <cell r="G733">
            <v>18.309999999999999</v>
          </cell>
          <cell r="H733">
            <v>6.6743736852159508E-4</v>
          </cell>
          <cell r="J733">
            <v>2.5779823231663093</v>
          </cell>
          <cell r="K733">
            <v>1.0054190094634758</v>
          </cell>
          <cell r="L733">
            <v>213.28554009814661</v>
          </cell>
        </row>
        <row r="734">
          <cell r="B734">
            <v>37218</v>
          </cell>
          <cell r="C734">
            <v>726</v>
          </cell>
          <cell r="D734">
            <v>2.0023121055647852</v>
          </cell>
          <cell r="E734">
            <v>1.0100584707093097</v>
          </cell>
          <cell r="F734">
            <v>168.92361220040374</v>
          </cell>
          <cell r="G734">
            <v>18.309999999999999</v>
          </cell>
          <cell r="H734">
            <v>6.6743736852181712E-4</v>
          </cell>
          <cell r="J734">
            <v>2.5789836808098787</v>
          </cell>
          <cell r="K734">
            <v>1.0058095412375183</v>
          </cell>
          <cell r="L734">
            <v>213.36838593611878</v>
          </cell>
        </row>
        <row r="735">
          <cell r="B735">
            <v>37221</v>
          </cell>
          <cell r="C735">
            <v>727</v>
          </cell>
          <cell r="D735">
            <v>2.0023121055647852</v>
          </cell>
          <cell r="E735">
            <v>1.0107326214770529</v>
          </cell>
          <cell r="F735">
            <v>169.03635813161193</v>
          </cell>
          <cell r="G735">
            <v>18.309999999999999</v>
          </cell>
          <cell r="H735">
            <v>6.6743736852159508E-4</v>
          </cell>
          <cell r="J735">
            <v>2.5799854274076792</v>
          </cell>
          <cell r="K735">
            <v>1.0062002247046016</v>
          </cell>
          <cell r="L735">
            <v>213.45126395364179</v>
          </cell>
        </row>
        <row r="736">
          <cell r="B736">
            <v>37222</v>
          </cell>
          <cell r="C736">
            <v>728</v>
          </cell>
          <cell r="D736">
            <v>2.0023121055647852</v>
          </cell>
          <cell r="E736">
            <v>1.0114072221982104</v>
          </cell>
          <cell r="F736">
            <v>169.14917931366779</v>
          </cell>
          <cell r="G736">
            <v>18.309999999999999</v>
          </cell>
          <cell r="H736">
            <v>6.6743736852159508E-4</v>
          </cell>
          <cell r="J736">
            <v>2.5809875631107899</v>
          </cell>
          <cell r="K736">
            <v>1.0065910599236467</v>
          </cell>
          <cell r="L736">
            <v>213.53417416321494</v>
          </cell>
        </row>
        <row r="737">
          <cell r="B737">
            <v>37223</v>
          </cell>
          <cell r="C737">
            <v>729</v>
          </cell>
          <cell r="D737">
            <v>2.0023121055647852</v>
          </cell>
          <cell r="E737">
            <v>1.0120822731730981</v>
          </cell>
          <cell r="F737">
            <v>169.26207579679649</v>
          </cell>
          <cell r="G737">
            <v>18.309999999999999</v>
          </cell>
          <cell r="H737">
            <v>6.6743736852159508E-4</v>
          </cell>
          <cell r="J737">
            <v>2.5819900880703508</v>
          </cell>
          <cell r="K737">
            <v>1.0069820469535988</v>
          </cell>
          <cell r="L737">
            <v>213.61711657734259</v>
          </cell>
        </row>
        <row r="738">
          <cell r="B738">
            <v>37224</v>
          </cell>
          <cell r="C738">
            <v>730</v>
          </cell>
          <cell r="D738">
            <v>2.0023121055647852</v>
          </cell>
          <cell r="E738">
            <v>1.012757774702232</v>
          </cell>
          <cell r="F738">
            <v>169.37504763125682</v>
          </cell>
          <cell r="G738">
            <v>18.309999999999999</v>
          </cell>
          <cell r="H738">
            <v>6.6743736852159508E-4</v>
          </cell>
          <cell r="J738">
            <v>2.5829930024375582</v>
          </cell>
          <cell r="K738">
            <v>1.0073731858534249</v>
          </cell>
          <cell r="L738">
            <v>213.70009120853373</v>
          </cell>
        </row>
        <row r="739">
          <cell r="B739">
            <v>37225</v>
          </cell>
          <cell r="C739">
            <v>731</v>
          </cell>
          <cell r="D739">
            <v>2.0023121055647852</v>
          </cell>
          <cell r="E739">
            <v>1.0134337270863292</v>
          </cell>
          <cell r="F739">
            <v>169.48809486734106</v>
          </cell>
          <cell r="G739">
            <v>18.309999999999999</v>
          </cell>
          <cell r="H739">
            <v>6.6743736852159508E-4</v>
          </cell>
          <cell r="J739">
            <v>2.5839963063636695</v>
          </cell>
          <cell r="K739">
            <v>1.0077644766821154</v>
          </cell>
          <cell r="L739">
            <v>213.78309806930241</v>
          </cell>
        </row>
        <row r="740">
          <cell r="B740">
            <v>37228</v>
          </cell>
          <cell r="C740">
            <v>732</v>
          </cell>
          <cell r="D740">
            <v>2.0023121055647852</v>
          </cell>
          <cell r="E740">
            <v>1.0006674373685216</v>
          </cell>
          <cell r="F740">
            <v>169.60121755537506</v>
          </cell>
          <cell r="G740">
            <v>18.309999999999999</v>
          </cell>
          <cell r="H740">
            <v>6.6743736852159508E-4</v>
          </cell>
          <cell r="J740">
            <v>2.585</v>
          </cell>
          <cell r="K740">
            <v>1.0003884268850767</v>
          </cell>
          <cell r="L740">
            <v>213.8661371721675</v>
          </cell>
        </row>
        <row r="741">
          <cell r="B741">
            <v>37229</v>
          </cell>
          <cell r="C741">
            <v>733</v>
          </cell>
          <cell r="D741">
            <v>2.0023121055647852</v>
          </cell>
          <cell r="E741">
            <v>1.0013353202096842</v>
          </cell>
          <cell r="F741">
            <v>169.71441574571827</v>
          </cell>
          <cell r="G741">
            <v>18.309999999999999</v>
          </cell>
          <cell r="H741">
            <v>6.6743736852159508E-4</v>
          </cell>
          <cell r="J741">
            <v>2.585996343328695</v>
          </cell>
          <cell r="K741">
            <v>1.0007740092197888</v>
          </cell>
          <cell r="L741">
            <v>213.94856815824303</v>
          </cell>
        </row>
        <row r="742">
          <cell r="B742">
            <v>37230</v>
          </cell>
          <cell r="C742">
            <v>734</v>
          </cell>
          <cell r="D742">
            <v>2.0023121055647852</v>
          </cell>
          <cell r="E742">
            <v>1.0020036488208126</v>
          </cell>
          <cell r="F742">
            <v>169.82768948876378</v>
          </cell>
          <cell r="G742">
            <v>18.309999999999999</v>
          </cell>
          <cell r="H742">
            <v>6.6743736852159508E-4</v>
          </cell>
          <cell r="J742">
            <v>2.5869930706806121</v>
          </cell>
          <cell r="K742">
            <v>1.0011597401705112</v>
          </cell>
          <cell r="L742">
            <v>214.0310309159097</v>
          </cell>
        </row>
        <row r="743">
          <cell r="B743">
            <v>37231</v>
          </cell>
          <cell r="C743">
            <v>735</v>
          </cell>
          <cell r="D743">
            <v>2.0023121055647852</v>
          </cell>
          <cell r="E743">
            <v>1.0026724234994306</v>
          </cell>
          <cell r="F743">
            <v>169.94103883493827</v>
          </cell>
          <cell r="G743">
            <v>18.309999999999999</v>
          </cell>
          <cell r="H743">
            <v>6.6743736852159508E-4</v>
          </cell>
          <cell r="J743">
            <v>2.5879901822037659</v>
          </cell>
          <cell r="K743">
            <v>1.0015456197945256</v>
          </cell>
          <cell r="L743">
            <v>214.11352545741329</v>
          </cell>
        </row>
        <row r="744">
          <cell r="B744">
            <v>37232</v>
          </cell>
          <cell r="C744">
            <v>736</v>
          </cell>
          <cell r="D744">
            <v>2.0023121055647852</v>
          </cell>
          <cell r="E744">
            <v>1.0033416445432604</v>
          </cell>
          <cell r="F744">
            <v>170.05446383470209</v>
          </cell>
          <cell r="G744">
            <v>18.309999999999999</v>
          </cell>
          <cell r="H744">
            <v>6.6743736852159508E-4</v>
          </cell>
          <cell r="J744">
            <v>2.5889876780462289</v>
          </cell>
          <cell r="K744">
            <v>1.0019316481491354</v>
          </cell>
          <cell r="L744">
            <v>214.19605179500434</v>
          </cell>
        </row>
        <row r="745">
          <cell r="B745">
            <v>37235</v>
          </cell>
          <cell r="C745">
            <v>737</v>
          </cell>
          <cell r="D745">
            <v>2.0023121055647852</v>
          </cell>
          <cell r="E745">
            <v>1.0040113122502223</v>
          </cell>
          <cell r="F745">
            <v>170.16796453854926</v>
          </cell>
          <cell r="G745">
            <v>18.309999999999999</v>
          </cell>
          <cell r="H745">
            <v>6.6743736852159508E-4</v>
          </cell>
          <cell r="J745">
            <v>2.5899855583561302</v>
          </cell>
          <cell r="K745">
            <v>1.002317825291666</v>
          </cell>
          <cell r="L745">
            <v>214.27860994093808</v>
          </cell>
        </row>
        <row r="746">
          <cell r="B746">
            <v>37236</v>
          </cell>
          <cell r="C746">
            <v>738</v>
          </cell>
          <cell r="D746">
            <v>2.0023121055647852</v>
          </cell>
          <cell r="E746">
            <v>1.0046814269184365</v>
          </cell>
          <cell r="F746">
            <v>170.28154099700754</v>
          </cell>
          <cell r="G746">
            <v>18.309999999999999</v>
          </cell>
          <cell r="H746">
            <v>6.6743736852159508E-4</v>
          </cell>
          <cell r="J746">
            <v>2.5909838232816562</v>
          </cell>
          <cell r="K746">
            <v>1.0027041512794654</v>
          </cell>
          <cell r="L746">
            <v>214.36119990747451</v>
          </cell>
        </row>
        <row r="747">
          <cell r="B747">
            <v>37237</v>
          </cell>
          <cell r="C747">
            <v>739</v>
          </cell>
          <cell r="D747">
            <v>2.0023121055647852</v>
          </cell>
          <cell r="E747">
            <v>1.0053519888462215</v>
          </cell>
          <cell r="F747">
            <v>170.39519326063837</v>
          </cell>
          <cell r="G747">
            <v>18.309999999999999</v>
          </cell>
          <cell r="H747">
            <v>6.6743736852137303E-4</v>
          </cell>
          <cell r="J747">
            <v>2.5919824729710501</v>
          </cell>
          <cell r="K747">
            <v>1.0030906261699033</v>
          </cell>
          <cell r="L747">
            <v>214.44382170687834</v>
          </cell>
        </row>
        <row r="748">
          <cell r="B748">
            <v>37238</v>
          </cell>
          <cell r="C748">
            <v>740</v>
          </cell>
          <cell r="D748">
            <v>2.0023121055647852</v>
          </cell>
          <cell r="E748">
            <v>1.006022998332095</v>
          </cell>
          <cell r="F748">
            <v>170.50892138003698</v>
          </cell>
          <cell r="G748">
            <v>18.309999999999999</v>
          </cell>
          <cell r="H748">
            <v>6.6743736852159508E-4</v>
          </cell>
          <cell r="J748">
            <v>2.5929815075726128</v>
          </cell>
          <cell r="K748">
            <v>1.0034772500203717</v>
          </cell>
          <cell r="L748">
            <v>214.52647535141895</v>
          </cell>
        </row>
        <row r="749">
          <cell r="B749">
            <v>37239</v>
          </cell>
          <cell r="C749">
            <v>741</v>
          </cell>
          <cell r="D749">
            <v>2.0023121055647852</v>
          </cell>
          <cell r="E749">
            <v>1.0066944556747739</v>
          </cell>
          <cell r="F749">
            <v>170.62272540583231</v>
          </cell>
          <cell r="G749">
            <v>18.309999999999999</v>
          </cell>
          <cell r="H749">
            <v>6.6743736852159508E-4</v>
          </cell>
          <cell r="J749">
            <v>2.5939809272347016</v>
          </cell>
          <cell r="K749">
            <v>1.0038640228882847</v>
          </cell>
          <cell r="L749">
            <v>214.60916085337053</v>
          </cell>
        </row>
        <row r="750">
          <cell r="B750">
            <v>37242</v>
          </cell>
          <cell r="C750">
            <v>742</v>
          </cell>
          <cell r="D750">
            <v>2.0023121055647852</v>
          </cell>
          <cell r="E750">
            <v>1.0073663611731747</v>
          </cell>
          <cell r="F750">
            <v>170.73660538868717</v>
          </cell>
          <cell r="G750">
            <v>18.309999999999999</v>
          </cell>
          <cell r="H750">
            <v>6.6743736852159508E-4</v>
          </cell>
          <cell r="J750">
            <v>2.5949807321057317</v>
          </cell>
          <cell r="K750">
            <v>1.0042509448310784</v>
          </cell>
          <cell r="L750">
            <v>214.69187822501195</v>
          </cell>
        </row>
        <row r="751">
          <cell r="B751">
            <v>37243</v>
          </cell>
          <cell r="C751">
            <v>743</v>
          </cell>
          <cell r="D751">
            <v>2.0023121055647852</v>
          </cell>
          <cell r="E751">
            <v>1.0080387151264132</v>
          </cell>
          <cell r="F751">
            <v>170.85056137929809</v>
          </cell>
          <cell r="G751">
            <v>18.309999999999999</v>
          </cell>
          <cell r="H751">
            <v>6.6743736852159508E-4</v>
          </cell>
          <cell r="J751">
            <v>2.5959809223341748</v>
          </cell>
          <cell r="K751">
            <v>1.0046380159062112</v>
          </cell>
          <cell r="L751">
            <v>214.77462747862683</v>
          </cell>
        </row>
        <row r="752">
          <cell r="B752">
            <v>37244</v>
          </cell>
          <cell r="C752">
            <v>744</v>
          </cell>
          <cell r="D752">
            <v>2.0023121055647852</v>
          </cell>
          <cell r="E752">
            <v>1.0087115178338051</v>
          </cell>
          <cell r="F752">
            <v>170.96459342839555</v>
          </cell>
          <cell r="G752">
            <v>18.309999999999999</v>
          </cell>
          <cell r="H752">
            <v>6.6743736852181712E-4</v>
          </cell>
          <cell r="J752">
            <v>2.5969814980685606</v>
          </cell>
          <cell r="K752">
            <v>1.0050252361711633</v>
          </cell>
          <cell r="L752">
            <v>214.85740862650354</v>
          </cell>
        </row>
        <row r="753">
          <cell r="B753">
            <v>37245</v>
          </cell>
          <cell r="C753">
            <v>745</v>
          </cell>
          <cell r="D753">
            <v>2.0023121055647852</v>
          </cell>
          <cell r="E753">
            <v>1.0093847695948654</v>
          </cell>
          <cell r="F753">
            <v>171.07870158674376</v>
          </cell>
          <cell r="G753">
            <v>18.309999999999999</v>
          </cell>
          <cell r="H753">
            <v>6.6743736852159508E-4</v>
          </cell>
          <cell r="J753">
            <v>2.5979824594574756</v>
          </cell>
          <cell r="K753">
            <v>1.0054126056834378</v>
          </cell>
          <cell r="L753">
            <v>214.94022168093517</v>
          </cell>
        </row>
        <row r="754">
          <cell r="B754">
            <v>37246</v>
          </cell>
          <cell r="C754">
            <v>746</v>
          </cell>
          <cell r="D754">
            <v>2.0023121055647852</v>
          </cell>
          <cell r="E754">
            <v>1.0100584707093097</v>
          </cell>
          <cell r="F754">
            <v>171.19288590514091</v>
          </cell>
          <cell r="G754">
            <v>18.309999999999999</v>
          </cell>
          <cell r="H754">
            <v>6.6743736852159508E-4</v>
          </cell>
          <cell r="J754">
            <v>2.5989838066495636</v>
          </cell>
          <cell r="K754">
            <v>1.0058001245005592</v>
          </cell>
          <cell r="L754">
            <v>215.02306665421952</v>
          </cell>
        </row>
        <row r="755">
          <cell r="B755">
            <v>37249</v>
          </cell>
          <cell r="C755">
            <v>747</v>
          </cell>
          <cell r="D755">
            <v>2.0023121055647852</v>
          </cell>
          <cell r="E755">
            <v>1.0107326214770529</v>
          </cell>
          <cell r="F755">
            <v>171.30714643441908</v>
          </cell>
          <cell r="G755">
            <v>18.309999999999999</v>
          </cell>
          <cell r="H755">
            <v>6.6743736852181712E-4</v>
          </cell>
          <cell r="J755">
            <v>2.5999855397935256</v>
          </cell>
          <cell r="K755">
            <v>1.0061877926800744</v>
          </cell>
          <cell r="L755">
            <v>215.10594355865916</v>
          </cell>
        </row>
        <row r="756">
          <cell r="B756">
            <v>37251</v>
          </cell>
          <cell r="C756">
            <v>748</v>
          </cell>
          <cell r="D756">
            <v>2.0023121055647852</v>
          </cell>
          <cell r="E756">
            <v>1.0114072221982104</v>
          </cell>
          <cell r="F756">
            <v>171.42148322544423</v>
          </cell>
          <cell r="G756">
            <v>18.309999999999999</v>
          </cell>
          <cell r="H756">
            <v>6.6743736852181712E-4</v>
          </cell>
          <cell r="J756">
            <v>2.60098765903812</v>
          </cell>
          <cell r="K756">
            <v>1.0065756102795527</v>
          </cell>
          <cell r="L756">
            <v>215.18885240656141</v>
          </cell>
        </row>
        <row r="757">
          <cell r="B757">
            <v>37252</v>
          </cell>
          <cell r="C757">
            <v>749</v>
          </cell>
          <cell r="D757">
            <v>2.0023121055647852</v>
          </cell>
          <cell r="E757">
            <v>1.0120822731730981</v>
          </cell>
          <cell r="F757">
            <v>171.53589632911627</v>
          </cell>
          <cell r="G757">
            <v>18.309999999999999</v>
          </cell>
          <cell r="H757">
            <v>6.6743736852137303E-4</v>
          </cell>
          <cell r="J757">
            <v>2.6019901645321628</v>
          </cell>
          <cell r="K757">
            <v>1.0069635773565853</v>
          </cell>
          <cell r="L757">
            <v>215.27179321023831</v>
          </cell>
        </row>
        <row r="758">
          <cell r="B758">
            <v>37253</v>
          </cell>
          <cell r="C758">
            <v>750</v>
          </cell>
          <cell r="D758">
            <v>2.0023121055647852</v>
          </cell>
          <cell r="E758">
            <v>1.012757774702232</v>
          </cell>
          <cell r="F758">
            <v>171.65038579636914</v>
          </cell>
          <cell r="G758">
            <v>18.309999999999999</v>
          </cell>
          <cell r="H758">
            <v>6.6743736852137303E-4</v>
          </cell>
          <cell r="J758">
            <v>2.6029930564245269</v>
          </cell>
          <cell r="K758">
            <v>1.0073516939687857</v>
          </cell>
          <cell r="L758">
            <v>215.35476598200668</v>
          </cell>
        </row>
        <row r="759">
          <cell r="B759">
            <v>37256</v>
          </cell>
          <cell r="C759">
            <v>751</v>
          </cell>
          <cell r="D759">
            <v>2.0023121055647852</v>
          </cell>
          <cell r="E759">
            <v>1.0134337270863292</v>
          </cell>
          <cell r="F759">
            <v>171.7649516781708</v>
          </cell>
          <cell r="G759">
            <v>18.309999999999999</v>
          </cell>
          <cell r="H759">
            <v>6.6743736852181712E-4</v>
          </cell>
          <cell r="J759">
            <v>2.6039963348641431</v>
          </cell>
          <cell r="K759">
            <v>1.0077399601737898</v>
          </cell>
          <cell r="L759">
            <v>215.43777073418806</v>
          </cell>
        </row>
        <row r="760">
          <cell r="B760">
            <v>37257</v>
          </cell>
          <cell r="C760">
            <v>752</v>
          </cell>
          <cell r="D760">
            <v>2.0023121055647852</v>
          </cell>
          <cell r="E760">
            <v>1.0006674373685216</v>
          </cell>
          <cell r="F760">
            <v>171.87959402552312</v>
          </cell>
          <cell r="G760">
            <v>18.309999999999999</v>
          </cell>
          <cell r="H760">
            <v>6.6743736852159508E-4</v>
          </cell>
          <cell r="J760">
            <v>2.605</v>
          </cell>
          <cell r="K760">
            <v>1.0003854326223194</v>
          </cell>
          <cell r="L760">
            <v>215.52080747910878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J761">
            <v>0</v>
          </cell>
          <cell r="K761">
            <v>0</v>
          </cell>
          <cell r="L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J762">
            <v>0</v>
          </cell>
          <cell r="K762">
            <v>0</v>
          </cell>
          <cell r="L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J763">
            <v>0</v>
          </cell>
          <cell r="K763">
            <v>0</v>
          </cell>
          <cell r="L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J764">
            <v>0</v>
          </cell>
          <cell r="K764">
            <v>0</v>
          </cell>
          <cell r="L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J765">
            <v>0</v>
          </cell>
          <cell r="K765">
            <v>0</v>
          </cell>
          <cell r="L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J766">
            <v>0</v>
          </cell>
          <cell r="K766">
            <v>0</v>
          </cell>
          <cell r="L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J767">
            <v>0</v>
          </cell>
          <cell r="K767">
            <v>0</v>
          </cell>
          <cell r="L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J768">
            <v>0</v>
          </cell>
          <cell r="K768">
            <v>0</v>
          </cell>
          <cell r="L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J769">
            <v>0</v>
          </cell>
          <cell r="K769">
            <v>0</v>
          </cell>
          <cell r="L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J770">
            <v>0</v>
          </cell>
          <cell r="K770">
            <v>0</v>
          </cell>
          <cell r="L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J771">
            <v>0</v>
          </cell>
          <cell r="K771">
            <v>0</v>
          </cell>
          <cell r="L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J772">
            <v>0</v>
          </cell>
          <cell r="K772">
            <v>0</v>
          </cell>
          <cell r="L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J773">
            <v>0</v>
          </cell>
          <cell r="K773">
            <v>0</v>
          </cell>
          <cell r="L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J775">
            <v>0</v>
          </cell>
          <cell r="K775">
            <v>0</v>
          </cell>
          <cell r="L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J776">
            <v>0</v>
          </cell>
          <cell r="K776">
            <v>0</v>
          </cell>
          <cell r="L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J777">
            <v>0</v>
          </cell>
          <cell r="K777">
            <v>0</v>
          </cell>
          <cell r="L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J778">
            <v>0</v>
          </cell>
          <cell r="K778">
            <v>0</v>
          </cell>
          <cell r="L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J779">
            <v>0</v>
          </cell>
          <cell r="K779">
            <v>0</v>
          </cell>
          <cell r="L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J780">
            <v>0</v>
          </cell>
          <cell r="K780">
            <v>0</v>
          </cell>
          <cell r="L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J782">
            <v>0</v>
          </cell>
          <cell r="K782">
            <v>0</v>
          </cell>
          <cell r="L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J783">
            <v>0</v>
          </cell>
          <cell r="K783">
            <v>0</v>
          </cell>
          <cell r="L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J784">
            <v>0</v>
          </cell>
          <cell r="K784">
            <v>0</v>
          </cell>
          <cell r="L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J785">
            <v>0</v>
          </cell>
          <cell r="K785">
            <v>0</v>
          </cell>
          <cell r="L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J786">
            <v>0</v>
          </cell>
          <cell r="K786">
            <v>0</v>
          </cell>
          <cell r="L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J787">
            <v>0</v>
          </cell>
          <cell r="K787">
            <v>0</v>
          </cell>
          <cell r="L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J788">
            <v>0</v>
          </cell>
          <cell r="K788">
            <v>0</v>
          </cell>
          <cell r="L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J789">
            <v>0</v>
          </cell>
          <cell r="K789">
            <v>0</v>
          </cell>
          <cell r="L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J790">
            <v>0</v>
          </cell>
          <cell r="K790">
            <v>0</v>
          </cell>
          <cell r="L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J791">
            <v>0</v>
          </cell>
          <cell r="K791">
            <v>0</v>
          </cell>
          <cell r="L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J792">
            <v>0</v>
          </cell>
          <cell r="K792">
            <v>0</v>
          </cell>
          <cell r="L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J793">
            <v>0</v>
          </cell>
          <cell r="K793">
            <v>0</v>
          </cell>
          <cell r="L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J794">
            <v>0</v>
          </cell>
          <cell r="K794">
            <v>0</v>
          </cell>
          <cell r="L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J795">
            <v>0</v>
          </cell>
          <cell r="K795">
            <v>0</v>
          </cell>
          <cell r="L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J796">
            <v>0</v>
          </cell>
          <cell r="K796">
            <v>0</v>
          </cell>
          <cell r="L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J797">
            <v>0</v>
          </cell>
          <cell r="K797">
            <v>0</v>
          </cell>
          <cell r="L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J798">
            <v>0</v>
          </cell>
          <cell r="K798">
            <v>0</v>
          </cell>
          <cell r="L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J799">
            <v>0</v>
          </cell>
          <cell r="K799">
            <v>0</v>
          </cell>
          <cell r="L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J800">
            <v>0</v>
          </cell>
          <cell r="K800">
            <v>0</v>
          </cell>
          <cell r="L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J801">
            <v>0</v>
          </cell>
          <cell r="K801">
            <v>0</v>
          </cell>
          <cell r="L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J803">
            <v>0</v>
          </cell>
          <cell r="K803">
            <v>0</v>
          </cell>
          <cell r="L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J804">
            <v>0</v>
          </cell>
          <cell r="K804">
            <v>0</v>
          </cell>
          <cell r="L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J805">
            <v>0</v>
          </cell>
          <cell r="K805">
            <v>0</v>
          </cell>
          <cell r="L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J806">
            <v>0</v>
          </cell>
          <cell r="K806">
            <v>0</v>
          </cell>
          <cell r="L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J807">
            <v>0</v>
          </cell>
          <cell r="K807">
            <v>0</v>
          </cell>
          <cell r="L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J808">
            <v>0</v>
          </cell>
          <cell r="K808">
            <v>0</v>
          </cell>
          <cell r="L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J809">
            <v>0</v>
          </cell>
          <cell r="K809">
            <v>0</v>
          </cell>
          <cell r="L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J810">
            <v>0</v>
          </cell>
          <cell r="K810">
            <v>0</v>
          </cell>
          <cell r="L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J811">
            <v>0</v>
          </cell>
          <cell r="K811">
            <v>0</v>
          </cell>
          <cell r="L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J812">
            <v>0</v>
          </cell>
          <cell r="K812">
            <v>0</v>
          </cell>
          <cell r="L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J813">
            <v>0</v>
          </cell>
          <cell r="K813">
            <v>0</v>
          </cell>
          <cell r="L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J814">
            <v>0</v>
          </cell>
          <cell r="K814">
            <v>0</v>
          </cell>
          <cell r="L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J815">
            <v>0</v>
          </cell>
          <cell r="K815">
            <v>0</v>
          </cell>
          <cell r="L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J816">
            <v>0</v>
          </cell>
          <cell r="K816">
            <v>0</v>
          </cell>
          <cell r="L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J817">
            <v>0</v>
          </cell>
          <cell r="K817">
            <v>0</v>
          </cell>
          <cell r="L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J818">
            <v>0</v>
          </cell>
          <cell r="K818">
            <v>0</v>
          </cell>
          <cell r="L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J819">
            <v>0</v>
          </cell>
          <cell r="K819">
            <v>0</v>
          </cell>
          <cell r="L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J820">
            <v>0</v>
          </cell>
          <cell r="K820">
            <v>0</v>
          </cell>
          <cell r="L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J821">
            <v>0</v>
          </cell>
          <cell r="K821">
            <v>0</v>
          </cell>
          <cell r="L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J822">
            <v>0</v>
          </cell>
          <cell r="K822">
            <v>0</v>
          </cell>
          <cell r="L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J824">
            <v>0</v>
          </cell>
          <cell r="K824">
            <v>0</v>
          </cell>
          <cell r="L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J825">
            <v>0</v>
          </cell>
          <cell r="K825">
            <v>0</v>
          </cell>
          <cell r="L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J826">
            <v>0</v>
          </cell>
          <cell r="K826">
            <v>0</v>
          </cell>
          <cell r="L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J827">
            <v>0</v>
          </cell>
          <cell r="K827">
            <v>0</v>
          </cell>
          <cell r="L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J828">
            <v>0</v>
          </cell>
          <cell r="K828">
            <v>0</v>
          </cell>
          <cell r="L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J829">
            <v>0</v>
          </cell>
          <cell r="K829">
            <v>0</v>
          </cell>
          <cell r="L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J831">
            <v>0</v>
          </cell>
          <cell r="K831">
            <v>0</v>
          </cell>
          <cell r="L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J832">
            <v>0</v>
          </cell>
          <cell r="K832">
            <v>0</v>
          </cell>
          <cell r="L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J833">
            <v>0</v>
          </cell>
          <cell r="K833">
            <v>0</v>
          </cell>
          <cell r="L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J834">
            <v>0</v>
          </cell>
          <cell r="K834">
            <v>0</v>
          </cell>
          <cell r="L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J835">
            <v>0</v>
          </cell>
          <cell r="K835">
            <v>0</v>
          </cell>
          <cell r="L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J836">
            <v>0</v>
          </cell>
          <cell r="K836">
            <v>0</v>
          </cell>
          <cell r="L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J837">
            <v>0</v>
          </cell>
          <cell r="K837">
            <v>0</v>
          </cell>
          <cell r="L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J838">
            <v>0</v>
          </cell>
          <cell r="K838">
            <v>0</v>
          </cell>
          <cell r="L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J839">
            <v>0</v>
          </cell>
          <cell r="K839">
            <v>0</v>
          </cell>
          <cell r="L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J840">
            <v>0</v>
          </cell>
          <cell r="K840">
            <v>0</v>
          </cell>
          <cell r="L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J841">
            <v>0</v>
          </cell>
          <cell r="K841">
            <v>0</v>
          </cell>
          <cell r="L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J842">
            <v>0</v>
          </cell>
          <cell r="K842">
            <v>0</v>
          </cell>
          <cell r="L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J843">
            <v>0</v>
          </cell>
          <cell r="K843">
            <v>0</v>
          </cell>
          <cell r="L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J844">
            <v>0</v>
          </cell>
          <cell r="K844">
            <v>0</v>
          </cell>
          <cell r="L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J845">
            <v>0</v>
          </cell>
          <cell r="K845">
            <v>0</v>
          </cell>
          <cell r="L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J846">
            <v>0</v>
          </cell>
          <cell r="K846">
            <v>0</v>
          </cell>
          <cell r="L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J847">
            <v>0</v>
          </cell>
          <cell r="K847">
            <v>0</v>
          </cell>
          <cell r="L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J848">
            <v>0</v>
          </cell>
          <cell r="K848">
            <v>0</v>
          </cell>
          <cell r="L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J849">
            <v>0</v>
          </cell>
          <cell r="K849">
            <v>0</v>
          </cell>
          <cell r="L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J850">
            <v>0</v>
          </cell>
          <cell r="K850">
            <v>0</v>
          </cell>
          <cell r="L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J851">
            <v>0</v>
          </cell>
          <cell r="K851">
            <v>0</v>
          </cell>
          <cell r="L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J852">
            <v>0</v>
          </cell>
          <cell r="K852">
            <v>0</v>
          </cell>
          <cell r="L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J853">
            <v>0</v>
          </cell>
          <cell r="K853">
            <v>0</v>
          </cell>
          <cell r="L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J854">
            <v>0</v>
          </cell>
          <cell r="K854">
            <v>0</v>
          </cell>
          <cell r="L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J855">
            <v>0</v>
          </cell>
          <cell r="K855">
            <v>0</v>
          </cell>
          <cell r="L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J856">
            <v>0</v>
          </cell>
          <cell r="K856">
            <v>0</v>
          </cell>
          <cell r="L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J857">
            <v>0</v>
          </cell>
          <cell r="K857">
            <v>0</v>
          </cell>
          <cell r="L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J858">
            <v>0</v>
          </cell>
          <cell r="K858">
            <v>0</v>
          </cell>
          <cell r="L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J859">
            <v>0</v>
          </cell>
          <cell r="K859">
            <v>0</v>
          </cell>
          <cell r="L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J860">
            <v>0</v>
          </cell>
          <cell r="K860">
            <v>0</v>
          </cell>
          <cell r="L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J861">
            <v>0</v>
          </cell>
          <cell r="K861">
            <v>0</v>
          </cell>
          <cell r="L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J862">
            <v>0</v>
          </cell>
          <cell r="K862">
            <v>0</v>
          </cell>
          <cell r="L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J863">
            <v>0</v>
          </cell>
          <cell r="K863">
            <v>0</v>
          </cell>
          <cell r="L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J864">
            <v>0</v>
          </cell>
          <cell r="K864">
            <v>0</v>
          </cell>
          <cell r="L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J865">
            <v>0</v>
          </cell>
          <cell r="K865">
            <v>0</v>
          </cell>
          <cell r="L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J866">
            <v>0</v>
          </cell>
          <cell r="K866">
            <v>0</v>
          </cell>
          <cell r="L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J867">
            <v>0</v>
          </cell>
          <cell r="K867">
            <v>0</v>
          </cell>
          <cell r="L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J868">
            <v>0</v>
          </cell>
          <cell r="K868">
            <v>0</v>
          </cell>
          <cell r="L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J869">
            <v>0</v>
          </cell>
          <cell r="K869">
            <v>0</v>
          </cell>
          <cell r="L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J870">
            <v>0</v>
          </cell>
          <cell r="K870">
            <v>0</v>
          </cell>
          <cell r="L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J871">
            <v>0</v>
          </cell>
          <cell r="K871">
            <v>0</v>
          </cell>
          <cell r="L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J872">
            <v>0</v>
          </cell>
          <cell r="K872">
            <v>0</v>
          </cell>
          <cell r="L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J873">
            <v>0</v>
          </cell>
          <cell r="K873">
            <v>0</v>
          </cell>
          <cell r="L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J874">
            <v>0</v>
          </cell>
          <cell r="K874">
            <v>0</v>
          </cell>
          <cell r="L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J875">
            <v>0</v>
          </cell>
          <cell r="K875">
            <v>0</v>
          </cell>
          <cell r="L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J876">
            <v>0</v>
          </cell>
          <cell r="K876">
            <v>0</v>
          </cell>
          <cell r="L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J877">
            <v>0</v>
          </cell>
          <cell r="K877">
            <v>0</v>
          </cell>
          <cell r="L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J878">
            <v>0</v>
          </cell>
          <cell r="K878">
            <v>0</v>
          </cell>
          <cell r="L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J880">
            <v>0</v>
          </cell>
          <cell r="K880">
            <v>0</v>
          </cell>
          <cell r="L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J881">
            <v>0</v>
          </cell>
          <cell r="K881">
            <v>0</v>
          </cell>
          <cell r="L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J882">
            <v>0</v>
          </cell>
          <cell r="K882">
            <v>0</v>
          </cell>
          <cell r="L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J883">
            <v>0</v>
          </cell>
          <cell r="K883">
            <v>0</v>
          </cell>
          <cell r="L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J884">
            <v>0</v>
          </cell>
          <cell r="K884">
            <v>0</v>
          </cell>
          <cell r="L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J885">
            <v>0</v>
          </cell>
          <cell r="K885">
            <v>0</v>
          </cell>
          <cell r="L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J886">
            <v>0</v>
          </cell>
          <cell r="K886">
            <v>0</v>
          </cell>
          <cell r="L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J887">
            <v>0</v>
          </cell>
          <cell r="K887">
            <v>0</v>
          </cell>
          <cell r="L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J888">
            <v>0</v>
          </cell>
          <cell r="K888">
            <v>0</v>
          </cell>
          <cell r="L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J889">
            <v>0</v>
          </cell>
          <cell r="K889">
            <v>0</v>
          </cell>
          <cell r="L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J890">
            <v>0</v>
          </cell>
          <cell r="K890">
            <v>0</v>
          </cell>
          <cell r="L89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RED. TRIB. 1997"/>
      <sheetName val="CRED. TRIB. 1997 (NEW)"/>
      <sheetName val="CRED. TRIB. 1998"/>
      <sheetName val="CRED. TRIB. 1999"/>
      <sheetName val="Provisões"/>
      <sheetName val="MOV"/>
      <sheetName val="Distribuição IR"/>
      <sheetName val="PROJEÇÕES 1998"/>
      <sheetName val="PROJEÇÕES 1999"/>
      <sheetName val="XREF"/>
      <sheetName val="Tickmarks"/>
      <sheetName val="Financimentos CP"/>
      <sheetName val="Summary Information"/>
      <sheetName val="Premissas"/>
      <sheetName val="INPUT"/>
      <sheetName val="Inputs_Unidades_Geradoras"/>
      <sheetName val="ANALI98"/>
      <sheetName val="Major Maint"/>
      <sheetName val="Telemig"/>
      <sheetName val="BDados Intermoinhos"/>
      <sheetName val="SCG"/>
      <sheetName val="LATASA"/>
      <sheetName val="Production Cost Adjust - R$"/>
    </sheetNames>
    <sheetDataSet>
      <sheetData sheetId="0">
        <row r="3">
          <cell r="A3">
            <v>66099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-acordo geral- ativo"/>
      <sheetName val="PAS-baixa RTE e Realização"/>
      <sheetName val="XREF"/>
      <sheetName val="Tickmarks"/>
      <sheetName val="mapa-acordo geral"/>
      <sheetName val="Mov. Energia Livre"/>
      <sheetName val="Mov. RTE"/>
      <sheetName val="Mov. PERCEE"/>
      <sheetName val="Bônus do Racionamento - Liquido"/>
      <sheetName val="Mov. CVA"/>
      <sheetName val="CCC_1"/>
      <sheetName val="RGR_1"/>
      <sheetName val="RGR_DIF_1"/>
      <sheetName val="TFSEE_1"/>
      <sheetName val="CONEXÃO_1"/>
      <sheetName val="TUST_1"/>
      <sheetName val="ENERGIA_1"/>
      <sheetName val="CCC_2"/>
      <sheetName val="RGR_2"/>
      <sheetName val="RGR_DIF_2"/>
      <sheetName val="TFSEE_2"/>
      <sheetName val="CONEXÃO_2"/>
      <sheetName val="TUST_2"/>
      <sheetName val="CCC_3"/>
      <sheetName val="PIS CVA_3_LP"/>
      <sheetName val="TUST_3"/>
      <sheetName val="CDE_3"/>
      <sheetName val="ESS_3"/>
      <sheetName val="Compra Energia Leilão 6 anos_3"/>
      <sheetName val="Compra Energia Leilão 4 anos_3"/>
      <sheetName val="Compra Energia GCS_3"/>
      <sheetName val="CCC_4"/>
      <sheetName val="RGR_4"/>
      <sheetName val="RGR_DIF_4"/>
      <sheetName val="TFSEE_4"/>
      <sheetName val="PIS CVA_3_CP"/>
      <sheetName val="TUST_4"/>
      <sheetName val="CDE_4"/>
      <sheetName val="ESS_4"/>
      <sheetName val="Compra Energia Leilão 6 anos_4"/>
      <sheetName val="Compra Energia Leilão 4 anos_4"/>
      <sheetName val="Compra Energia GCS_4"/>
      <sheetName val="SELIC_1"/>
      <sheetName val="Energia Livre"/>
      <sheetName val="RTE"/>
      <sheetName val="Custos a reembolsar"/>
      <sheetName val="PERCEE"/>
      <sheetName val="CVA Resumo-1"/>
      <sheetName val="CVA Resumo-2"/>
      <sheetName val="CVA Resumo-3"/>
      <sheetName val="Baxia Renda"/>
      <sheetName val=" Baixa Renda - SIC"/>
      <sheetName val="Custos-2002"/>
      <sheetName val="CVA Resumo"/>
      <sheetName val="CVA -2"/>
      <sheetName val="CCC REC_2"/>
      <sheetName val="CCC REC REM_2"/>
      <sheetName val="TUST REC DIF_2"/>
      <sheetName val="TUST REC REM_2"/>
      <sheetName val="RGR_3"/>
      <sheetName val="RGR_DIF_3"/>
      <sheetName val="TFSEE_3"/>
      <sheetName val="CONEXÃO_3"/>
      <sheetName val="FLC.COMPL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{PPC}Mapa Mov."/>
      <sheetName val="Adições no imob."/>
      <sheetName val="Log Sel. 1o trim."/>
      <sheetName val="Log Sel. 2o trim."/>
      <sheetName val="Teste Drpc"/>
      <sheetName val="Tabela"/>
      <sheetName val="Juros Cap."/>
      <sheetName val="XREF"/>
      <sheetName val="Tickmarks"/>
      <sheetName val="TesteDrpc"/>
      <sheetName val="Tipos"/>
      <sheetName val="Write Off"/>
      <sheetName val="Venda Pt. Canoas"/>
      <sheetName val="Investimento"/>
      <sheetName val="Reflorestamento (PPC)"/>
      <sheetName val="Reflorestamento"/>
      <sheetName val="ObraAnd."/>
      <sheetName val="PAS-Deprec."/>
      <sheetName val="Log Sel. 3o trim."/>
      <sheetName val="C1398T96"/>
      <sheetName val="FLC.COMPL"/>
      <sheetName val="Inventário PA"/>
      <sheetName val="Intertemporais PIS e COFINS"/>
      <sheetName val="UFIR"/>
      <sheetName val="ATIVO"/>
      <sheetName val="2000"/>
    </sheetNames>
    <sheetDataSet>
      <sheetData sheetId="0">
        <row r="1">
          <cell r="F1" t="str">
            <v>Preliminary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. Reforma"/>
      <sheetName val="Quadro Resumo"/>
      <sheetName val="Andam."/>
      <sheetName val="Progr."/>
      <sheetName val="Selec."/>
      <sheetName val="Penden."/>
      <sheetName val="Concl."/>
      <sheetName val="Excluído"/>
      <sheetName val="MACRO1"/>
      <sheetName val="Jun_98"/>
      <sheetName val="Macro"/>
      <sheetName val="Dados"/>
      <sheetName val="feedback"/>
      <sheetName val="Links"/>
      <sheetName val="Teste Dr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 Pagamentos"/>
      <sheetName val="Legenda Recebimentos"/>
      <sheetName val="Unidades"/>
      <sheetName val="15 à 19JUL13"/>
      <sheetName val="22 à 26JUL13"/>
      <sheetName val="29JUL à 02AGO13 "/>
      <sheetName val="05 A 09 GO13"/>
      <sheetName val="12 A 16 GO13 "/>
      <sheetName val="19 A 23 GO13  "/>
      <sheetName val="26 A 30 AGO13   "/>
      <sheetName val="02 A 06 SET13 "/>
      <sheetName val="09 A 15 SET13"/>
      <sheetName val="16 A 22 SET13"/>
      <sheetName val="Consolidada Agosto2013"/>
      <sheetName val="Sheet2"/>
      <sheetName val="Indicadores KM"/>
      <sheetName val="Plan2"/>
      <sheetName val="KM BB - OUTUBRO 2014"/>
      <sheetName val="Sheet1"/>
      <sheetName val="Indicadores Mark"/>
      <sheetName val="MARK BB -OUTUBRO 2014"/>
      <sheetName val="Indicadores KM Bradesco"/>
      <sheetName val="KM Bradesco - OUTUBRO 2014"/>
      <sheetName val="Indicadores Mark Bradesco"/>
      <sheetName val="Mark Bradesco - OUTUBRO 2014"/>
      <sheetName val="  Indices Consolidado"/>
      <sheetName val="Template - Modelo"/>
      <sheetName val="Consolidado Geral"/>
      <sheetName val="DRE"/>
      <sheetName val="Plan1"/>
      <sheetName val="Análise Obras Consolidado"/>
      <sheetName val="Consolidado Obra"/>
      <sheetName val="MARK OBRA CRUZ - BB"/>
      <sheetName val="MARK OBRA ITA - BB"/>
      <sheetName val="MARK OBRA CAMOCIM - BB "/>
      <sheetName val="MARK PAVIMENTAÇÃO ITA"/>
      <sheetName val="MARK ACAD. SAÚDE CRUZ"/>
      <sheetName val="Plan3"/>
      <sheetName val="Sheet4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Q2">
            <v>-36110316.389999963</v>
          </cell>
        </row>
      </sheetData>
      <sheetData sheetId="25"/>
      <sheetData sheetId="26">
        <row r="2">
          <cell r="A2" t="str">
            <v>Adiantamento</v>
          </cell>
        </row>
      </sheetData>
      <sheetData sheetId="27">
        <row r="2">
          <cell r="A2" t="str">
            <v>Aporte DM</v>
          </cell>
        </row>
      </sheetData>
      <sheetData sheetId="28"/>
      <sheetData sheetId="29">
        <row r="1">
          <cell r="B1" t="str">
            <v>Descrição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G"/>
      <sheetName val="FAT.PETROBRAS"/>
      <sheetName val="AJUDA"/>
      <sheetName val="SAS"/>
      <sheetName val="Contábil"/>
      <sheetName val="EXPORT.XLS"/>
      <sheetName val="Análise"/>
      <sheetName val="Análises com Nafta"/>
      <sheetName val="Análise_Vert_Total"/>
      <sheetName val="Análise_Horizontal"/>
      <sheetName val="Análise_Vert_Mercado"/>
      <sheetName val="VMR - ME"/>
      <sheetName val="E&amp;P - Informacao faturamento V1"/>
      <sheetName val="E&amp;P - Informacao faturament V2"/>
      <sheetName val="Base_SCG_GAS_NATURAL"/>
      <sheetName val="Base_SDC_GAS_NATURAL"/>
      <sheetName val="Base_SCG+SDC_GAS_NATURAL"/>
      <sheetName val="Analise_Gás_Natural-2003"/>
      <sheetName val="E&amp;P - Informacao faturamento"/>
      <sheetName val="FATPETRO_03"/>
      <sheetName val="Ingles"/>
      <sheetName val="MUTAÇÕES"/>
      <sheetName val="X5"/>
      <sheetName val="Capa"/>
      <sheetName val="Macro"/>
      <sheetName val="BCODAD"/>
      <sheetName val="feedback"/>
      <sheetName val="LA1 Total"/>
      <sheetName val="RIEP_INC_98"/>
      <sheetName val="Links"/>
      <sheetName val="DFLSUBS"/>
      <sheetName val="Deckblatt"/>
      <sheetName val="Dez"/>
      <sheetName val="E2 - PRA"/>
      <sheetName val="VARIABLEN"/>
      <sheetName val="Translate"/>
      <sheetName val="WORDTAB"/>
      <sheetName val="INPUT"/>
      <sheetName val="SUP-41"/>
      <sheetName val="Sum"/>
      <sheetName val="Struktur Kunden"/>
      <sheetName val="Struktur Länder"/>
      <sheetName val="Struktur SGF "/>
      <sheetName val="1_Deckblatt"/>
      <sheetName val="Plan1"/>
      <sheetName val="BCO.CENTRAL"/>
      <sheetName val="VT-PAT"/>
      <sheetName val="PDD"/>
      <sheetName val="Oper.Compr."/>
      <sheetName val="LIST"/>
      <sheetName val="Custos fixos"/>
      <sheetName val="ELIM_FINANCEIRA"/>
      <sheetName val="PC"/>
      <sheetName val="E2 _ PRA"/>
      <sheetName val="HIN-BR Detail"/>
      <sheetName val="VB&amp;P Assumptions Green"/>
      <sheetName val="EST-0902"/>
      <sheetName val="A4.3"/>
      <sheetName val="INPC"/>
      <sheetName val="Feriados"/>
      <sheetName val="HSBC-J.PESSOA"/>
      <sheetName val="Cosan_sa"/>
      <sheetName val="Encargos"/>
      <sheetName val="Resumo"/>
      <sheetName val="inc. claim 97"/>
      <sheetName val="RIS_TECNICHE"/>
      <sheetName val="ELIMINAÇÕES"/>
      <sheetName val="CBD_06"/>
      <sheetName val="Andam."/>
      <sheetName val="Concl."/>
      <sheetName val="Excluído"/>
      <sheetName val="Penden."/>
      <sheetName val="Progr."/>
      <sheetName val="Selec."/>
      <sheetName val="Mapa_7"/>
      <sheetName val="U "/>
      <sheetName val="BDados Intermoinhos"/>
      <sheetName val="Parc. de ICMS"/>
      <sheetName val="Teste Drpc"/>
      <sheetName val="razão 092005"/>
      <sheetName val="Indice"/>
      <sheetName val="INFO"/>
      <sheetName val="RELATA VÉIO"/>
      <sheetName val="99Exh I"/>
      <sheetName val="Assumptions"/>
      <sheetName val="Livros Fiscais - I.1"/>
      <sheetName val="OHReal(Cliente)"/>
      <sheetName val="E2.1-PCLD 06-2006"/>
      <sheetName val="Gesellschaftsübersicht"/>
      <sheetName val="Headcount"/>
      <sheetName val="Annual Calendar"/>
      <sheetName val="anexo_D"/>
      <sheetName val="FAT_PETROBRAS"/>
      <sheetName val="EXPORT_XLS"/>
      <sheetName val="Análises_com_Nafta"/>
      <sheetName val="VMR_-_ME"/>
      <sheetName val="E&amp;P_-_Informacao_faturamento_V1"/>
      <sheetName val="E&amp;P_-_Informacao_faturament_V2"/>
      <sheetName val="E&amp;P_-_Informacao_faturamento"/>
      <sheetName val="E2_-_PRA"/>
      <sheetName val="Struktur_Kunden"/>
      <sheetName val="Struktur_Länder"/>
      <sheetName val="Struktur_SGF_"/>
      <sheetName val="Custos_fixos"/>
      <sheetName val="E2___PRA"/>
      <sheetName val="LA1_Total"/>
      <sheetName val="A4_3"/>
      <sheetName val="HIN-BR_Detail"/>
      <sheetName val="BCO_CENTRAL"/>
      <sheetName val="Oper_Compr_"/>
      <sheetName val="VB&amp;P_Assumptions_Green"/>
      <sheetName val="HSBC-J_PESSOA"/>
      <sheetName val="inc__claim_97"/>
      <sheetName val="RELATA_VÉIO"/>
      <sheetName val="Andam_"/>
      <sheetName val="Concl_"/>
      <sheetName val="Penden_"/>
      <sheetName val="Progr_"/>
      <sheetName val="Selec_"/>
      <sheetName val="99Exh_I"/>
      <sheetName val="Livros_Fiscais_-_I_1"/>
      <sheetName val="E2_1-PCLD_06-2006"/>
      <sheetName val="IPIRANGA"/>
      <sheetName val="SUP_41"/>
      <sheetName val="Dim Lists"/>
      <sheetName val="Lists"/>
      <sheetName val="Title"/>
      <sheetName val="CIS"/>
      <sheetName val="CR"/>
      <sheetName val="Bal"/>
      <sheetName val="Inc"/>
      <sheetName val="Cas1to3"/>
      <sheetName val="Cas4"/>
      <sheetName val="Cas5"/>
      <sheetName val="Det"/>
      <sheetName val="NOA"/>
      <sheetName val="A"/>
      <sheetName val="B1a"/>
      <sheetName val="B1b"/>
      <sheetName val="B2a"/>
      <sheetName val="B2b"/>
      <sheetName val="C"/>
      <sheetName val="D1"/>
      <sheetName val="D2"/>
      <sheetName val="E1"/>
      <sheetName val="E2"/>
      <sheetName val="E3"/>
      <sheetName val="E4"/>
      <sheetName val="E5"/>
      <sheetName val="E6"/>
      <sheetName val="F"/>
      <sheetName val="G1"/>
      <sheetName val="G2"/>
      <sheetName val="G3"/>
      <sheetName val="G4"/>
      <sheetName val="H1a"/>
      <sheetName val="H1b"/>
      <sheetName val="H2"/>
      <sheetName val="H3"/>
      <sheetName val="H4"/>
      <sheetName val="I1"/>
      <sheetName val="I2"/>
      <sheetName val="I3"/>
      <sheetName val="I4"/>
      <sheetName val="I5"/>
      <sheetName val="I6"/>
      <sheetName val="K1"/>
      <sheetName val="K2"/>
      <sheetName val="K3"/>
      <sheetName val="K4K5"/>
      <sheetName val="K6a"/>
      <sheetName val="K6b"/>
      <sheetName val="L1L2"/>
      <sheetName val="M1"/>
      <sheetName val="M2"/>
      <sheetName val="M3"/>
      <sheetName val="M4"/>
      <sheetName val="O1"/>
      <sheetName val="O2"/>
      <sheetName val="P1"/>
      <sheetName val="P2"/>
      <sheetName val="Q1"/>
      <sheetName val="Q2"/>
      <sheetName val="R"/>
      <sheetName val="Rec"/>
      <sheetName val="CEM_cc1"/>
      <sheetName val="CEM_cc2"/>
      <sheetName val="CEM_cc3"/>
      <sheetName val="CEM_cc4"/>
      <sheetName val="CEM_cc5"/>
      <sheetName val="CEM_afr1"/>
      <sheetName val="CEM_afr2"/>
      <sheetName val="CEM_afr3"/>
      <sheetName val="CEM_afr4"/>
      <sheetName val="CEM_afr5"/>
      <sheetName val="CEM_mic1"/>
      <sheetName val="CEM_mic2"/>
      <sheetName val="CEM_mic3"/>
      <sheetName val="CEM_mic4"/>
      <sheetName val="CEM_mic5"/>
      <sheetName val="CEM_trcem1"/>
      <sheetName val="CEM_trcem2"/>
      <sheetName val="CEM_trcem3"/>
      <sheetName val="CEM_trcem4"/>
      <sheetName val="CEM_trcem5"/>
      <sheetName val="AGG_aggr1"/>
      <sheetName val="AGG_aggr2"/>
      <sheetName val="AGG_aggr3"/>
      <sheetName val="AGG_aggr4"/>
      <sheetName val="AGG_aggr5"/>
      <sheetName val="AGG_rmc1"/>
      <sheetName val="AGG_rmc2"/>
      <sheetName val="AGG_rmc3"/>
      <sheetName val="AGG_rmc4"/>
      <sheetName val="AGG_rmc5"/>
      <sheetName val="AGG_conc1"/>
      <sheetName val="AGG_conc2"/>
      <sheetName val="AGG_conc3"/>
      <sheetName val="AGG_conc4"/>
      <sheetName val="AGG_conc5"/>
      <sheetName val="OPR_spec1"/>
      <sheetName val="OPR_spec2"/>
      <sheetName val="OPR_spec3"/>
      <sheetName val="OPR_spec4"/>
      <sheetName val="OPR_spec5"/>
      <sheetName val="OPR_open1"/>
      <sheetName val="OPR_open2"/>
      <sheetName val="OPR_open3"/>
      <sheetName val="OPR_open4"/>
      <sheetName val="OPR_open5"/>
      <sheetName val="OPR_tropr1"/>
      <sheetName val="OPR_tropr2"/>
      <sheetName val="OPR_tropr3"/>
      <sheetName val="OPR_tropr4"/>
      <sheetName val="OPR_tropr5"/>
      <sheetName val="SPA1"/>
      <sheetName val="SPA2"/>
      <sheetName val="SPA3"/>
      <sheetName val="SPA4"/>
      <sheetName val="SPA5"/>
      <sheetName val="SPA6"/>
      <sheetName val="SPA7"/>
      <sheetName val="SPA8"/>
      <sheetName val="T"/>
      <sheetName val="U"/>
      <sheetName val="Z"/>
      <sheetName val="HMR"/>
      <sheetName val="P_Prt"/>
      <sheetName val="P_Par"/>
      <sheetName val="Def"/>
      <sheetName val="P_CUR"/>
      <sheetName val="Periodes"/>
      <sheetName val="P_ID"/>
      <sheetName val="Control"/>
      <sheetName val="U - Resultado"/>
      <sheetName val="U - Resumido"/>
      <sheetName val="112060002"/>
      <sheetName val="INDICES"/>
      <sheetName val="Macro2"/>
      <sheetName val="Data"/>
      <sheetName val="PORTAL"/>
      <sheetName val="ECOMMERCE"/>
      <sheetName val="PROVAR"/>
      <sheetName val="A4.3 Resultado"/>
      <sheetName val="Concrete"/>
      <sheetName val="MACRO1"/>
      <sheetName val="A4.1"/>
      <sheetName val="Kontensalden"/>
      <sheetName val="Margins"/>
      <sheetName val="BALANCE"/>
      <sheetName val="CMI"/>
      <sheetName val=" E05 - M1 - Empréstimos.xlsx"/>
      <sheetName val="FAT_PETROBRAS1"/>
      <sheetName val="EXPORT_XLS1"/>
      <sheetName val="Análises_com_Nafta1"/>
      <sheetName val="VMR_-_ME1"/>
      <sheetName val="E&amp;P_-_Informacao_faturamento_V2"/>
      <sheetName val="E&amp;P_-_Informacao_faturament_V21"/>
      <sheetName val="E&amp;P_-_Informacao_faturamento1"/>
      <sheetName val="LA1_Total1"/>
      <sheetName val="E2_-_PRA1"/>
      <sheetName val="Struktur_Kunden1"/>
      <sheetName val="Struktur_Länder1"/>
      <sheetName val="Struktur_SGF_1"/>
      <sheetName val="E2___PRA1"/>
      <sheetName val="Custos_fixos1"/>
      <sheetName val="HIN-BR_Detail1"/>
      <sheetName val="BCO_CENTRAL1"/>
      <sheetName val="Oper_Compr_1"/>
      <sheetName val="A4_31"/>
      <sheetName val="VB&amp;P_Assumptions_Green1"/>
      <sheetName val="HSBC-J_PESSOA1"/>
      <sheetName val="inc__claim_971"/>
      <sheetName val="Andam_1"/>
      <sheetName val="Concl_1"/>
      <sheetName val="Penden_1"/>
      <sheetName val="Progr_1"/>
      <sheetName val="Selec_1"/>
      <sheetName val="RELATA_VÉIO1"/>
      <sheetName val="99Exh_I1"/>
      <sheetName val="Livros_Fiscais_-_I_11"/>
      <sheetName val="E2_1-PCLD_06-20061"/>
      <sheetName val="BDados_Intermoinhos"/>
      <sheetName val="Parc__de_ICMS"/>
      <sheetName val="Annual_Calendar"/>
      <sheetName val="U_"/>
      <sheetName val="U_-_Resultado"/>
      <sheetName val="U_-_Resumido"/>
      <sheetName val="_E05_-_M1_-_Empréstimos_xlsx"/>
      <sheetName val="MELHORIAS E OPÇÕES"/>
      <sheetName val="COMPENSAÇÃO"/>
      <sheetName val="LGF"/>
      <sheetName val="custos de mão de obra"/>
      <sheetName val="HISTOG. MO"/>
      <sheetName val="U - Resultado Mensal"/>
      <sheetName val="IWS Closed projects"/>
      <sheetName val="PUX INTER"/>
      <sheetName val="SEM_ICMS0400"/>
      <sheetName val="TM1.Settings"/>
      <sheetName val="Sys.Cap"/>
      <sheetName val="Market"/>
      <sheetName val="Plano de Co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Resumo"/>
      <sheetName val="Encargos"/>
      <sheetName val="Encargos debêntures "/>
      <sheetName val="Links"/>
      <sheetName val="XREF"/>
      <sheetName val="Tickmarks"/>
      <sheetName val="SCG"/>
    </sheetNames>
    <sheetDataSet>
      <sheetData sheetId="0"/>
      <sheetData sheetId="1">
        <row r="29">
          <cell r="C29">
            <v>-27857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Pré-Intern."/>
      <sheetName val="ACC-Pré"/>
      <sheetName val="Links"/>
      <sheetName val="Finame"/>
      <sheetName val="Covenants"/>
      <sheetName val="Baixa AITP"/>
      <sheetName val="XREF"/>
      <sheetName val="Tickmarks"/>
      <sheetName val="Fin"/>
      <sheetName val="Pré-Intern "/>
      <sheetName val="Taxa Dólar"/>
      <sheetName val="Encargos"/>
      <sheetName val="Resumo"/>
      <sheetName val="ACC-Pré- CP"/>
      <sheetName val="default jun00"/>
      <sheetName val="default set 00"/>
      <sheetName val="CPMF"/>
      <sheetName val="Indices default jun 2000"/>
      <sheetName val="Worksheet in (C) 6611 Exigível "/>
      <sheetName val="Andam."/>
      <sheetName val="Concl."/>
      <sheetName val="Excluído"/>
      <sheetName val="Penden."/>
      <sheetName val="Progr."/>
      <sheetName val="Selec."/>
      <sheetName val="MELHORIAS E OPÇÕES"/>
      <sheetName val="relação"/>
      <sheetName val="Plano de Contas"/>
      <sheetName val="Teste Drpc"/>
      <sheetName val="Margens"/>
      <sheetName val="SC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Empresa"/>
      <sheetName val="Modelo"/>
      <sheetName val="Prem"/>
      <sheetName val="Margem"/>
      <sheetName val="Desp"/>
      <sheetName val="Inv"/>
      <sheetName val="Fin"/>
      <sheetName val="Não Oper-Soc"/>
      <sheetName val="Cálculos"/>
      <sheetName val="DRE"/>
      <sheetName val="Bal"/>
      <sheetName val="Mut"/>
      <sheetName val="FL CX Dir"/>
      <sheetName val="FL CX Ind"/>
      <sheetName val="NCG"/>
      <sheetName val="Indicadores"/>
      <sheetName val="Gráficos"/>
      <sheetName val="Simulações"/>
      <sheetName val="Valor"/>
      <sheetName val="Memória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Old Lead"/>
      <sheetName val="Test. Valor. CustoXMercado -MP"/>
      <sheetName val="Demons. Custo da Mat.Prima"/>
      <sheetName val="Teste de Realização"/>
      <sheetName val="Abert. Custo Soja - Farelo"/>
      <sheetName val="Comp. dos Custos Operacionais "/>
      <sheetName val="Demonst. Rateio dos Custos"/>
      <sheetName val="Tickmarks"/>
      <sheetName val="UFIR"/>
      <sheetName val="Sheet3"/>
      <sheetName val="XREF"/>
      <sheetName val="Abertura Nov'03"/>
      <sheetName val="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atual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ção"/>
      <sheetName val="Análise"/>
      <sheetName val="Tabela"/>
      <sheetName val="Clientes Livres Guaraniana"/>
      <sheetName val="RIS_TECNI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IMINAÇÕES"/>
      <sheetName val="RIS_TECNICHE"/>
      <sheetName val="FORN"/>
      <sheetName val="tabela"/>
      <sheetName val="Res.Autor.Motivo"/>
      <sheetName val="Res.Devolv.Motivo"/>
      <sheetName val="Instituicoes2001_LP"/>
      <sheetName val="SCG"/>
      <sheetName val="Capa"/>
      <sheetName val="Deckblatt"/>
      <sheetName val="Tela"/>
      <sheetName val="Struktur"/>
      <sheetName val="TABELLEN"/>
      <sheetName val="WORDTABLE"/>
      <sheetName val="E2 - PRA"/>
      <sheetName val="WORDs"/>
      <sheetName val="GERREAL"/>
      <sheetName val="ELIM_FINANCEIRA"/>
      <sheetName val="FD 3 - Provisão OS  "/>
      <sheetName val="Macro"/>
      <sheetName val="den96"/>
      <sheetName val="INFO"/>
      <sheetName val="New FC Pivot Table"/>
      <sheetName val="balancete"/>
      <sheetName val="N3"/>
      <sheetName val="NUR"/>
      <sheetName val="relação"/>
      <sheetName val="P&amp;L"/>
      <sheetName val="Dívida"/>
      <sheetName val="0201"/>
      <sheetName val="Banco Dados"/>
      <sheetName val="RIEP_INC_98"/>
      <sheetName val="Resumo"/>
      <sheetName val="local"/>
      <sheetName val="Estoque"/>
      <sheetName val="Res_Autor_Motivo"/>
      <sheetName val="Res_Devolv_Motivo"/>
      <sheetName val="E2_-_PRA"/>
      <sheetName val="FD_3_-_Provisão_OS__"/>
      <sheetName val="New_FC_Pivot_Table"/>
      <sheetName val="Banco_Dados"/>
      <sheetName val="Cash input"/>
      <sheetName val="riep_ce"/>
      <sheetName val="RICL_T"/>
      <sheetName val="ST.PATR"/>
      <sheetName val="REDDITI"/>
      <sheetName val="riclassi"/>
      <sheetName val="ce99"/>
      <sheetName val="n_cons"/>
      <sheetName val="CE12"/>
      <sheetName val="mens_den"/>
      <sheetName val="Foglio1"/>
      <sheetName val="mens_premi98"/>
      <sheetName val="MENS_RPR"/>
      <sheetName val="grafico_pre"/>
      <sheetName val="PRE95"/>
      <sheetName val="PRE96"/>
      <sheetName val="mens_pag_sprec"/>
      <sheetName val="prebdg97"/>
      <sheetName val="premi96"/>
      <sheetName val="ce"/>
      <sheetName val="E2.1-PCLD ANEEL 06-2006"/>
      <sheetName val="Peso áreas e CPs"/>
      <sheetName val="BASE (2)"/>
      <sheetName val="ANEEL"/>
      <sheetName val="PÇO"/>
      <sheetName val="Lead"/>
      <sheetName val="feedback"/>
      <sheetName val="LA1 Total"/>
      <sheetName val="#REF"/>
      <sheetName val="212405"/>
      <sheetName val="Plan1"/>
      <sheetName val="CANT_LC"/>
      <sheetName val="Res_Autor_Motivo1"/>
      <sheetName val="Res_Devolv_Motivo1"/>
      <sheetName val="E2_-_PRA1"/>
      <sheetName val="FD_3_-_Provisão_OS__1"/>
      <sheetName val="New_FC_Pivot_Table1"/>
      <sheetName val="Banco_Dados1"/>
      <sheetName val="Peso_áreas_e_CPs1"/>
      <sheetName val="Base"/>
      <sheetName val="PI 99 - R$"/>
      <sheetName val="Instructions"/>
      <sheetName val="DFLSUBS"/>
      <sheetName val="Assump"/>
      <sheetName val="New Data"/>
      <sheetName val="Parameters"/>
      <sheetName val="Note 4-10"/>
      <sheetName val="Input"/>
      <sheetName val="Assumptions"/>
      <sheetName val="All CCs _2_"/>
      <sheetName val="Cash_input"/>
      <sheetName val="ST_PATR"/>
      <sheetName val="E2_1-PCLD_ANEEL_06-2006"/>
      <sheetName val="Peso_áreas_e_CPs"/>
      <sheetName val="BASE_(2)"/>
      <sheetName val="LA1_Total"/>
      <sheetName val="Indice"/>
      <sheetName val="ABRIL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"/>
      <sheetName val="premi96"/>
      <sheetName val="prebdg97"/>
      <sheetName val="mese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ELIMINAÇÕES"/>
      <sheetName val="BASE (2)"/>
      <sheetName val="Peso áreas e CPs"/>
      <sheetName val="E2.1-PCLD ANEEL 06-2006"/>
      <sheetName val="RIS_TECNICHE"/>
      <sheetName val="ANEEL"/>
      <sheetName val="PÇO"/>
      <sheetName val="SCG"/>
      <sheetName val="Infl"/>
      <sheetName val="Peso Liq."/>
      <sheetName val="Parameters"/>
      <sheetName val="Balancete"/>
      <sheetName val="E2_1_PCLD ANEEL 06_2006"/>
      <sheetName val="DISCOUNTS DDP"/>
      <sheetName val="CDI"/>
      <sheetName val="NVision Detail"/>
      <sheetName val="Sch9  Guarantees"/>
      <sheetName val="Parcelamento_II_IPI"/>
      <sheetName val="Instituicoes2001_LP"/>
      <sheetName val="2004"/>
      <sheetName val="TABELLEN"/>
      <sheetName val="WORDTABLE"/>
      <sheetName val="P-CLOSED"/>
      <sheetName val="INDICES"/>
      <sheetName val="Tela"/>
      <sheetName val="Deckblatt"/>
      <sheetName val="DATA WP"/>
      <sheetName val="DADOS"/>
      <sheetName val="RESIDUAL"/>
      <sheetName val="Period Week Lookup"/>
      <sheetName val="vinc"/>
      <sheetName val="GERREAL"/>
      <sheetName val="Macro_2003"/>
      <sheetName val="PACU"/>
      <sheetName val="PH"/>
      <sheetName val="PHReex"/>
      <sheetName val="RAcu"/>
      <sheetName val="RH"/>
      <sheetName val="RRex"/>
      <sheetName val="MATERIAIS - BRG"/>
      <sheetName val="F5 - Saldo final Inventário"/>
      <sheetName val="Sheet1"/>
      <sheetName val="ROs (12)"/>
      <sheetName val="P_Par"/>
      <sheetName val="P_Prt"/>
      <sheetName val="Selic"/>
      <sheetName val="ACT Input (2)"/>
      <sheetName val="CECO"/>
      <sheetName val="FORN"/>
      <sheetName val="BASE"/>
      <sheetName val="INSSSTERCEIROS"/>
      <sheetName val="MOD 7 SIN"/>
      <sheetName val="INFO"/>
      <sheetName val="p&amp;l1298"/>
      <sheetName val="tar. media"/>
      <sheetName val="POCPAS"/>
      <sheetName val="0201"/>
      <sheetName val="BASE_(2)"/>
      <sheetName val="Peso_áreas_e_CPs"/>
      <sheetName val="E2_1-PCLD_ANEEL_06-2006"/>
      <sheetName val="Peso_Liq_"/>
      <sheetName val="E2_1_PCLD_ANEEL_06_2006"/>
      <sheetName val="DATA_WP"/>
      <sheetName val="DISCOUNTS_DDP"/>
      <sheetName val="MATERIAIS_-_BRG"/>
      <sheetName val="F5_-_Saldo_final_Inventário"/>
      <sheetName val="Period_Week_Lookup"/>
      <sheetName val="NVision_Detail"/>
      <sheetName val="Sch9__Guarantees"/>
      <sheetName val="ROs_(12)"/>
      <sheetName val="ACT_Input_(2)"/>
      <sheetName val="CUSTO-0702"/>
      <sheetName val=" PAT"/>
      <sheetName val="Capa"/>
      <sheetName val="p.5"/>
      <sheetName val="M2 - Analise MtM"/>
      <sheetName val="BASE_(2)1"/>
      <sheetName val="E2_1-PCLD_ANEEL_06-20061"/>
      <sheetName val="Peso_áreas_e_CPs1"/>
      <sheetName val="Peso_Liq_1"/>
      <sheetName val="E2_1_PCLD_ANEEL_06_20061"/>
      <sheetName val="DISCOUNTS_DDP1"/>
      <sheetName val="NVision_Detail1"/>
      <sheetName val="Period_Week_Lookup1"/>
      <sheetName val="Sch9__Guarantees1"/>
      <sheetName val="DATA_WP1"/>
      <sheetName val="MATERIAIS_-_BRG1"/>
      <sheetName val="F5_-_Saldo_final_Inventário1"/>
      <sheetName val="ROs_(12)1"/>
      <sheetName val="ACT_Input_(2)1"/>
      <sheetName val="MOD_7_SIN"/>
      <sheetName val="_PAT"/>
      <sheetName val="p_5"/>
      <sheetName val="M2_-_Analise_MtM"/>
      <sheetName val="Consolidado"/>
      <sheetName val="tab1"/>
      <sheetName val="OUVE"/>
      <sheetName val="E 1.2 - Teste de VC"/>
      <sheetName val="FD 3 - Provisão OS  "/>
      <sheetName val="Control Sheet"/>
      <sheetName val="Res.Autor.Motivo"/>
      <sheetName val="Res.Devolv.Motivo"/>
      <sheetName val="den96"/>
      <sheetName val="Base Fiscal Cruzada"/>
      <sheetName val="WWINVQ297"/>
      <sheetName val="#REF"/>
      <sheetName val="ce99"/>
      <sheetName val="DIVIN_ARAXA"/>
      <sheetName val="Start"/>
      <sheetName val="Tab.Translate"/>
      <sheetName val="ABRIL 2000"/>
      <sheetName val="Tabelas"/>
      <sheetName val="Bal032002"/>
      <sheetName val="Gráfico"/>
      <sheetName val="Balanço de Abertura"/>
      <sheetName val="Combo"/>
      <sheetName val="SERIES CDI E PTAX"/>
      <sheetName val="Macro"/>
      <sheetName val="PRE05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_ce"/>
      <sheetName val="RICL_T"/>
      <sheetName val="ST.PATR"/>
      <sheetName val="REDDITI"/>
      <sheetName val="riclassi"/>
      <sheetName val="ce99"/>
      <sheetName val="n_cons"/>
      <sheetName val="RIS_TECNICHE"/>
      <sheetName val="CE12"/>
      <sheetName val="mens_den"/>
      <sheetName val="Foglio1"/>
      <sheetName val="mens_premi98"/>
      <sheetName val="MENS_RPR"/>
      <sheetName val="grafico_pre"/>
      <sheetName val="PRE95"/>
      <sheetName val="PRE96"/>
      <sheetName val="mens_pag_sprec"/>
      <sheetName val="prebdg97"/>
      <sheetName val="premi96"/>
      <sheetName val="ce"/>
      <sheetName val="E2.1-PCLD ANEEL 06-2006"/>
      <sheetName val="ELIMINAÇÕES"/>
      <sheetName val="Peso áreas e CPs"/>
      <sheetName val="BASE (2)"/>
      <sheetName val="ANEEL"/>
      <sheetName val="PÇO"/>
      <sheetName val="Peso Liq."/>
      <sheetName val="ST_PATR"/>
      <sheetName val="E2_1-PCLD_ANEEL_06-2006"/>
      <sheetName val="Peso_áreas_e_CPs"/>
      <sheetName val="BASE_(2)"/>
      <sheetName val="INTELSAT"/>
      <sheetName val="ROs (12)"/>
      <sheetName val="CECO"/>
      <sheetName val="p.5"/>
      <sheetName val="Cash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99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_TECNICHE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ORES"/>
      <sheetName val="RIS_TECNICHE"/>
      <sheetName val="Intertemporais PIS e COFINS"/>
      <sheetName val="ce99"/>
      <sheetName val="TESTE"/>
      <sheetName val="ce"/>
      <sheetName val="prebdg97"/>
      <sheetName val="premi96"/>
    </sheetNames>
    <sheetDataSet>
      <sheetData sheetId="0" refreshError="1">
        <row r="6">
          <cell r="B6">
            <v>36616</v>
          </cell>
          <cell r="C6">
            <v>36614</v>
          </cell>
          <cell r="D6">
            <v>1</v>
          </cell>
          <cell r="E6">
            <v>18.41</v>
          </cell>
          <cell r="F6">
            <v>2.0123769317439422</v>
          </cell>
          <cell r="G6">
            <v>1</v>
          </cell>
          <cell r="H6">
            <v>1.7379</v>
          </cell>
        </row>
        <row r="7">
          <cell r="B7">
            <v>36619</v>
          </cell>
          <cell r="C7">
            <v>36615</v>
          </cell>
          <cell r="D7">
            <v>2</v>
          </cell>
          <cell r="E7">
            <v>18.38</v>
          </cell>
          <cell r="F7">
            <v>2.0093583731222164</v>
          </cell>
          <cell r="G7">
            <v>1.0006697861243741</v>
          </cell>
          <cell r="H7">
            <v>1.7522</v>
          </cell>
        </row>
        <row r="8">
          <cell r="B8">
            <v>36620</v>
          </cell>
          <cell r="C8">
            <v>36616</v>
          </cell>
          <cell r="D8">
            <v>3</v>
          </cell>
          <cell r="E8">
            <v>18.37</v>
          </cell>
          <cell r="F8">
            <v>2.008352017594639</v>
          </cell>
          <cell r="G8">
            <v>1.0013396851856771</v>
          </cell>
          <cell r="H8">
            <v>1.7473000000000001</v>
          </cell>
        </row>
        <row r="9">
          <cell r="B9">
            <v>36621</v>
          </cell>
          <cell r="C9">
            <v>36619</v>
          </cell>
          <cell r="D9">
            <v>4</v>
          </cell>
          <cell r="E9">
            <v>18.350000000000001</v>
          </cell>
          <cell r="F9">
            <v>2.0063390524727165</v>
          </cell>
          <cell r="G9">
            <v>1.0020093608240699</v>
          </cell>
          <cell r="H9">
            <v>1.7406999999999999</v>
          </cell>
        </row>
        <row r="10">
          <cell r="B10">
            <v>36622</v>
          </cell>
          <cell r="C10">
            <v>36620</v>
          </cell>
          <cell r="D10">
            <v>5</v>
          </cell>
          <cell r="E10">
            <v>18.36</v>
          </cell>
          <cell r="F10">
            <v>2.0073455773828019</v>
          </cell>
          <cell r="G10">
            <v>1.0026798205103853</v>
          </cell>
          <cell r="H10">
            <v>1.7424999999999999</v>
          </cell>
        </row>
        <row r="11">
          <cell r="B11">
            <v>36623</v>
          </cell>
          <cell r="C11">
            <v>36621</v>
          </cell>
          <cell r="D11">
            <v>6</v>
          </cell>
          <cell r="E11">
            <v>18.399999999999999</v>
          </cell>
          <cell r="F11">
            <v>2.0113708301825461</v>
          </cell>
          <cell r="G11">
            <v>1.0033520741580477</v>
          </cell>
          <cell r="H11">
            <v>1.7532000000000001</v>
          </cell>
        </row>
        <row r="12">
          <cell r="B12">
            <v>36626</v>
          </cell>
          <cell r="C12">
            <v>36622</v>
          </cell>
          <cell r="D12">
            <v>7</v>
          </cell>
          <cell r="E12">
            <v>18.41</v>
          </cell>
          <cell r="F12">
            <v>2.0123769317439422</v>
          </cell>
          <cell r="G12">
            <v>1.0040251150141988</v>
          </cell>
          <cell r="H12">
            <v>1.7423</v>
          </cell>
        </row>
        <row r="13">
          <cell r="B13">
            <v>36627</v>
          </cell>
          <cell r="C13">
            <v>36623</v>
          </cell>
          <cell r="D13">
            <v>8</v>
          </cell>
          <cell r="E13">
            <v>18.399999999999999</v>
          </cell>
          <cell r="F13">
            <v>2.0113708301825461</v>
          </cell>
          <cell r="G13">
            <v>1.0046982706239023</v>
          </cell>
          <cell r="H13">
            <v>1.7439</v>
          </cell>
        </row>
        <row r="14">
          <cell r="B14">
            <v>36628</v>
          </cell>
          <cell r="C14">
            <v>36626</v>
          </cell>
          <cell r="D14">
            <v>9</v>
          </cell>
          <cell r="E14">
            <v>18.39</v>
          </cell>
          <cell r="F14">
            <v>2.0103646439801892</v>
          </cell>
          <cell r="G14">
            <v>1.0053715405842791</v>
          </cell>
          <cell r="H14">
            <v>1.7386999999999999</v>
          </cell>
        </row>
        <row r="15">
          <cell r="B15">
            <v>36629</v>
          </cell>
          <cell r="C15">
            <v>36627</v>
          </cell>
          <cell r="D15">
            <v>10</v>
          </cell>
          <cell r="E15">
            <v>18.399999999999999</v>
          </cell>
          <cell r="F15">
            <v>2.0113708301825461</v>
          </cell>
          <cell r="G15">
            <v>1.0060455989143549</v>
          </cell>
          <cell r="H15">
            <v>1.7447999999999999</v>
          </cell>
        </row>
        <row r="16">
          <cell r="B16">
            <v>36630</v>
          </cell>
          <cell r="C16">
            <v>36628</v>
          </cell>
          <cell r="D16">
            <v>11</v>
          </cell>
          <cell r="E16">
            <v>18.41</v>
          </cell>
          <cell r="F16">
            <v>2.0123769317439422</v>
          </cell>
          <cell r="G16">
            <v>1.0067204465662007</v>
          </cell>
          <cell r="H16">
            <v>1.7471000000000001</v>
          </cell>
        </row>
        <row r="17">
          <cell r="B17">
            <v>36633</v>
          </cell>
          <cell r="C17">
            <v>36629</v>
          </cell>
          <cell r="D17">
            <v>12</v>
          </cell>
          <cell r="E17">
            <v>18.440000000000001</v>
          </cell>
          <cell r="F17">
            <v>2.0153947287242513</v>
          </cell>
          <cell r="G17">
            <v>1.0073967595933035</v>
          </cell>
          <cell r="H17">
            <v>1.7633000000000001</v>
          </cell>
        </row>
        <row r="18">
          <cell r="B18">
            <v>36634</v>
          </cell>
          <cell r="C18">
            <v>36630</v>
          </cell>
          <cell r="D18">
            <v>13</v>
          </cell>
          <cell r="E18">
            <v>18.48</v>
          </cell>
          <cell r="F18">
            <v>2.0194172739198546</v>
          </cell>
          <cell r="G18">
            <v>1.0080748777326414</v>
          </cell>
          <cell r="H18">
            <v>1.7833000000000001</v>
          </cell>
        </row>
        <row r="19">
          <cell r="B19">
            <v>36635</v>
          </cell>
          <cell r="C19">
            <v>36633</v>
          </cell>
          <cell r="D19">
            <v>14</v>
          </cell>
          <cell r="E19">
            <v>18.48</v>
          </cell>
          <cell r="F19">
            <v>2.0194172739198546</v>
          </cell>
          <cell r="G19">
            <v>1.0087534523398074</v>
          </cell>
          <cell r="H19">
            <v>1.7873000000000001</v>
          </cell>
        </row>
        <row r="20">
          <cell r="B20">
            <v>36636</v>
          </cell>
          <cell r="C20">
            <v>36634</v>
          </cell>
          <cell r="D20">
            <v>15</v>
          </cell>
          <cell r="E20">
            <v>18.48</v>
          </cell>
          <cell r="F20">
            <v>2.0194172739198546</v>
          </cell>
          <cell r="G20">
            <v>1.0094324837220678</v>
          </cell>
          <cell r="H20">
            <v>1.7696000000000001</v>
          </cell>
        </row>
        <row r="21">
          <cell r="B21">
            <v>36640</v>
          </cell>
          <cell r="C21">
            <v>36635</v>
          </cell>
          <cell r="D21">
            <v>16</v>
          </cell>
          <cell r="E21">
            <v>18.43</v>
          </cell>
          <cell r="F21">
            <v>2.0143888810004729</v>
          </cell>
          <cell r="G21">
            <v>1.0101102802458446</v>
          </cell>
          <cell r="H21">
            <v>1.7662</v>
          </cell>
        </row>
        <row r="22">
          <cell r="B22">
            <v>36641</v>
          </cell>
          <cell r="C22">
            <v>36636</v>
          </cell>
          <cell r="D22">
            <v>17</v>
          </cell>
          <cell r="E22">
            <v>18.47</v>
          </cell>
          <cell r="F22">
            <v>2.018411764447503</v>
          </cell>
          <cell r="G22">
            <v>1.0107898864035239</v>
          </cell>
          <cell r="H22">
            <v>1.7784</v>
          </cell>
        </row>
        <row r="23">
          <cell r="B23">
            <v>36642</v>
          </cell>
          <cell r="C23">
            <v>36640</v>
          </cell>
          <cell r="D23">
            <v>18</v>
          </cell>
          <cell r="E23">
            <v>18.47</v>
          </cell>
          <cell r="F23">
            <v>2.018411764447503</v>
          </cell>
          <cell r="G23">
            <v>1.011469949802891</v>
          </cell>
          <cell r="H23">
            <v>1.7916000000000001</v>
          </cell>
        </row>
        <row r="24">
          <cell r="B24">
            <v>36643</v>
          </cell>
          <cell r="C24">
            <v>36641</v>
          </cell>
          <cell r="D24">
            <v>19</v>
          </cell>
          <cell r="E24">
            <v>18.47</v>
          </cell>
          <cell r="F24">
            <v>2.018411764447503</v>
          </cell>
          <cell r="G24">
            <v>1.01215047075158</v>
          </cell>
          <cell r="H24">
            <v>1.7887999999999999</v>
          </cell>
        </row>
        <row r="25">
          <cell r="B25">
            <v>36644</v>
          </cell>
          <cell r="C25">
            <v>36642</v>
          </cell>
          <cell r="D25">
            <v>20</v>
          </cell>
          <cell r="E25">
            <v>18.47</v>
          </cell>
          <cell r="F25">
            <v>2.018411764447503</v>
          </cell>
          <cell r="G25">
            <v>1.012831449557432</v>
          </cell>
          <cell r="H25">
            <v>1.7985</v>
          </cell>
        </row>
        <row r="26">
          <cell r="B26">
            <v>36648</v>
          </cell>
          <cell r="C26">
            <v>36643</v>
          </cell>
          <cell r="D26">
            <v>21</v>
          </cell>
          <cell r="E26">
            <v>18.47</v>
          </cell>
          <cell r="F26">
            <v>2.018411764447503</v>
          </cell>
          <cell r="G26">
            <v>1.013512886528495</v>
          </cell>
          <cell r="H26">
            <v>1.8083</v>
          </cell>
        </row>
        <row r="27">
          <cell r="B27">
            <v>36649</v>
          </cell>
          <cell r="C27">
            <v>36644</v>
          </cell>
          <cell r="D27">
            <v>22</v>
          </cell>
          <cell r="E27">
            <v>18.47</v>
          </cell>
          <cell r="F27">
            <v>2.018411764447503</v>
          </cell>
          <cell r="G27">
            <v>1.0141947819730244</v>
          </cell>
          <cell r="H27">
            <v>1.8067</v>
          </cell>
        </row>
        <row r="28">
          <cell r="B28">
            <v>36650</v>
          </cell>
          <cell r="C28">
            <v>36648</v>
          </cell>
          <cell r="D28">
            <v>23</v>
          </cell>
          <cell r="E28">
            <v>18.489999999999998</v>
          </cell>
          <cell r="F28">
            <v>2.0204226988658203</v>
          </cell>
          <cell r="G28">
            <v>1.0148778160258809</v>
          </cell>
          <cell r="H28">
            <v>1.8008</v>
          </cell>
        </row>
        <row r="29">
          <cell r="B29">
            <v>36651</v>
          </cell>
          <cell r="C29">
            <v>36649</v>
          </cell>
          <cell r="D29">
            <v>24</v>
          </cell>
          <cell r="E29">
            <v>18.489999999999998</v>
          </cell>
          <cell r="F29">
            <v>2.0204226988658203</v>
          </cell>
          <cell r="G29">
            <v>1.0155613100845722</v>
          </cell>
          <cell r="H29">
            <v>1.8162</v>
          </cell>
        </row>
        <row r="30">
          <cell r="B30">
            <v>36654</v>
          </cell>
          <cell r="C30">
            <v>36650</v>
          </cell>
          <cell r="D30">
            <v>25</v>
          </cell>
          <cell r="E30">
            <v>18.510000000000002</v>
          </cell>
          <cell r="F30">
            <v>2.0224332952325508</v>
          </cell>
          <cell r="G30">
            <v>1.0162459450868606</v>
          </cell>
          <cell r="H30">
            <v>1.8144</v>
          </cell>
        </row>
        <row r="31">
          <cell r="B31">
            <v>36655</v>
          </cell>
          <cell r="C31">
            <v>36651</v>
          </cell>
          <cell r="D31">
            <v>26</v>
          </cell>
          <cell r="E31">
            <v>18.510000000000002</v>
          </cell>
          <cell r="F31">
            <v>2.0224332952325508</v>
          </cell>
          <cell r="G31">
            <v>1.0169310416320236</v>
          </cell>
          <cell r="H31">
            <v>1.8118000000000001</v>
          </cell>
        </row>
        <row r="32">
          <cell r="B32">
            <v>36656</v>
          </cell>
          <cell r="C32">
            <v>36654</v>
          </cell>
          <cell r="D32">
            <v>27</v>
          </cell>
          <cell r="E32">
            <v>18.48</v>
          </cell>
          <cell r="F32">
            <v>2.0194172739198546</v>
          </cell>
          <cell r="G32">
            <v>1.0176155776693092</v>
          </cell>
          <cell r="H32">
            <v>1.8058000000000001</v>
          </cell>
        </row>
        <row r="33">
          <cell r="B33">
            <v>36657</v>
          </cell>
          <cell r="C33">
            <v>36655</v>
          </cell>
          <cell r="D33">
            <v>28</v>
          </cell>
          <cell r="E33">
            <v>18.440000000000001</v>
          </cell>
          <cell r="F33">
            <v>2.0153947287242513</v>
          </cell>
          <cell r="G33">
            <v>1.0182992100263433</v>
          </cell>
          <cell r="H33">
            <v>1.8079000000000001</v>
          </cell>
        </row>
        <row r="34">
          <cell r="B34">
            <v>36658</v>
          </cell>
          <cell r="C34">
            <v>36656</v>
          </cell>
          <cell r="D34">
            <v>29</v>
          </cell>
          <cell r="E34">
            <v>18.440000000000001</v>
          </cell>
          <cell r="F34">
            <v>2.0153947287242513</v>
          </cell>
          <cell r="G34">
            <v>1.0189833016463936</v>
          </cell>
          <cell r="H34">
            <v>1.8169</v>
          </cell>
        </row>
        <row r="35">
          <cell r="B35">
            <v>36661</v>
          </cell>
          <cell r="C35">
            <v>36657</v>
          </cell>
          <cell r="D35">
            <v>30</v>
          </cell>
          <cell r="E35">
            <v>18.440000000000001</v>
          </cell>
          <cell r="F35">
            <v>2.0153947287242513</v>
          </cell>
          <cell r="G35">
            <v>1.0196678528379923</v>
          </cell>
          <cell r="H35">
            <v>1.8162</v>
          </cell>
        </row>
        <row r="36">
          <cell r="B36">
            <v>36662</v>
          </cell>
          <cell r="C36">
            <v>36658</v>
          </cell>
          <cell r="D36">
            <v>31</v>
          </cell>
          <cell r="E36">
            <v>18.420000000000002</v>
          </cell>
          <cell r="F36">
            <v>2.0133829486790322</v>
          </cell>
          <cell r="G36">
            <v>1.0203521801273991</v>
          </cell>
          <cell r="H36">
            <v>1.8266</v>
          </cell>
        </row>
        <row r="37">
          <cell r="B37">
            <v>36663</v>
          </cell>
          <cell r="C37">
            <v>36661</v>
          </cell>
          <cell r="D37">
            <v>32</v>
          </cell>
          <cell r="E37">
            <v>18.420000000000002</v>
          </cell>
          <cell r="F37">
            <v>2.0133829486790322</v>
          </cell>
          <cell r="G37">
            <v>1.0210369666877712</v>
          </cell>
          <cell r="H37">
            <v>1.8382000000000001</v>
          </cell>
        </row>
        <row r="38">
          <cell r="B38">
            <v>36664</v>
          </cell>
          <cell r="C38">
            <v>36662</v>
          </cell>
          <cell r="D38">
            <v>33</v>
          </cell>
          <cell r="E38">
            <v>18.420000000000002</v>
          </cell>
          <cell r="F38">
            <v>2.0133829486790322</v>
          </cell>
          <cell r="G38">
            <v>1.021722212827338</v>
          </cell>
          <cell r="H38">
            <v>1.8198000000000001</v>
          </cell>
        </row>
        <row r="39">
          <cell r="B39">
            <v>36665</v>
          </cell>
          <cell r="C39">
            <v>36663</v>
          </cell>
          <cell r="D39">
            <v>34</v>
          </cell>
          <cell r="E39">
            <v>18.41</v>
          </cell>
          <cell r="F39">
            <v>2.0123769317439422</v>
          </cell>
          <cell r="G39">
            <v>1.0224075762312528</v>
          </cell>
          <cell r="H39">
            <v>1.8291999999999999</v>
          </cell>
        </row>
        <row r="40">
          <cell r="B40">
            <v>36668</v>
          </cell>
          <cell r="C40">
            <v>36664</v>
          </cell>
          <cell r="D40">
            <v>35</v>
          </cell>
          <cell r="E40">
            <v>18.41</v>
          </cell>
          <cell r="F40">
            <v>2.0123769317439422</v>
          </cell>
          <cell r="G40">
            <v>1.0230933993716689</v>
          </cell>
          <cell r="H40">
            <v>1.8305</v>
          </cell>
        </row>
        <row r="41">
          <cell r="B41">
            <v>36669</v>
          </cell>
          <cell r="C41">
            <v>36665</v>
          </cell>
          <cell r="D41">
            <v>36</v>
          </cell>
          <cell r="E41">
            <v>18.41</v>
          </cell>
          <cell r="F41">
            <v>2.0123769317439422</v>
          </cell>
          <cell r="G41">
            <v>1.0237796825569738</v>
          </cell>
          <cell r="H41">
            <v>1.8453999999999999</v>
          </cell>
        </row>
        <row r="42">
          <cell r="B42">
            <v>36670</v>
          </cell>
          <cell r="C42">
            <v>36668</v>
          </cell>
          <cell r="D42">
            <v>37</v>
          </cell>
          <cell r="E42">
            <v>18.41</v>
          </cell>
          <cell r="F42">
            <v>2.0123769317439422</v>
          </cell>
          <cell r="G42">
            <v>1.0244664260957623</v>
          </cell>
          <cell r="H42">
            <v>1.8468</v>
          </cell>
        </row>
        <row r="43">
          <cell r="B43">
            <v>36671</v>
          </cell>
          <cell r="C43">
            <v>36669</v>
          </cell>
          <cell r="D43">
            <v>38</v>
          </cell>
          <cell r="E43">
            <v>18.41</v>
          </cell>
          <cell r="F43">
            <v>2.0123769317439422</v>
          </cell>
          <cell r="G43">
            <v>1.025153630296836</v>
          </cell>
          <cell r="H43">
            <v>1.8536999999999999</v>
          </cell>
        </row>
        <row r="44">
          <cell r="B44">
            <v>36672</v>
          </cell>
          <cell r="C44">
            <v>36670</v>
          </cell>
          <cell r="D44">
            <v>39</v>
          </cell>
          <cell r="E44">
            <v>18.420000000000002</v>
          </cell>
          <cell r="F44">
            <v>2.0133829486790322</v>
          </cell>
          <cell r="G44">
            <v>1.0258416392431746</v>
          </cell>
          <cell r="H44">
            <v>1.8536999999999999</v>
          </cell>
        </row>
        <row r="45">
          <cell r="B45">
            <v>36675</v>
          </cell>
          <cell r="C45">
            <v>36671</v>
          </cell>
          <cell r="D45">
            <v>40</v>
          </cell>
          <cell r="E45">
            <v>18.420000000000002</v>
          </cell>
          <cell r="F45">
            <v>2.0133829486790322</v>
          </cell>
          <cell r="G45">
            <v>1.0265301099313404</v>
          </cell>
          <cell r="H45">
            <v>1.8391999999999999</v>
          </cell>
        </row>
        <row r="46">
          <cell r="B46">
            <v>36676</v>
          </cell>
          <cell r="C46">
            <v>36672</v>
          </cell>
          <cell r="D46">
            <v>41</v>
          </cell>
          <cell r="E46">
            <v>18.43</v>
          </cell>
          <cell r="F46">
            <v>2.0143888810004729</v>
          </cell>
          <cell r="G46">
            <v>1.0272193868778263</v>
          </cell>
          <cell r="H46">
            <v>1.8454999999999999</v>
          </cell>
        </row>
        <row r="47">
          <cell r="B47">
            <v>36677</v>
          </cell>
          <cell r="C47">
            <v>36675</v>
          </cell>
          <cell r="D47">
            <v>42</v>
          </cell>
          <cell r="E47">
            <v>18.420000000000002</v>
          </cell>
          <cell r="F47">
            <v>2.0133829486790322</v>
          </cell>
          <cell r="G47">
            <v>1.0279087822105237</v>
          </cell>
          <cell r="H47">
            <v>1.8388</v>
          </cell>
        </row>
        <row r="48">
          <cell r="B48">
            <v>36678</v>
          </cell>
          <cell r="C48">
            <v>36676</v>
          </cell>
          <cell r="D48">
            <v>43</v>
          </cell>
          <cell r="E48">
            <v>18.399999999999999</v>
          </cell>
          <cell r="F48">
            <v>2.0113708301825461</v>
          </cell>
          <cell r="G48">
            <v>1.0285979507907326</v>
          </cell>
          <cell r="H48">
            <v>1.8305</v>
          </cell>
        </row>
        <row r="49">
          <cell r="B49">
            <v>36679</v>
          </cell>
          <cell r="C49">
            <v>36677</v>
          </cell>
          <cell r="D49">
            <v>44</v>
          </cell>
          <cell r="E49">
            <v>18.39</v>
          </cell>
          <cell r="F49">
            <v>2.0103646439801892</v>
          </cell>
          <cell r="G49">
            <v>1.0292872364417793</v>
          </cell>
          <cell r="H49">
            <v>1.8266</v>
          </cell>
        </row>
        <row r="50">
          <cell r="B50">
            <v>36682</v>
          </cell>
          <cell r="C50">
            <v>36678</v>
          </cell>
          <cell r="D50">
            <v>45</v>
          </cell>
          <cell r="E50">
            <v>18.38</v>
          </cell>
          <cell r="F50">
            <v>2.0093583731222164</v>
          </cell>
          <cell r="G50">
            <v>1.0299766387507434</v>
          </cell>
          <cell r="H50">
            <v>1.8202</v>
          </cell>
        </row>
        <row r="51">
          <cell r="B51">
            <v>36683</v>
          </cell>
          <cell r="C51">
            <v>36679</v>
          </cell>
          <cell r="D51">
            <v>46</v>
          </cell>
          <cell r="E51">
            <v>18.37</v>
          </cell>
          <cell r="F51">
            <v>2.008352017594639</v>
          </cell>
          <cell r="G51">
            <v>1.0306661573042468</v>
          </cell>
          <cell r="H51">
            <v>1.8104</v>
          </cell>
        </row>
        <row r="52">
          <cell r="B52">
            <v>36684</v>
          </cell>
          <cell r="C52">
            <v>36682</v>
          </cell>
          <cell r="D52">
            <v>47</v>
          </cell>
          <cell r="E52">
            <v>18.350000000000001</v>
          </cell>
          <cell r="F52">
            <v>2.0063390524727165</v>
          </cell>
          <cell r="G52">
            <v>1.0313554458914007</v>
          </cell>
          <cell r="H52">
            <v>1.7932999999999999</v>
          </cell>
        </row>
        <row r="53">
          <cell r="B53">
            <v>36685</v>
          </cell>
          <cell r="C53">
            <v>36683</v>
          </cell>
          <cell r="D53">
            <v>48</v>
          </cell>
          <cell r="E53">
            <v>18.32</v>
          </cell>
          <cell r="F53">
            <v>2.003318969410417</v>
          </cell>
          <cell r="G53">
            <v>1.0320441572010537</v>
          </cell>
          <cell r="H53">
            <v>1.7899</v>
          </cell>
        </row>
        <row r="54">
          <cell r="B54">
            <v>36686</v>
          </cell>
          <cell r="C54">
            <v>36684</v>
          </cell>
          <cell r="D54">
            <v>49</v>
          </cell>
          <cell r="E54">
            <v>18.28</v>
          </cell>
          <cell r="F54">
            <v>1.9992910053514557</v>
          </cell>
          <cell r="G54">
            <v>1.0327319427345929</v>
          </cell>
          <cell r="H54">
            <v>1.8036000000000001</v>
          </cell>
        </row>
        <row r="55">
          <cell r="B55">
            <v>36689</v>
          </cell>
          <cell r="C55">
            <v>36685</v>
          </cell>
          <cell r="D55">
            <v>50</v>
          </cell>
          <cell r="E55">
            <v>18.260000000000002</v>
          </cell>
          <cell r="F55">
            <v>1.9972765145033211</v>
          </cell>
          <cell r="G55">
            <v>1.0334194931529266</v>
          </cell>
          <cell r="H55">
            <v>1.7948</v>
          </cell>
        </row>
        <row r="56">
          <cell r="B56">
            <v>36690</v>
          </cell>
          <cell r="C56">
            <v>36686</v>
          </cell>
          <cell r="D56">
            <v>51</v>
          </cell>
          <cell r="E56">
            <v>18.260000000000002</v>
          </cell>
          <cell r="F56">
            <v>1.9972765145033211</v>
          </cell>
          <cell r="G56">
            <v>1.034107501314028</v>
          </cell>
          <cell r="H56">
            <v>1.7999000000000001</v>
          </cell>
        </row>
        <row r="57">
          <cell r="B57">
            <v>36691</v>
          </cell>
          <cell r="C57">
            <v>36689</v>
          </cell>
          <cell r="D57">
            <v>52</v>
          </cell>
          <cell r="E57">
            <v>18.25</v>
          </cell>
          <cell r="F57">
            <v>1.9962691418240475</v>
          </cell>
          <cell r="G57">
            <v>1.034795620278762</v>
          </cell>
          <cell r="H57">
            <v>1.804</v>
          </cell>
        </row>
        <row r="58">
          <cell r="B58">
            <v>36692</v>
          </cell>
          <cell r="C58">
            <v>36690</v>
          </cell>
          <cell r="D58">
            <v>53</v>
          </cell>
          <cell r="E58">
            <v>18.239999999999998</v>
          </cell>
          <cell r="F58">
            <v>1.995261684289984</v>
          </cell>
          <cell r="G58">
            <v>1.0354838496294998</v>
          </cell>
          <cell r="H58">
            <v>1.81</v>
          </cell>
        </row>
        <row r="59">
          <cell r="B59">
            <v>36693</v>
          </cell>
          <cell r="C59">
            <v>36691</v>
          </cell>
          <cell r="D59">
            <v>54</v>
          </cell>
          <cell r="E59">
            <v>18.23</v>
          </cell>
          <cell r="F59">
            <v>1.9942541418858095</v>
          </cell>
          <cell r="G59">
            <v>1.0361721889481597</v>
          </cell>
          <cell r="H59">
            <v>1.8107</v>
          </cell>
        </row>
        <row r="60">
          <cell r="B60">
            <v>36696</v>
          </cell>
          <cell r="C60">
            <v>36692</v>
          </cell>
          <cell r="D60">
            <v>55</v>
          </cell>
          <cell r="E60">
            <v>18.239999999999998</v>
          </cell>
          <cell r="F60">
            <v>1.995261684289984</v>
          </cell>
          <cell r="G60">
            <v>1.036861333837138</v>
          </cell>
          <cell r="H60">
            <v>1.8079000000000001</v>
          </cell>
        </row>
        <row r="61">
          <cell r="B61">
            <v>36697</v>
          </cell>
          <cell r="C61">
            <v>36693</v>
          </cell>
          <cell r="D61">
            <v>56</v>
          </cell>
          <cell r="E61">
            <v>18.25</v>
          </cell>
          <cell r="F61">
            <v>1.9962691418240475</v>
          </cell>
          <cell r="G61">
            <v>1.0375512852655011</v>
          </cell>
          <cell r="H61">
            <v>1.8072999999999999</v>
          </cell>
        </row>
        <row r="62">
          <cell r="B62">
            <v>36698</v>
          </cell>
          <cell r="C62">
            <v>36696</v>
          </cell>
          <cell r="D62">
            <v>57</v>
          </cell>
          <cell r="E62">
            <v>18.239999999999998</v>
          </cell>
          <cell r="F62">
            <v>1.995261684289984</v>
          </cell>
          <cell r="G62">
            <v>1.0382413473738266</v>
          </cell>
          <cell r="H62">
            <v>1.8029999999999999</v>
          </cell>
        </row>
        <row r="63">
          <cell r="B63">
            <v>36700</v>
          </cell>
          <cell r="C63">
            <v>36697</v>
          </cell>
          <cell r="D63">
            <v>58</v>
          </cell>
          <cell r="E63">
            <v>18.149999999999999</v>
          </cell>
          <cell r="F63">
            <v>1.9861907456131256</v>
          </cell>
          <cell r="G63">
            <v>1.0389287291591156</v>
          </cell>
          <cell r="H63">
            <v>1.7990999999999999</v>
          </cell>
        </row>
        <row r="64">
          <cell r="B64">
            <v>36703</v>
          </cell>
          <cell r="C64">
            <v>36698</v>
          </cell>
          <cell r="D64">
            <v>59</v>
          </cell>
          <cell r="E64">
            <v>17.43</v>
          </cell>
          <cell r="F64">
            <v>1.9133744956407739</v>
          </cell>
          <cell r="G64">
            <v>1.0395913490701694</v>
          </cell>
          <cell r="H64">
            <v>1.8121</v>
          </cell>
        </row>
        <row r="65">
          <cell r="B65">
            <v>36704</v>
          </cell>
          <cell r="C65">
            <v>36700</v>
          </cell>
          <cell r="D65">
            <v>60</v>
          </cell>
          <cell r="E65">
            <v>17.399999999999999</v>
          </cell>
          <cell r="F65">
            <v>1.9103308431214217</v>
          </cell>
          <cell r="G65">
            <v>1.040253336876293</v>
          </cell>
          <cell r="H65">
            <v>1.8203</v>
          </cell>
        </row>
        <row r="66">
          <cell r="B66">
            <v>36705</v>
          </cell>
          <cell r="C66">
            <v>36703</v>
          </cell>
          <cell r="D66">
            <v>61</v>
          </cell>
          <cell r="E66">
            <v>17.350000000000001</v>
          </cell>
          <cell r="F66">
            <v>1.9052563670001188</v>
          </cell>
          <cell r="G66">
            <v>1.0409139866407517</v>
          </cell>
          <cell r="H66">
            <v>1.8282</v>
          </cell>
        </row>
        <row r="67">
          <cell r="B67">
            <v>36706</v>
          </cell>
          <cell r="C67">
            <v>36704</v>
          </cell>
          <cell r="D67">
            <v>62</v>
          </cell>
          <cell r="E67">
            <v>17.32</v>
          </cell>
          <cell r="F67">
            <v>1.9022106475301559</v>
          </cell>
          <cell r="G67">
            <v>1.0415739991969355</v>
          </cell>
          <cell r="H67">
            <v>1.8234999999999999</v>
          </cell>
        </row>
        <row r="68">
          <cell r="B68">
            <v>36707</v>
          </cell>
          <cell r="C68">
            <v>36705</v>
          </cell>
          <cell r="D68">
            <v>63</v>
          </cell>
          <cell r="E68">
            <v>17.190000000000001</v>
          </cell>
          <cell r="F68">
            <v>1.8890035595695576</v>
          </cell>
          <cell r="G68">
            <v>1.0422298448609482</v>
          </cell>
          <cell r="H68">
            <v>1.8194999999999999</v>
          </cell>
        </row>
        <row r="69">
          <cell r="B69">
            <v>36710</v>
          </cell>
          <cell r="C69">
            <v>36706</v>
          </cell>
          <cell r="D69">
            <v>64</v>
          </cell>
          <cell r="E69">
            <v>17.23</v>
          </cell>
          <cell r="F69">
            <v>1.8930688325438094</v>
          </cell>
          <cell r="G69">
            <v>1.0428875158061659</v>
          </cell>
          <cell r="H69">
            <v>1.8171999999999999</v>
          </cell>
        </row>
        <row r="70">
          <cell r="B70">
            <v>36711</v>
          </cell>
          <cell r="C70">
            <v>36707</v>
          </cell>
          <cell r="D70">
            <v>65</v>
          </cell>
          <cell r="E70">
            <v>17.21</v>
          </cell>
          <cell r="F70">
            <v>1.8910363687865139</v>
          </cell>
          <cell r="G70">
            <v>1.0435448952131468</v>
          </cell>
          <cell r="H70">
            <v>1.8</v>
          </cell>
        </row>
        <row r="71">
          <cell r="B71">
            <v>36712</v>
          </cell>
          <cell r="C71">
            <v>36710</v>
          </cell>
          <cell r="D71">
            <v>66</v>
          </cell>
          <cell r="E71">
            <v>17.170000000000002</v>
          </cell>
          <cell r="F71">
            <v>1.8869704047743685</v>
          </cell>
          <cell r="G71">
            <v>1.0442012746575871</v>
          </cell>
          <cell r="H71">
            <v>1.8080000000000001</v>
          </cell>
        </row>
        <row r="72">
          <cell r="B72">
            <v>36713</v>
          </cell>
          <cell r="C72">
            <v>36711</v>
          </cell>
          <cell r="D72">
            <v>67</v>
          </cell>
          <cell r="E72">
            <v>17.18</v>
          </cell>
          <cell r="F72">
            <v>1.8879870253767361</v>
          </cell>
          <cell r="G72">
            <v>1.0448584208103988</v>
          </cell>
          <cell r="H72">
            <v>1.8121</v>
          </cell>
        </row>
        <row r="73">
          <cell r="B73">
            <v>36714</v>
          </cell>
          <cell r="C73">
            <v>36712</v>
          </cell>
          <cell r="D73">
            <v>68</v>
          </cell>
          <cell r="E73">
            <v>17.2</v>
          </cell>
          <cell r="F73">
            <v>1.8900200073681539</v>
          </cell>
          <cell r="G73">
            <v>1.0455166885837983</v>
          </cell>
          <cell r="H73">
            <v>1.8047</v>
          </cell>
        </row>
        <row r="74">
          <cell r="B74">
            <v>36717</v>
          </cell>
          <cell r="C74">
            <v>36713</v>
          </cell>
          <cell r="D74">
            <v>69</v>
          </cell>
          <cell r="E74">
            <v>17.22</v>
          </cell>
          <cell r="F74">
            <v>1.8920526438406249</v>
          </cell>
          <cell r="G74">
            <v>1.0461760794554031</v>
          </cell>
          <cell r="H74">
            <v>1.7969999999999999</v>
          </cell>
        </row>
        <row r="75">
          <cell r="B75">
            <v>36718</v>
          </cell>
          <cell r="C75">
            <v>36714</v>
          </cell>
          <cell r="D75">
            <v>70</v>
          </cell>
          <cell r="E75">
            <v>17.190000000000001</v>
          </cell>
          <cell r="F75">
            <v>1.8890035595695576</v>
          </cell>
          <cell r="G75">
            <v>1.0468348229014124</v>
          </cell>
          <cell r="H75">
            <v>1.7971999999999999</v>
          </cell>
        </row>
        <row r="76">
          <cell r="B76">
            <v>36719</v>
          </cell>
          <cell r="C76">
            <v>36717</v>
          </cell>
          <cell r="D76">
            <v>71</v>
          </cell>
          <cell r="E76">
            <v>16.940000000000001</v>
          </cell>
          <cell r="F76">
            <v>1.8635642480695491</v>
          </cell>
          <cell r="G76">
            <v>1.0474851042179434</v>
          </cell>
          <cell r="H76">
            <v>1.8006</v>
          </cell>
        </row>
        <row r="77">
          <cell r="B77">
            <v>36720</v>
          </cell>
          <cell r="C77">
            <v>36718</v>
          </cell>
          <cell r="D77">
            <v>72</v>
          </cell>
          <cell r="E77">
            <v>16.899999999999999</v>
          </cell>
          <cell r="F77">
            <v>1.8594889319449859</v>
          </cell>
          <cell r="G77">
            <v>1.048134366537167</v>
          </cell>
          <cell r="H77">
            <v>1.7971999999999999</v>
          </cell>
        </row>
        <row r="78">
          <cell r="B78">
            <v>36721</v>
          </cell>
          <cell r="C78">
            <v>36719</v>
          </cell>
          <cell r="D78">
            <v>73</v>
          </cell>
          <cell r="E78">
            <v>16.89</v>
          </cell>
          <cell r="F78">
            <v>1.8584698858941096</v>
          </cell>
          <cell r="G78">
            <v>1.0487836752560269</v>
          </cell>
          <cell r="H78">
            <v>1.8033999999999999</v>
          </cell>
        </row>
        <row r="79">
          <cell r="B79">
            <v>36724</v>
          </cell>
          <cell r="C79">
            <v>36720</v>
          </cell>
          <cell r="D79">
            <v>74</v>
          </cell>
          <cell r="E79">
            <v>16.88</v>
          </cell>
          <cell r="F79">
            <v>1.857450753005363</v>
          </cell>
          <cell r="G79">
            <v>1.0494330299318082</v>
          </cell>
          <cell r="H79">
            <v>1.8104</v>
          </cell>
        </row>
        <row r="80">
          <cell r="B80">
            <v>36725</v>
          </cell>
          <cell r="C80">
            <v>36721</v>
          </cell>
          <cell r="D80">
            <v>75</v>
          </cell>
          <cell r="E80">
            <v>16.89</v>
          </cell>
          <cell r="F80">
            <v>1.8584698858941096</v>
          </cell>
          <cell r="G80">
            <v>1.0500831431596052</v>
          </cell>
          <cell r="H80">
            <v>1.8106</v>
          </cell>
        </row>
        <row r="81">
          <cell r="B81">
            <v>36726</v>
          </cell>
          <cell r="C81">
            <v>36724</v>
          </cell>
          <cell r="D81">
            <v>76</v>
          </cell>
          <cell r="E81">
            <v>16.89</v>
          </cell>
          <cell r="F81">
            <v>1.8584698858941096</v>
          </cell>
          <cell r="G81">
            <v>1.0507336591260208</v>
          </cell>
          <cell r="H81">
            <v>1.7979000000000001</v>
          </cell>
        </row>
        <row r="82">
          <cell r="B82">
            <v>36727</v>
          </cell>
          <cell r="C82">
            <v>36725</v>
          </cell>
          <cell r="D82">
            <v>77</v>
          </cell>
          <cell r="E82">
            <v>16.88</v>
          </cell>
          <cell r="F82">
            <v>1.857450753005363</v>
          </cell>
          <cell r="G82">
            <v>1.0513842211348048</v>
          </cell>
          <cell r="H82">
            <v>1.7969999999999999</v>
          </cell>
        </row>
        <row r="83">
          <cell r="B83">
            <v>36728</v>
          </cell>
          <cell r="C83">
            <v>36726</v>
          </cell>
          <cell r="D83">
            <v>78</v>
          </cell>
          <cell r="E83">
            <v>16.829999999999998</v>
          </cell>
          <cell r="F83">
            <v>1.8523537854773231</v>
          </cell>
          <cell r="G83">
            <v>1.0520333996488083</v>
          </cell>
          <cell r="H83">
            <v>1.8044</v>
          </cell>
        </row>
        <row r="84">
          <cell r="B84">
            <v>36731</v>
          </cell>
          <cell r="C84">
            <v>36727</v>
          </cell>
          <cell r="D84">
            <v>79</v>
          </cell>
          <cell r="E84">
            <v>16.489999999999998</v>
          </cell>
          <cell r="F84">
            <v>1.817636678486112</v>
          </cell>
          <cell r="G84">
            <v>1.0526708044802062</v>
          </cell>
          <cell r="H84">
            <v>1.8015000000000001</v>
          </cell>
        </row>
        <row r="85">
          <cell r="B85">
            <v>36732</v>
          </cell>
          <cell r="C85">
            <v>36728</v>
          </cell>
          <cell r="D85">
            <v>80</v>
          </cell>
          <cell r="E85">
            <v>16.47</v>
          </cell>
          <cell r="F85">
            <v>1.8155913538431268</v>
          </cell>
          <cell r="G85">
            <v>1.0533078778172253</v>
          </cell>
          <cell r="H85">
            <v>1.7921</v>
          </cell>
        </row>
        <row r="86">
          <cell r="B86">
            <v>36733</v>
          </cell>
          <cell r="C86">
            <v>36731</v>
          </cell>
          <cell r="D86">
            <v>81</v>
          </cell>
          <cell r="E86">
            <v>16.45</v>
          </cell>
          <cell r="F86">
            <v>1.8135456793453297</v>
          </cell>
          <cell r="G86">
            <v>1.0539446184675039</v>
          </cell>
          <cell r="H86">
            <v>1.7956000000000001</v>
          </cell>
        </row>
        <row r="87">
          <cell r="B87">
            <v>36734</v>
          </cell>
          <cell r="C87">
            <v>36732</v>
          </cell>
          <cell r="D87">
            <v>82</v>
          </cell>
          <cell r="E87">
            <v>16.43</v>
          </cell>
          <cell r="F87">
            <v>1.8114996548714846</v>
          </cell>
          <cell r="G87">
            <v>1.0545810252383732</v>
          </cell>
          <cell r="H87">
            <v>1.7898000000000001</v>
          </cell>
        </row>
        <row r="88">
          <cell r="B88">
            <v>36735</v>
          </cell>
          <cell r="C88">
            <v>36733</v>
          </cell>
          <cell r="D88">
            <v>83</v>
          </cell>
          <cell r="E88">
            <v>16.420000000000002</v>
          </cell>
          <cell r="F88">
            <v>1.8104765113569066</v>
          </cell>
          <cell r="G88">
            <v>1.0552174566302122</v>
          </cell>
          <cell r="H88">
            <v>1.7925</v>
          </cell>
        </row>
        <row r="89">
          <cell r="B89">
            <v>36738</v>
          </cell>
          <cell r="C89">
            <v>36734</v>
          </cell>
          <cell r="D89">
            <v>84</v>
          </cell>
          <cell r="E89">
            <v>16.41</v>
          </cell>
          <cell r="F89">
            <v>1.8094532803030194</v>
          </cell>
          <cell r="G89">
            <v>1.0558539121929897</v>
          </cell>
          <cell r="H89">
            <v>1.7847</v>
          </cell>
        </row>
        <row r="90">
          <cell r="B90">
            <v>36739</v>
          </cell>
          <cell r="C90">
            <v>36735</v>
          </cell>
          <cell r="D90">
            <v>85</v>
          </cell>
          <cell r="E90">
            <v>16.399999999999999</v>
          </cell>
          <cell r="F90">
            <v>1.8084299616951682</v>
          </cell>
          <cell r="G90">
            <v>1.0564903914763173</v>
          </cell>
          <cell r="H90">
            <v>1.7827999999999999</v>
          </cell>
        </row>
        <row r="91">
          <cell r="B91">
            <v>36740</v>
          </cell>
          <cell r="C91">
            <v>36738</v>
          </cell>
          <cell r="D91">
            <v>86</v>
          </cell>
          <cell r="E91">
            <v>16.38</v>
          </cell>
          <cell r="F91">
            <v>1.8063830617582877</v>
          </cell>
          <cell r="G91">
            <v>1.0571265335923417</v>
          </cell>
          <cell r="H91">
            <v>1.7747999999999999</v>
          </cell>
        </row>
        <row r="92">
          <cell r="B92">
            <v>36741</v>
          </cell>
          <cell r="C92">
            <v>36739</v>
          </cell>
          <cell r="D92">
            <v>87</v>
          </cell>
          <cell r="E92">
            <v>16.37</v>
          </cell>
          <cell r="F92">
            <v>1.8053594803992823</v>
          </cell>
          <cell r="G92">
            <v>1.0577626980621424</v>
          </cell>
          <cell r="H92">
            <v>1.788</v>
          </cell>
        </row>
        <row r="93">
          <cell r="B93">
            <v>36742</v>
          </cell>
          <cell r="C93">
            <v>36740</v>
          </cell>
          <cell r="D93">
            <v>88</v>
          </cell>
          <cell r="E93">
            <v>16.37</v>
          </cell>
          <cell r="F93">
            <v>1.8053594803992823</v>
          </cell>
          <cell r="G93">
            <v>1.0583992453671287</v>
          </cell>
          <cell r="H93">
            <v>1.7916000000000001</v>
          </cell>
        </row>
        <row r="94">
          <cell r="B94">
            <v>36745</v>
          </cell>
          <cell r="C94">
            <v>36741</v>
          </cell>
          <cell r="D94">
            <v>89</v>
          </cell>
          <cell r="E94">
            <v>16.37</v>
          </cell>
          <cell r="F94">
            <v>1.8053594803992823</v>
          </cell>
          <cell r="G94">
            <v>1.0590361757376856</v>
          </cell>
          <cell r="H94">
            <v>1.8079000000000001</v>
          </cell>
        </row>
        <row r="95">
          <cell r="B95">
            <v>36746</v>
          </cell>
          <cell r="C95">
            <v>36742</v>
          </cell>
          <cell r="D95">
            <v>90</v>
          </cell>
          <cell r="E95">
            <v>16.37</v>
          </cell>
          <cell r="F95">
            <v>1.8053594803992823</v>
          </cell>
          <cell r="G95">
            <v>1.0596734894043369</v>
          </cell>
          <cell r="H95">
            <v>1.7919</v>
          </cell>
        </row>
        <row r="96">
          <cell r="B96">
            <v>36747</v>
          </cell>
          <cell r="C96">
            <v>36745</v>
          </cell>
          <cell r="D96">
            <v>91</v>
          </cell>
          <cell r="E96">
            <v>16.38</v>
          </cell>
          <cell r="F96">
            <v>1.8063830617582877</v>
          </cell>
          <cell r="G96">
            <v>1.0603115481517551</v>
          </cell>
          <cell r="H96">
            <v>1.7961</v>
          </cell>
        </row>
        <row r="97">
          <cell r="B97">
            <v>36748</v>
          </cell>
          <cell r="C97">
            <v>36746</v>
          </cell>
          <cell r="D97">
            <v>92</v>
          </cell>
          <cell r="E97">
            <v>16.39</v>
          </cell>
          <cell r="F97">
            <v>1.807406555518698</v>
          </cell>
          <cell r="G97">
            <v>1.0609503528327624</v>
          </cell>
          <cell r="H97">
            <v>1.7991999999999999</v>
          </cell>
        </row>
        <row r="98">
          <cell r="B98">
            <v>36749</v>
          </cell>
          <cell r="C98">
            <v>36747</v>
          </cell>
          <cell r="D98">
            <v>93</v>
          </cell>
          <cell r="E98">
            <v>16.38</v>
          </cell>
          <cell r="F98">
            <v>1.8063830617582877</v>
          </cell>
          <cell r="G98">
            <v>1.0615891804150035</v>
          </cell>
          <cell r="H98">
            <v>1.7949999999999999</v>
          </cell>
        </row>
        <row r="99">
          <cell r="B99">
            <v>36752</v>
          </cell>
          <cell r="C99">
            <v>36748</v>
          </cell>
          <cell r="D99">
            <v>94</v>
          </cell>
          <cell r="E99">
            <v>16.399999999999999</v>
          </cell>
          <cell r="F99">
            <v>1.8084299616951682</v>
          </cell>
          <cell r="G99">
            <v>1.0622291169752949</v>
          </cell>
          <cell r="H99">
            <v>1.7962</v>
          </cell>
        </row>
        <row r="100">
          <cell r="B100">
            <v>36753</v>
          </cell>
          <cell r="C100">
            <v>36749</v>
          </cell>
          <cell r="D100">
            <v>95</v>
          </cell>
          <cell r="E100">
            <v>16.43</v>
          </cell>
          <cell r="F100">
            <v>1.8114996548714846</v>
          </cell>
          <cell r="G100">
            <v>1.0628705262015599</v>
          </cell>
          <cell r="H100">
            <v>1.7959000000000001</v>
          </cell>
        </row>
        <row r="101">
          <cell r="B101">
            <v>36754</v>
          </cell>
          <cell r="C101">
            <v>36752</v>
          </cell>
          <cell r="D101">
            <v>96</v>
          </cell>
          <cell r="E101">
            <v>16.45</v>
          </cell>
          <cell r="F101">
            <v>1.8135456793453297</v>
          </cell>
          <cell r="G101">
            <v>1.063513047618392</v>
          </cell>
          <cell r="H101">
            <v>1.8021</v>
          </cell>
        </row>
        <row r="102">
          <cell r="B102">
            <v>36755</v>
          </cell>
          <cell r="C102">
            <v>36753</v>
          </cell>
          <cell r="D102">
            <v>97</v>
          </cell>
          <cell r="E102">
            <v>16.41</v>
          </cell>
          <cell r="F102">
            <v>1.8094532803030194</v>
          </cell>
          <cell r="G102">
            <v>1.0641545066759448</v>
          </cell>
          <cell r="H102">
            <v>1.8056000000000001</v>
          </cell>
        </row>
        <row r="103">
          <cell r="B103">
            <v>36756</v>
          </cell>
          <cell r="C103">
            <v>36754</v>
          </cell>
          <cell r="D103">
            <v>98</v>
          </cell>
          <cell r="E103">
            <v>16.39</v>
          </cell>
          <cell r="F103">
            <v>1.807406555518698</v>
          </cell>
          <cell r="G103">
            <v>1.0647956266197618</v>
          </cell>
          <cell r="H103">
            <v>1.8069999999999999</v>
          </cell>
        </row>
        <row r="104">
          <cell r="B104">
            <v>36759</v>
          </cell>
          <cell r="C104">
            <v>36755</v>
          </cell>
          <cell r="D104">
            <v>99</v>
          </cell>
          <cell r="E104">
            <v>16.41</v>
          </cell>
          <cell r="F104">
            <v>1.8094532803030194</v>
          </cell>
          <cell r="G104">
            <v>1.0654378592662417</v>
          </cell>
          <cell r="H104">
            <v>1.8096000000000001</v>
          </cell>
        </row>
        <row r="105">
          <cell r="B105">
            <v>36760</v>
          </cell>
          <cell r="C105">
            <v>36756</v>
          </cell>
          <cell r="D105">
            <v>100</v>
          </cell>
          <cell r="E105">
            <v>16.420000000000002</v>
          </cell>
          <cell r="F105">
            <v>1.8104765113569066</v>
          </cell>
          <cell r="G105">
            <v>1.0660808426724124</v>
          </cell>
          <cell r="H105">
            <v>1.8173999999999999</v>
          </cell>
        </row>
        <row r="106">
          <cell r="B106">
            <v>36761</v>
          </cell>
          <cell r="C106">
            <v>36759</v>
          </cell>
          <cell r="D106">
            <v>101</v>
          </cell>
          <cell r="E106">
            <v>16.48</v>
          </cell>
          <cell r="F106">
            <v>1.8166140598889768</v>
          </cell>
          <cell r="G106">
            <v>1.0667263951550048</v>
          </cell>
          <cell r="H106">
            <v>1.8199000000000001</v>
          </cell>
        </row>
        <row r="107">
          <cell r="B107">
            <v>36762</v>
          </cell>
          <cell r="C107">
            <v>36760</v>
          </cell>
          <cell r="D107">
            <v>102</v>
          </cell>
          <cell r="E107">
            <v>16.41</v>
          </cell>
          <cell r="F107">
            <v>1.8094532803030194</v>
          </cell>
          <cell r="G107">
            <v>1.0673697923466379</v>
          </cell>
          <cell r="H107">
            <v>1.8169</v>
          </cell>
        </row>
        <row r="108">
          <cell r="B108">
            <v>36763</v>
          </cell>
          <cell r="C108">
            <v>36761</v>
          </cell>
          <cell r="D108">
            <v>103</v>
          </cell>
          <cell r="E108">
            <v>16.149999999999999</v>
          </cell>
          <cell r="F108">
            <v>1.7828184975230421</v>
          </cell>
          <cell r="G108">
            <v>1.0680041012164689</v>
          </cell>
          <cell r="H108">
            <v>1.8186</v>
          </cell>
        </row>
        <row r="109">
          <cell r="B109">
            <v>36766</v>
          </cell>
          <cell r="C109">
            <v>36762</v>
          </cell>
          <cell r="D109">
            <v>104</v>
          </cell>
          <cell r="E109">
            <v>16.38</v>
          </cell>
          <cell r="F109">
            <v>1.8063830617582877</v>
          </cell>
          <cell r="G109">
            <v>1.0686471760559109</v>
          </cell>
          <cell r="H109">
            <v>1.8204</v>
          </cell>
        </row>
        <row r="110">
          <cell r="B110">
            <v>36767</v>
          </cell>
          <cell r="C110">
            <v>36763</v>
          </cell>
          <cell r="D110">
            <v>105</v>
          </cell>
          <cell r="E110">
            <v>16.41</v>
          </cell>
          <cell r="F110">
            <v>1.8094532803030194</v>
          </cell>
          <cell r="G110">
            <v>1.0692917317686446</v>
          </cell>
          <cell r="H110">
            <v>1.8212999999999999</v>
          </cell>
        </row>
        <row r="111">
          <cell r="B111">
            <v>36768</v>
          </cell>
          <cell r="C111">
            <v>36766</v>
          </cell>
          <cell r="D111">
            <v>106</v>
          </cell>
          <cell r="E111">
            <v>16.420000000000002</v>
          </cell>
          <cell r="F111">
            <v>1.8104765113569066</v>
          </cell>
          <cell r="G111">
            <v>1.0699370409566964</v>
          </cell>
          <cell r="H111">
            <v>1.8277000000000001</v>
          </cell>
        </row>
        <row r="112">
          <cell r="B112">
            <v>36769</v>
          </cell>
          <cell r="C112">
            <v>36767</v>
          </cell>
          <cell r="D112">
            <v>107</v>
          </cell>
          <cell r="E112">
            <v>16.43</v>
          </cell>
          <cell r="F112">
            <v>1.8114996548714846</v>
          </cell>
          <cell r="G112">
            <v>1.0705831044835055</v>
          </cell>
          <cell r="H112">
            <v>1.8349</v>
          </cell>
        </row>
        <row r="113">
          <cell r="B113">
            <v>36770</v>
          </cell>
          <cell r="C113">
            <v>36768</v>
          </cell>
          <cell r="D113">
            <v>108</v>
          </cell>
          <cell r="E113">
            <v>16.41</v>
          </cell>
          <cell r="F113">
            <v>1.8094532803030194</v>
          </cell>
          <cell r="G113">
            <v>1.0712288278535871</v>
          </cell>
          <cell r="H113">
            <v>1.8259000000000001</v>
          </cell>
        </row>
        <row r="114">
          <cell r="B114">
            <v>36773</v>
          </cell>
          <cell r="C114">
            <v>36769</v>
          </cell>
          <cell r="D114">
            <v>109</v>
          </cell>
          <cell r="E114">
            <v>16.37</v>
          </cell>
          <cell r="F114">
            <v>1.8053594803992823</v>
          </cell>
          <cell r="G114">
            <v>1.0718734788936013</v>
          </cell>
          <cell r="H114">
            <v>1.8233999999999999</v>
          </cell>
        </row>
        <row r="115">
          <cell r="B115">
            <v>36774</v>
          </cell>
          <cell r="C115">
            <v>36770</v>
          </cell>
          <cell r="D115">
            <v>110</v>
          </cell>
          <cell r="E115">
            <v>16.36</v>
          </cell>
          <cell r="F115">
            <v>1.8043358114263608</v>
          </cell>
          <cell r="G115">
            <v>1.0725181521280298</v>
          </cell>
          <cell r="H115">
            <v>1.8218000000000001</v>
          </cell>
        </row>
        <row r="116">
          <cell r="B116">
            <v>36775</v>
          </cell>
          <cell r="C116">
            <v>36773</v>
          </cell>
          <cell r="D116">
            <v>111</v>
          </cell>
          <cell r="E116">
            <v>16.39</v>
          </cell>
          <cell r="F116">
            <v>1.807406555518698</v>
          </cell>
          <cell r="G116">
            <v>1.0731643109077196</v>
          </cell>
          <cell r="H116">
            <v>1.8254999999999999</v>
          </cell>
        </row>
        <row r="117">
          <cell r="B117">
            <v>36777</v>
          </cell>
          <cell r="C117">
            <v>36774</v>
          </cell>
          <cell r="D117">
            <v>112</v>
          </cell>
          <cell r="E117">
            <v>16.399999999999999</v>
          </cell>
          <cell r="F117">
            <v>1.8084299616951682</v>
          </cell>
          <cell r="G117">
            <v>1.0738112250722753</v>
          </cell>
          <cell r="H117">
            <v>1.8293999999999999</v>
          </cell>
        </row>
        <row r="118">
          <cell r="B118">
            <v>36780</v>
          </cell>
          <cell r="C118">
            <v>36775</v>
          </cell>
          <cell r="D118">
            <v>113</v>
          </cell>
          <cell r="E118">
            <v>16.440000000000001</v>
          </cell>
          <cell r="F118">
            <v>1.8125227108627406</v>
          </cell>
          <cell r="G118">
            <v>1.0744599941498163</v>
          </cell>
          <cell r="H118">
            <v>1.8207</v>
          </cell>
        </row>
        <row r="119">
          <cell r="B119">
            <v>36781</v>
          </cell>
          <cell r="C119">
            <v>36777</v>
          </cell>
          <cell r="D119">
            <v>114</v>
          </cell>
          <cell r="E119">
            <v>16.45</v>
          </cell>
          <cell r="F119">
            <v>1.8135456793453297</v>
          </cell>
          <cell r="G119">
            <v>1.0751095215764896</v>
          </cell>
          <cell r="H119">
            <v>1.8224</v>
          </cell>
        </row>
        <row r="120">
          <cell r="B120">
            <v>36782</v>
          </cell>
          <cell r="C120">
            <v>36780</v>
          </cell>
          <cell r="D120">
            <v>115</v>
          </cell>
          <cell r="E120">
            <v>16.489999999999998</v>
          </cell>
          <cell r="F120">
            <v>1.817636678486112</v>
          </cell>
          <cell r="G120">
            <v>1.0757609077430921</v>
          </cell>
          <cell r="H120">
            <v>1.8199000000000001</v>
          </cell>
        </row>
        <row r="121">
          <cell r="B121">
            <v>36783</v>
          </cell>
          <cell r="C121">
            <v>36781</v>
          </cell>
          <cell r="D121">
            <v>116</v>
          </cell>
          <cell r="E121">
            <v>16.489999999999998</v>
          </cell>
          <cell r="F121">
            <v>1.817636678486112</v>
          </cell>
          <cell r="G121">
            <v>1.0764126885708238</v>
          </cell>
          <cell r="H121">
            <v>1.8279000000000001</v>
          </cell>
        </row>
        <row r="122">
          <cell r="B122">
            <v>36784</v>
          </cell>
          <cell r="C122">
            <v>36782</v>
          </cell>
          <cell r="D122">
            <v>117</v>
          </cell>
          <cell r="E122">
            <v>16.5</v>
          </cell>
          <cell r="F122">
            <v>1.8186592096491871</v>
          </cell>
          <cell r="G122">
            <v>1.0770652311873081</v>
          </cell>
          <cell r="H122">
            <v>1.8320000000000001</v>
          </cell>
        </row>
        <row r="123">
          <cell r="B123">
            <v>36787</v>
          </cell>
          <cell r="C123">
            <v>36783</v>
          </cell>
          <cell r="D123">
            <v>118</v>
          </cell>
          <cell r="E123">
            <v>16.510000000000002</v>
          </cell>
          <cell r="F123">
            <v>1.8196816533935234</v>
          </cell>
          <cell r="G123">
            <v>1.0777185364675412</v>
          </cell>
          <cell r="H123">
            <v>1.8317000000000001</v>
          </cell>
        </row>
        <row r="124">
          <cell r="B124">
            <v>36788</v>
          </cell>
          <cell r="C124">
            <v>36784</v>
          </cell>
          <cell r="D124">
            <v>119</v>
          </cell>
          <cell r="E124">
            <v>16.5</v>
          </cell>
          <cell r="F124">
            <v>1.8186592096491871</v>
          </cell>
          <cell r="G124">
            <v>1.0783718707147933</v>
          </cell>
          <cell r="H124">
            <v>1.8438000000000001</v>
          </cell>
        </row>
        <row r="125">
          <cell r="B125">
            <v>36789</v>
          </cell>
          <cell r="C125">
            <v>36787</v>
          </cell>
          <cell r="D125">
            <v>120</v>
          </cell>
          <cell r="E125">
            <v>16.5</v>
          </cell>
          <cell r="F125">
            <v>1.8186592096491871</v>
          </cell>
          <cell r="G125">
            <v>1.0790256010261607</v>
          </cell>
          <cell r="H125">
            <v>1.8557999999999999</v>
          </cell>
        </row>
        <row r="126">
          <cell r="B126">
            <v>36790</v>
          </cell>
          <cell r="C126">
            <v>36788</v>
          </cell>
          <cell r="D126">
            <v>121</v>
          </cell>
          <cell r="E126">
            <v>16.489999999999998</v>
          </cell>
          <cell r="F126">
            <v>1.817636678486112</v>
          </cell>
          <cell r="G126">
            <v>1.0796793598626444</v>
          </cell>
          <cell r="H126">
            <v>1.8537999999999999</v>
          </cell>
        </row>
        <row r="127">
          <cell r="B127">
            <v>36791</v>
          </cell>
          <cell r="C127">
            <v>36789</v>
          </cell>
          <cell r="D127">
            <v>122</v>
          </cell>
          <cell r="E127">
            <v>16.489999999999998</v>
          </cell>
          <cell r="F127">
            <v>1.817636678486112</v>
          </cell>
          <cell r="G127">
            <v>1.0803335147978079</v>
          </cell>
          <cell r="H127">
            <v>1.8546</v>
          </cell>
        </row>
        <row r="128">
          <cell r="B128">
            <v>36794</v>
          </cell>
          <cell r="C128">
            <v>36790</v>
          </cell>
          <cell r="D128">
            <v>123</v>
          </cell>
          <cell r="E128">
            <v>16.5</v>
          </cell>
          <cell r="F128">
            <v>1.8186592096491871</v>
          </cell>
          <cell r="G128">
            <v>1.0809884342965346</v>
          </cell>
          <cell r="H128">
            <v>1.8516999999999999</v>
          </cell>
        </row>
        <row r="129">
          <cell r="B129">
            <v>36795</v>
          </cell>
          <cell r="C129">
            <v>36791</v>
          </cell>
          <cell r="D129">
            <v>124</v>
          </cell>
          <cell r="E129">
            <v>16.489999999999998</v>
          </cell>
          <cell r="F129">
            <v>1.817636678486112</v>
          </cell>
          <cell r="G129">
            <v>1.0816433823722669</v>
          </cell>
          <cell r="H129">
            <v>1.8593999999999999</v>
          </cell>
        </row>
        <row r="130">
          <cell r="B130">
            <v>36796</v>
          </cell>
          <cell r="C130">
            <v>36794</v>
          </cell>
          <cell r="D130">
            <v>125</v>
          </cell>
          <cell r="E130">
            <v>16.48</v>
          </cell>
          <cell r="F130">
            <v>1.8166140598889768</v>
          </cell>
          <cell r="G130">
            <v>1.0822983585643347</v>
          </cell>
          <cell r="H130">
            <v>1.8420000000000001</v>
          </cell>
        </row>
        <row r="131">
          <cell r="B131">
            <v>36797</v>
          </cell>
          <cell r="C131">
            <v>36795</v>
          </cell>
          <cell r="D131">
            <v>126</v>
          </cell>
          <cell r="E131">
            <v>16.46</v>
          </cell>
          <cell r="F131">
            <v>1.8145685603339068</v>
          </cell>
          <cell r="G131">
            <v>1.082952993422452</v>
          </cell>
          <cell r="H131">
            <v>1.8506</v>
          </cell>
        </row>
        <row r="132">
          <cell r="B132">
            <v>36798</v>
          </cell>
          <cell r="C132">
            <v>36796</v>
          </cell>
          <cell r="D132">
            <v>127</v>
          </cell>
          <cell r="E132">
            <v>16.43</v>
          </cell>
          <cell r="F132">
            <v>1.8114996548714846</v>
          </cell>
          <cell r="G132">
            <v>1.0836069164137276</v>
          </cell>
          <cell r="H132">
            <v>1.8492</v>
          </cell>
        </row>
        <row r="133">
          <cell r="B133">
            <v>36801</v>
          </cell>
          <cell r="C133">
            <v>36797</v>
          </cell>
          <cell r="D133">
            <v>128</v>
          </cell>
          <cell r="E133">
            <v>16.440000000000001</v>
          </cell>
          <cell r="F133">
            <v>1.8125227108627406</v>
          </cell>
          <cell r="G133">
            <v>1.0842616037956103</v>
          </cell>
          <cell r="H133">
            <v>1.8479000000000001</v>
          </cell>
        </row>
        <row r="134">
          <cell r="B134">
            <v>36802</v>
          </cell>
          <cell r="C134">
            <v>36798</v>
          </cell>
          <cell r="D134">
            <v>129</v>
          </cell>
          <cell r="E134">
            <v>16.489999999999998</v>
          </cell>
          <cell r="F134">
            <v>1.817636678486112</v>
          </cell>
          <cell r="G134">
            <v>1.0849185350156547</v>
          </cell>
          <cell r="H134">
            <v>1.8436999999999999</v>
          </cell>
        </row>
        <row r="135">
          <cell r="B135">
            <v>36803</v>
          </cell>
          <cell r="C135">
            <v>36801</v>
          </cell>
          <cell r="D135">
            <v>130</v>
          </cell>
          <cell r="E135">
            <v>16.5</v>
          </cell>
          <cell r="F135">
            <v>1.8186592096491871</v>
          </cell>
          <cell r="G135">
            <v>1.0855762340441297</v>
          </cell>
          <cell r="H135">
            <v>1.8483000000000001</v>
          </cell>
        </row>
        <row r="136">
          <cell r="B136">
            <v>36804</v>
          </cell>
          <cell r="C136">
            <v>36802</v>
          </cell>
          <cell r="D136">
            <v>131</v>
          </cell>
          <cell r="E136">
            <v>16.489999999999998</v>
          </cell>
          <cell r="F136">
            <v>1.817636678486112</v>
          </cell>
          <cell r="G136">
            <v>1.0862339617708936</v>
          </cell>
          <cell r="H136">
            <v>1.8498000000000001</v>
          </cell>
        </row>
        <row r="137">
          <cell r="B137">
            <v>36805</v>
          </cell>
          <cell r="C137">
            <v>36803</v>
          </cell>
          <cell r="D137">
            <v>132</v>
          </cell>
          <cell r="E137">
            <v>16.510000000000002</v>
          </cell>
          <cell r="F137">
            <v>1.8196816533935234</v>
          </cell>
          <cell r="G137">
            <v>1.0868928284414028</v>
          </cell>
          <cell r="H137">
            <v>1.8529</v>
          </cell>
        </row>
        <row r="138">
          <cell r="B138">
            <v>36808</v>
          </cell>
          <cell r="C138">
            <v>36804</v>
          </cell>
          <cell r="D138">
            <v>133</v>
          </cell>
          <cell r="E138">
            <v>16.510000000000002</v>
          </cell>
          <cell r="F138">
            <v>1.8196816533935234</v>
          </cell>
          <cell r="G138">
            <v>1.0875520947544428</v>
          </cell>
          <cell r="H138">
            <v>1.8501000000000001</v>
          </cell>
        </row>
        <row r="139">
          <cell r="B139">
            <v>36809</v>
          </cell>
          <cell r="C139">
            <v>36805</v>
          </cell>
          <cell r="D139">
            <v>134</v>
          </cell>
          <cell r="E139">
            <v>16.48</v>
          </cell>
          <cell r="F139">
            <v>1.8166140598889768</v>
          </cell>
          <cell r="G139">
            <v>1.0882106488965071</v>
          </cell>
          <cell r="H139">
            <v>1.8520000000000001</v>
          </cell>
        </row>
        <row r="140">
          <cell r="B140">
            <v>36810</v>
          </cell>
          <cell r="C140">
            <v>36808</v>
          </cell>
          <cell r="D140">
            <v>135</v>
          </cell>
          <cell r="E140">
            <v>16.48</v>
          </cell>
          <cell r="F140">
            <v>1.8166140598889768</v>
          </cell>
          <cell r="G140">
            <v>1.0888696018181425</v>
          </cell>
          <cell r="H140">
            <v>1.8573999999999999</v>
          </cell>
        </row>
        <row r="141">
          <cell r="B141">
            <v>36812</v>
          </cell>
          <cell r="C141">
            <v>36809</v>
          </cell>
          <cell r="D141">
            <v>136</v>
          </cell>
          <cell r="E141">
            <v>16.47</v>
          </cell>
          <cell r="F141">
            <v>1.8155913538431268</v>
          </cell>
          <cell r="G141">
            <v>1.0895285825629837</v>
          </cell>
          <cell r="H141">
            <v>1.8541000000000001</v>
          </cell>
        </row>
        <row r="142">
          <cell r="B142">
            <v>36815</v>
          </cell>
          <cell r="C142">
            <v>36810</v>
          </cell>
          <cell r="D142">
            <v>137</v>
          </cell>
          <cell r="E142">
            <v>16.45</v>
          </cell>
          <cell r="F142">
            <v>1.8135456793453297</v>
          </cell>
          <cell r="G142">
            <v>1.0901872191807938</v>
          </cell>
          <cell r="H142">
            <v>1.8603000000000001</v>
          </cell>
        </row>
        <row r="143">
          <cell r="B143">
            <v>36816</v>
          </cell>
          <cell r="C143">
            <v>36812</v>
          </cell>
          <cell r="D143">
            <v>138</v>
          </cell>
          <cell r="E143">
            <v>16.47</v>
          </cell>
          <cell r="F143">
            <v>1.8155913538431268</v>
          </cell>
          <cell r="G143">
            <v>1.0908469973438655</v>
          </cell>
          <cell r="H143">
            <v>1.8764000000000001</v>
          </cell>
        </row>
        <row r="144">
          <cell r="B144">
            <v>36817</v>
          </cell>
          <cell r="C144">
            <v>36815</v>
          </cell>
          <cell r="D144">
            <v>139</v>
          </cell>
          <cell r="E144">
            <v>16.48</v>
          </cell>
          <cell r="F144">
            <v>1.8166140598889768</v>
          </cell>
          <cell r="G144">
            <v>1.0915075466747197</v>
          </cell>
          <cell r="H144">
            <v>1.8704000000000001</v>
          </cell>
        </row>
        <row r="145">
          <cell r="B145">
            <v>36818</v>
          </cell>
          <cell r="C145">
            <v>36816</v>
          </cell>
          <cell r="D145">
            <v>140</v>
          </cell>
          <cell r="E145">
            <v>16.48</v>
          </cell>
          <cell r="F145">
            <v>1.8166140598889768</v>
          </cell>
          <cell r="G145">
            <v>1.0921684959933078</v>
          </cell>
          <cell r="H145">
            <v>1.8667</v>
          </cell>
        </row>
        <row r="146">
          <cell r="B146">
            <v>36819</v>
          </cell>
          <cell r="C146">
            <v>36817</v>
          </cell>
          <cell r="D146">
            <v>141</v>
          </cell>
          <cell r="E146">
            <v>16.48</v>
          </cell>
          <cell r="F146">
            <v>1.8166140598889768</v>
          </cell>
          <cell r="G146">
            <v>1.0928298455418375</v>
          </cell>
          <cell r="H146">
            <v>1.8794999999999999</v>
          </cell>
        </row>
        <row r="147">
          <cell r="B147">
            <v>36822</v>
          </cell>
          <cell r="C147">
            <v>36818</v>
          </cell>
          <cell r="D147">
            <v>142</v>
          </cell>
          <cell r="E147">
            <v>16.48</v>
          </cell>
          <cell r="F147">
            <v>1.8166140598889768</v>
          </cell>
          <cell r="G147">
            <v>1.0934915955626634</v>
          </cell>
          <cell r="H147">
            <v>1.8714</v>
          </cell>
        </row>
        <row r="148">
          <cell r="B148">
            <v>36823</v>
          </cell>
          <cell r="C148">
            <v>36819</v>
          </cell>
          <cell r="D148">
            <v>143</v>
          </cell>
          <cell r="E148">
            <v>16.489999999999998</v>
          </cell>
          <cell r="F148">
            <v>1.817636678486112</v>
          </cell>
          <cell r="G148">
            <v>1.0941541190399005</v>
          </cell>
          <cell r="H148">
            <v>1.8795999999999999</v>
          </cell>
        </row>
        <row r="149">
          <cell r="B149">
            <v>36824</v>
          </cell>
          <cell r="C149">
            <v>36822</v>
          </cell>
          <cell r="D149">
            <v>144</v>
          </cell>
          <cell r="E149">
            <v>16.48</v>
          </cell>
          <cell r="F149">
            <v>1.8166140598889768</v>
          </cell>
          <cell r="G149">
            <v>1.0948166709586782</v>
          </cell>
          <cell r="H149">
            <v>1.8917999999999999</v>
          </cell>
        </row>
        <row r="150">
          <cell r="B150">
            <v>36825</v>
          </cell>
          <cell r="C150">
            <v>36823</v>
          </cell>
          <cell r="D150">
            <v>145</v>
          </cell>
          <cell r="E150">
            <v>16.47</v>
          </cell>
          <cell r="F150">
            <v>1.8155913538431268</v>
          </cell>
          <cell r="G150">
            <v>1.0954792508526234</v>
          </cell>
          <cell r="H150">
            <v>1.8980999999999999</v>
          </cell>
        </row>
        <row r="151">
          <cell r="B151">
            <v>36826</v>
          </cell>
          <cell r="C151">
            <v>36824</v>
          </cell>
          <cell r="D151">
            <v>146</v>
          </cell>
          <cell r="E151">
            <v>16.47</v>
          </cell>
          <cell r="F151">
            <v>1.8155913538431268</v>
          </cell>
          <cell r="G151">
            <v>1.096142231738011</v>
          </cell>
          <cell r="H151">
            <v>1.9281999999999999</v>
          </cell>
        </row>
        <row r="152">
          <cell r="B152">
            <v>36829</v>
          </cell>
          <cell r="C152">
            <v>36825</v>
          </cell>
          <cell r="D152">
            <v>147</v>
          </cell>
          <cell r="E152">
            <v>16.48</v>
          </cell>
          <cell r="F152">
            <v>1.8166140598889768</v>
          </cell>
          <cell r="G152">
            <v>1.0968059875346154</v>
          </cell>
          <cell r="H152">
            <v>1.9339999999999999</v>
          </cell>
        </row>
        <row r="153">
          <cell r="B153">
            <v>36830</v>
          </cell>
          <cell r="C153">
            <v>36826</v>
          </cell>
          <cell r="D153">
            <v>148</v>
          </cell>
          <cell r="E153">
            <v>16.48</v>
          </cell>
          <cell r="F153">
            <v>1.8166140598889768</v>
          </cell>
          <cell r="G153">
            <v>1.0974701452605906</v>
          </cell>
          <cell r="H153">
            <v>1.9239999999999999</v>
          </cell>
        </row>
        <row r="154">
          <cell r="B154">
            <v>36831</v>
          </cell>
          <cell r="C154">
            <v>36829</v>
          </cell>
          <cell r="D154">
            <v>149</v>
          </cell>
          <cell r="E154">
            <v>16.48</v>
          </cell>
          <cell r="F154">
            <v>1.8166140598889768</v>
          </cell>
          <cell r="G154">
            <v>1.0981347051593202</v>
          </cell>
          <cell r="H154">
            <v>1.9184000000000001</v>
          </cell>
        </row>
        <row r="155">
          <cell r="B155">
            <v>36833</v>
          </cell>
          <cell r="C155">
            <v>36830</v>
          </cell>
          <cell r="D155">
            <v>150</v>
          </cell>
          <cell r="E155">
            <v>16.489999999999998</v>
          </cell>
          <cell r="F155">
            <v>1.817636678486112</v>
          </cell>
          <cell r="G155">
            <v>1.098800041798659</v>
          </cell>
          <cell r="H155">
            <v>1.909</v>
          </cell>
        </row>
        <row r="156">
          <cell r="B156">
            <v>36836</v>
          </cell>
          <cell r="C156">
            <v>36831</v>
          </cell>
          <cell r="D156">
            <v>151</v>
          </cell>
          <cell r="E156">
            <v>16.47</v>
          </cell>
          <cell r="F156">
            <v>1.8155913538431268</v>
          </cell>
          <cell r="G156">
            <v>1.0994650324171564</v>
          </cell>
          <cell r="H156">
            <v>1.9098999999999999</v>
          </cell>
        </row>
        <row r="157">
          <cell r="B157">
            <v>36837</v>
          </cell>
          <cell r="C157">
            <v>36833</v>
          </cell>
          <cell r="D157">
            <v>152</v>
          </cell>
          <cell r="E157">
            <v>16.440000000000001</v>
          </cell>
          <cell r="F157">
            <v>1.8125227108627406</v>
          </cell>
          <cell r="G157">
            <v>1.100129300864175</v>
          </cell>
          <cell r="H157">
            <v>1.9286000000000001</v>
          </cell>
        </row>
        <row r="158">
          <cell r="B158">
            <v>36838</v>
          </cell>
          <cell r="C158">
            <v>36836</v>
          </cell>
          <cell r="D158">
            <v>153</v>
          </cell>
          <cell r="E158">
            <v>16.399999999999999</v>
          </cell>
          <cell r="F158">
            <v>1.8084299616951682</v>
          </cell>
          <cell r="G158">
            <v>1.1007924697939822</v>
          </cell>
          <cell r="H158">
            <v>1.9461999999999999</v>
          </cell>
        </row>
        <row r="159">
          <cell r="B159">
            <v>36839</v>
          </cell>
          <cell r="C159">
            <v>36837</v>
          </cell>
          <cell r="D159">
            <v>154</v>
          </cell>
          <cell r="E159">
            <v>16.420000000000002</v>
          </cell>
          <cell r="F159">
            <v>1.8104765113569066</v>
          </cell>
          <cell r="G159">
            <v>1.1014567894307956</v>
          </cell>
          <cell r="H159">
            <v>1.9573</v>
          </cell>
        </row>
        <row r="160">
          <cell r="B160">
            <v>36840</v>
          </cell>
          <cell r="C160">
            <v>36838</v>
          </cell>
          <cell r="D160">
            <v>155</v>
          </cell>
          <cell r="E160">
            <v>16.46</v>
          </cell>
          <cell r="F160">
            <v>1.8145685603339068</v>
          </cell>
          <cell r="G160">
            <v>1.1021230123843515</v>
          </cell>
          <cell r="H160">
            <v>1.9502999999999999</v>
          </cell>
        </row>
        <row r="161">
          <cell r="B161">
            <v>36843</v>
          </cell>
          <cell r="C161">
            <v>36839</v>
          </cell>
          <cell r="D161">
            <v>156</v>
          </cell>
          <cell r="E161">
            <v>16.47</v>
          </cell>
          <cell r="F161">
            <v>1.8155913538431268</v>
          </cell>
          <cell r="G161">
            <v>1.1027900140550704</v>
          </cell>
          <cell r="H161">
            <v>1.9682999999999999</v>
          </cell>
        </row>
        <row r="162">
          <cell r="B162">
            <v>36844</v>
          </cell>
          <cell r="C162">
            <v>36840</v>
          </cell>
          <cell r="D162">
            <v>157</v>
          </cell>
          <cell r="E162">
            <v>16.48</v>
          </cell>
          <cell r="F162">
            <v>1.8166140598889768</v>
          </cell>
          <cell r="G162">
            <v>1.1034577953366163</v>
          </cell>
          <cell r="H162">
            <v>1.9565999999999999</v>
          </cell>
        </row>
        <row r="163">
          <cell r="B163">
            <v>36846</v>
          </cell>
          <cell r="C163">
            <v>36843</v>
          </cell>
          <cell r="D163">
            <v>158</v>
          </cell>
          <cell r="E163">
            <v>16.48</v>
          </cell>
          <cell r="F163">
            <v>1.8166140598889768</v>
          </cell>
          <cell r="G163">
            <v>1.1041259809851172</v>
          </cell>
          <cell r="H163">
            <v>1.9579</v>
          </cell>
        </row>
        <row r="164">
          <cell r="B164">
            <v>36847</v>
          </cell>
          <cell r="C164">
            <v>36844</v>
          </cell>
          <cell r="D164">
            <v>159</v>
          </cell>
          <cell r="E164">
            <v>16.489999999999998</v>
          </cell>
          <cell r="F164">
            <v>1.817636678486112</v>
          </cell>
          <cell r="G164">
            <v>1.1047949476120198</v>
          </cell>
          <cell r="H164">
            <v>1.9440999999999999</v>
          </cell>
        </row>
        <row r="165">
          <cell r="B165">
            <v>36850</v>
          </cell>
          <cell r="C165">
            <v>36846</v>
          </cell>
          <cell r="D165">
            <v>160</v>
          </cell>
          <cell r="E165">
            <v>16.489999999999998</v>
          </cell>
          <cell r="F165">
            <v>1.817636678486112</v>
          </cell>
          <cell r="G165">
            <v>1.1054643195516818</v>
          </cell>
          <cell r="H165">
            <v>1.9486000000000001</v>
          </cell>
        </row>
        <row r="166">
          <cell r="B166">
            <v>36851</v>
          </cell>
          <cell r="C166">
            <v>36847</v>
          </cell>
          <cell r="D166">
            <v>161</v>
          </cell>
          <cell r="E166">
            <v>16.5</v>
          </cell>
          <cell r="F166">
            <v>1.8186592096491871</v>
          </cell>
          <cell r="G166">
            <v>1.1061344738402454</v>
          </cell>
          <cell r="H166">
            <v>1.9609000000000001</v>
          </cell>
        </row>
        <row r="167">
          <cell r="B167">
            <v>36852</v>
          </cell>
          <cell r="C167">
            <v>36850</v>
          </cell>
          <cell r="D167">
            <v>162</v>
          </cell>
          <cell r="E167">
            <v>16.489999999999998</v>
          </cell>
          <cell r="F167">
            <v>1.817636678486112</v>
          </cell>
          <cell r="G167">
            <v>1.1068046573705754</v>
          </cell>
          <cell r="H167">
            <v>1.9365000000000001</v>
          </cell>
        </row>
        <row r="168">
          <cell r="B168">
            <v>36853</v>
          </cell>
          <cell r="C168">
            <v>36851</v>
          </cell>
          <cell r="D168">
            <v>163</v>
          </cell>
          <cell r="E168">
            <v>16.489999999999998</v>
          </cell>
          <cell r="F168">
            <v>1.817636678486112</v>
          </cell>
          <cell r="G168">
            <v>1.1074752469509608</v>
          </cell>
          <cell r="H168">
            <v>1.91</v>
          </cell>
        </row>
        <row r="169">
          <cell r="B169">
            <v>36854</v>
          </cell>
          <cell r="C169">
            <v>36852</v>
          </cell>
          <cell r="D169">
            <v>164</v>
          </cell>
          <cell r="E169">
            <v>16.420000000000002</v>
          </cell>
          <cell r="F169">
            <v>1.8104765113569066</v>
          </cell>
          <cell r="G169">
            <v>1.1081435995914655</v>
          </cell>
          <cell r="H169">
            <v>1.9321999999999999</v>
          </cell>
        </row>
        <row r="170">
          <cell r="B170">
            <v>36857</v>
          </cell>
          <cell r="C170">
            <v>36853</v>
          </cell>
          <cell r="D170">
            <v>165</v>
          </cell>
          <cell r="E170">
            <v>16.420000000000002</v>
          </cell>
          <cell r="F170">
            <v>1.8104765113569066</v>
          </cell>
          <cell r="G170">
            <v>1.1088123555775558</v>
          </cell>
          <cell r="H170">
            <v>1.9413</v>
          </cell>
        </row>
        <row r="171">
          <cell r="B171">
            <v>36858</v>
          </cell>
          <cell r="C171">
            <v>36854</v>
          </cell>
          <cell r="D171">
            <v>166</v>
          </cell>
          <cell r="E171">
            <v>16.41</v>
          </cell>
          <cell r="F171">
            <v>1.8094532803030194</v>
          </cell>
          <cell r="G171">
            <v>1.1094811369622359</v>
          </cell>
          <cell r="H171">
            <v>1.956</v>
          </cell>
        </row>
        <row r="172">
          <cell r="B172">
            <v>36859</v>
          </cell>
          <cell r="C172">
            <v>36857</v>
          </cell>
          <cell r="D172">
            <v>167</v>
          </cell>
          <cell r="E172">
            <v>16.399999999999999</v>
          </cell>
          <cell r="F172">
            <v>1.8084299616951682</v>
          </cell>
          <cell r="G172">
            <v>1.1101499432722419</v>
          </cell>
          <cell r="H172">
            <v>1.9571000000000001</v>
          </cell>
        </row>
        <row r="173">
          <cell r="B173">
            <v>36860</v>
          </cell>
          <cell r="C173">
            <v>36858</v>
          </cell>
          <cell r="D173">
            <v>168</v>
          </cell>
          <cell r="E173">
            <v>16.41</v>
          </cell>
          <cell r="F173">
            <v>1.8094532803030194</v>
          </cell>
          <cell r="G173">
            <v>1.1108195314244027</v>
          </cell>
          <cell r="H173">
            <v>1.9778</v>
          </cell>
        </row>
        <row r="174">
          <cell r="B174">
            <v>36861</v>
          </cell>
          <cell r="C174">
            <v>36859</v>
          </cell>
          <cell r="D174">
            <v>169</v>
          </cell>
          <cell r="E174">
            <v>16.38</v>
          </cell>
          <cell r="F174">
            <v>1.8063830617582877</v>
          </cell>
          <cell r="G174">
            <v>1.1114883866198144</v>
          </cell>
          <cell r="H174">
            <v>1.9610000000000001</v>
          </cell>
        </row>
        <row r="175">
          <cell r="B175">
            <v>36864</v>
          </cell>
          <cell r="C175">
            <v>36860</v>
          </cell>
          <cell r="D175">
            <v>170</v>
          </cell>
          <cell r="E175">
            <v>16.36</v>
          </cell>
          <cell r="F175">
            <v>1.8043358114263608</v>
          </cell>
          <cell r="G175">
            <v>1.1121568860531352</v>
          </cell>
          <cell r="H175">
            <v>1.9596</v>
          </cell>
        </row>
        <row r="176">
          <cell r="B176">
            <v>36865</v>
          </cell>
          <cell r="C176">
            <v>36861</v>
          </cell>
          <cell r="D176">
            <v>171</v>
          </cell>
          <cell r="E176">
            <v>16.37</v>
          </cell>
          <cell r="F176">
            <v>1.8053594803992823</v>
          </cell>
          <cell r="G176">
            <v>1.1128261670457777</v>
          </cell>
          <cell r="H176">
            <v>1.9795</v>
          </cell>
        </row>
        <row r="177">
          <cell r="B177">
            <v>36866</v>
          </cell>
          <cell r="C177">
            <v>36864</v>
          </cell>
          <cell r="D177">
            <v>172</v>
          </cell>
          <cell r="E177">
            <v>16.36</v>
          </cell>
          <cell r="F177">
            <v>1.8043358114263608</v>
          </cell>
          <cell r="G177">
            <v>1.1134954710808087</v>
          </cell>
          <cell r="H177">
            <v>1.9846999999999999</v>
          </cell>
        </row>
        <row r="178">
          <cell r="B178">
            <v>36867</v>
          </cell>
          <cell r="C178">
            <v>36865</v>
          </cell>
          <cell r="D178">
            <v>173</v>
          </cell>
          <cell r="E178">
            <v>16.36</v>
          </cell>
          <cell r="F178">
            <v>1.8043358114263608</v>
          </cell>
          <cell r="G178">
            <v>1.1141651776655861</v>
          </cell>
          <cell r="H178">
            <v>1.9648000000000001</v>
          </cell>
        </row>
        <row r="179">
          <cell r="B179">
            <v>36868</v>
          </cell>
          <cell r="C179">
            <v>36866</v>
          </cell>
          <cell r="D179">
            <v>174</v>
          </cell>
          <cell r="E179">
            <v>16.350000000000001</v>
          </cell>
          <cell r="F179">
            <v>1.8033120548242021</v>
          </cell>
          <cell r="G179">
            <v>1.1148349068309027</v>
          </cell>
          <cell r="H179">
            <v>1.9657</v>
          </cell>
        </row>
        <row r="180">
          <cell r="B180">
            <v>36871</v>
          </cell>
          <cell r="C180">
            <v>36867</v>
          </cell>
          <cell r="D180">
            <v>175</v>
          </cell>
          <cell r="E180">
            <v>16.34</v>
          </cell>
          <cell r="F180">
            <v>1.8022882105781513</v>
          </cell>
          <cell r="G180">
            <v>1.1155046581006769</v>
          </cell>
          <cell r="H180">
            <v>1.9698</v>
          </cell>
        </row>
        <row r="181">
          <cell r="B181">
            <v>36872</v>
          </cell>
          <cell r="C181">
            <v>36868</v>
          </cell>
          <cell r="D181">
            <v>176</v>
          </cell>
          <cell r="E181">
            <v>16.34</v>
          </cell>
          <cell r="F181">
            <v>1.8022882105781513</v>
          </cell>
          <cell r="G181">
            <v>1.1161748117320569</v>
          </cell>
          <cell r="H181">
            <v>1.9695</v>
          </cell>
        </row>
        <row r="182">
          <cell r="B182">
            <v>36873</v>
          </cell>
          <cell r="C182">
            <v>36871</v>
          </cell>
          <cell r="D182">
            <v>177</v>
          </cell>
          <cell r="E182">
            <v>16.329999999999998</v>
          </cell>
          <cell r="F182">
            <v>1.8012642786728872</v>
          </cell>
          <cell r="G182">
            <v>1.1168449870044328</v>
          </cell>
          <cell r="H182">
            <v>1.9648000000000001</v>
          </cell>
        </row>
        <row r="183">
          <cell r="B183">
            <v>36874</v>
          </cell>
          <cell r="C183">
            <v>36872</v>
          </cell>
          <cell r="D183">
            <v>178</v>
          </cell>
          <cell r="E183">
            <v>16.32</v>
          </cell>
          <cell r="F183">
            <v>1.800240259093755</v>
          </cell>
          <cell r="G183">
            <v>1.1175151834406902</v>
          </cell>
          <cell r="H183">
            <v>1.9676</v>
          </cell>
        </row>
        <row r="184">
          <cell r="B184">
            <v>36875</v>
          </cell>
          <cell r="C184">
            <v>36873</v>
          </cell>
          <cell r="D184">
            <v>179</v>
          </cell>
          <cell r="E184">
            <v>16.309999999999999</v>
          </cell>
          <cell r="F184">
            <v>1.7992161518254335</v>
          </cell>
          <cell r="G184">
            <v>1.1181854005633425</v>
          </cell>
          <cell r="H184">
            <v>1.9622999999999999</v>
          </cell>
        </row>
        <row r="185">
          <cell r="B185">
            <v>36878</v>
          </cell>
          <cell r="C185">
            <v>36874</v>
          </cell>
          <cell r="D185">
            <v>180</v>
          </cell>
          <cell r="E185">
            <v>16.3</v>
          </cell>
          <cell r="F185">
            <v>1.7981919568532678</v>
          </cell>
          <cell r="G185">
            <v>1.1188556378945305</v>
          </cell>
          <cell r="H185">
            <v>1.9635</v>
          </cell>
        </row>
        <row r="186">
          <cell r="B186">
            <v>36879</v>
          </cell>
          <cell r="C186">
            <v>36875</v>
          </cell>
          <cell r="D186">
            <v>181</v>
          </cell>
          <cell r="E186">
            <v>16.3</v>
          </cell>
          <cell r="F186">
            <v>1.7981919568532678</v>
          </cell>
          <cell r="G186">
            <v>1.1195262769641778</v>
          </cell>
          <cell r="H186">
            <v>1.9678</v>
          </cell>
        </row>
        <row r="187">
          <cell r="B187">
            <v>36880</v>
          </cell>
          <cell r="C187">
            <v>36878</v>
          </cell>
          <cell r="D187">
            <v>182</v>
          </cell>
          <cell r="E187">
            <v>16.28</v>
          </cell>
          <cell r="F187">
            <v>1.7961433037354535</v>
          </cell>
          <cell r="G187">
            <v>1.1201965535060863</v>
          </cell>
          <cell r="H187">
            <v>1.9539</v>
          </cell>
        </row>
        <row r="188">
          <cell r="B188">
            <v>36881</v>
          </cell>
          <cell r="C188">
            <v>36879</v>
          </cell>
          <cell r="D188">
            <v>183</v>
          </cell>
          <cell r="E188">
            <v>16.260000000000002</v>
          </cell>
          <cell r="F188">
            <v>1.794094299621074</v>
          </cell>
          <cell r="G188">
            <v>1.1208664662564531</v>
          </cell>
          <cell r="H188">
            <v>1.9556</v>
          </cell>
        </row>
        <row r="189">
          <cell r="B189">
            <v>36882</v>
          </cell>
          <cell r="C189">
            <v>36880</v>
          </cell>
          <cell r="D189">
            <v>184</v>
          </cell>
          <cell r="E189">
            <v>16.02</v>
          </cell>
          <cell r="F189">
            <v>1.7694788285163021</v>
          </cell>
          <cell r="G189">
            <v>1.1215275827503313</v>
          </cell>
          <cell r="H189">
            <v>1.9559</v>
          </cell>
        </row>
        <row r="190">
          <cell r="B190">
            <v>36886</v>
          </cell>
          <cell r="C190">
            <v>36881</v>
          </cell>
          <cell r="D190">
            <v>185</v>
          </cell>
          <cell r="E190">
            <v>15.74</v>
          </cell>
          <cell r="F190">
            <v>1.7406965964359422</v>
          </cell>
          <cell r="G190">
            <v>1.1221783291656988</v>
          </cell>
          <cell r="H190">
            <v>1.9578</v>
          </cell>
        </row>
        <row r="191">
          <cell r="B191">
            <v>36887</v>
          </cell>
          <cell r="C191">
            <v>36882</v>
          </cell>
          <cell r="D191">
            <v>186</v>
          </cell>
          <cell r="E191">
            <v>15.73</v>
          </cell>
          <cell r="F191">
            <v>1.7396673773233395</v>
          </cell>
          <cell r="G191">
            <v>1.1228290681759618</v>
          </cell>
          <cell r="H191">
            <v>1.9523999999999999</v>
          </cell>
        </row>
        <row r="192">
          <cell r="B192">
            <v>36888</v>
          </cell>
          <cell r="C192">
            <v>36886</v>
          </cell>
          <cell r="D192">
            <v>187</v>
          </cell>
          <cell r="E192">
            <v>15.72</v>
          </cell>
          <cell r="F192">
            <v>1.738638069627596</v>
          </cell>
          <cell r="G192">
            <v>1.123479799297167</v>
          </cell>
          <cell r="H192">
            <v>1.9578</v>
          </cell>
        </row>
        <row r="193">
          <cell r="B193">
            <v>36889</v>
          </cell>
          <cell r="C193">
            <v>36887</v>
          </cell>
          <cell r="D193">
            <v>188</v>
          </cell>
          <cell r="E193">
            <v>15.72</v>
          </cell>
          <cell r="F193">
            <v>1.738638069627596</v>
          </cell>
          <cell r="G193">
            <v>1.1241309075470056</v>
          </cell>
          <cell r="H193">
            <v>1.9578</v>
          </cell>
        </row>
        <row r="194">
          <cell r="B194">
            <v>36890</v>
          </cell>
          <cell r="C194">
            <v>36888</v>
          </cell>
          <cell r="D194">
            <v>189</v>
          </cell>
          <cell r="E194">
            <v>15.72</v>
          </cell>
          <cell r="F194">
            <v>1.738638069627596</v>
          </cell>
          <cell r="G194">
            <v>1.124782393144041</v>
          </cell>
          <cell r="H194">
            <v>1.9578</v>
          </cell>
        </row>
        <row r="195">
          <cell r="B195">
            <v>36891</v>
          </cell>
          <cell r="C195">
            <v>36889</v>
          </cell>
          <cell r="D195">
            <v>190</v>
          </cell>
          <cell r="E195">
            <v>15.72</v>
          </cell>
          <cell r="F195">
            <v>1.738638069627596</v>
          </cell>
          <cell r="G195">
            <v>1.1254342563069635</v>
          </cell>
          <cell r="H195">
            <v>1.9578</v>
          </cell>
        </row>
        <row r="196">
          <cell r="B196">
            <v>36892</v>
          </cell>
          <cell r="C196">
            <v>36890</v>
          </cell>
          <cell r="D196">
            <v>191</v>
          </cell>
          <cell r="E196">
            <v>15.72</v>
          </cell>
          <cell r="F196">
            <v>1.738638069627596</v>
          </cell>
          <cell r="G196">
            <v>1.1260864972545896</v>
          </cell>
          <cell r="H196">
            <v>1.9578</v>
          </cell>
        </row>
        <row r="197">
          <cell r="B197">
            <v>36893</v>
          </cell>
          <cell r="C197">
            <v>36891</v>
          </cell>
          <cell r="D197">
            <v>192</v>
          </cell>
          <cell r="E197">
            <v>15.72</v>
          </cell>
          <cell r="F197">
            <v>1.738638069627596</v>
          </cell>
          <cell r="G197">
            <v>1.1267391162058631</v>
          </cell>
          <cell r="H197">
            <v>1.9578</v>
          </cell>
        </row>
        <row r="198">
          <cell r="B198">
            <v>36894</v>
          </cell>
          <cell r="C198">
            <v>36892</v>
          </cell>
          <cell r="D198">
            <v>193</v>
          </cell>
          <cell r="E198">
            <v>15.72</v>
          </cell>
          <cell r="F198">
            <v>1.738638069627596</v>
          </cell>
          <cell r="G198">
            <v>1.1273921133798543</v>
          </cell>
          <cell r="H198">
            <v>1.9578</v>
          </cell>
        </row>
        <row r="199">
          <cell r="B199">
            <v>36895</v>
          </cell>
          <cell r="C199">
            <v>36893</v>
          </cell>
          <cell r="D199">
            <v>194</v>
          </cell>
          <cell r="E199">
            <v>15.72</v>
          </cell>
          <cell r="F199">
            <v>1.738638069627596</v>
          </cell>
          <cell r="G199">
            <v>1.128045488995761</v>
          </cell>
          <cell r="H199">
            <v>1.9578</v>
          </cell>
        </row>
        <row r="200">
          <cell r="B200">
            <v>36896</v>
          </cell>
          <cell r="C200">
            <v>36894</v>
          </cell>
          <cell r="D200">
            <v>195</v>
          </cell>
          <cell r="E200">
            <v>15.72</v>
          </cell>
          <cell r="F200">
            <v>1.738638069627596</v>
          </cell>
          <cell r="G200">
            <v>1.1286992432729075</v>
          </cell>
          <cell r="H200">
            <v>1.9578</v>
          </cell>
        </row>
        <row r="201">
          <cell r="B201">
            <v>36897</v>
          </cell>
          <cell r="C201">
            <v>36895</v>
          </cell>
          <cell r="D201">
            <v>196</v>
          </cell>
          <cell r="E201">
            <v>15.72</v>
          </cell>
          <cell r="F201">
            <v>1.738638069627596</v>
          </cell>
          <cell r="G201">
            <v>1.1293533764307455</v>
          </cell>
          <cell r="H201">
            <v>1.9578</v>
          </cell>
        </row>
        <row r="202">
          <cell r="B202">
            <v>36898</v>
          </cell>
          <cell r="C202">
            <v>36896</v>
          </cell>
          <cell r="D202">
            <v>197</v>
          </cell>
          <cell r="E202">
            <v>15.72</v>
          </cell>
          <cell r="F202">
            <v>1.738638069627596</v>
          </cell>
          <cell r="G202">
            <v>1.1300078886888538</v>
          </cell>
          <cell r="H202">
            <v>1.9578</v>
          </cell>
        </row>
        <row r="203">
          <cell r="B203">
            <v>36899</v>
          </cell>
          <cell r="C203">
            <v>36897</v>
          </cell>
          <cell r="D203">
            <v>198</v>
          </cell>
          <cell r="E203">
            <v>15.72</v>
          </cell>
          <cell r="F203">
            <v>1.738638069627596</v>
          </cell>
          <cell r="G203">
            <v>1.1306627802669384</v>
          </cell>
          <cell r="H203">
            <v>1.9578</v>
          </cell>
        </row>
        <row r="204">
          <cell r="B204">
            <v>36900</v>
          </cell>
          <cell r="C204">
            <v>36898</v>
          </cell>
          <cell r="D204">
            <v>199</v>
          </cell>
          <cell r="E204">
            <v>15.72</v>
          </cell>
          <cell r="F204">
            <v>1.738638069627596</v>
          </cell>
          <cell r="G204">
            <v>1.1313180513848329</v>
          </cell>
          <cell r="H204">
            <v>1.9578</v>
          </cell>
        </row>
        <row r="205">
          <cell r="B205">
            <v>36901</v>
          </cell>
          <cell r="C205">
            <v>36899</v>
          </cell>
          <cell r="D205">
            <v>200</v>
          </cell>
          <cell r="E205">
            <v>15.72</v>
          </cell>
          <cell r="F205">
            <v>1.738638069627596</v>
          </cell>
          <cell r="G205">
            <v>1.1319737022624978</v>
          </cell>
          <cell r="H205">
            <v>1.9578</v>
          </cell>
        </row>
        <row r="206">
          <cell r="B206">
            <v>36902</v>
          </cell>
          <cell r="C206">
            <v>36900</v>
          </cell>
          <cell r="D206">
            <v>201</v>
          </cell>
          <cell r="E206">
            <v>15.72</v>
          </cell>
          <cell r="F206">
            <v>1.738638069627596</v>
          </cell>
          <cell r="G206">
            <v>1.1326297331200215</v>
          </cell>
          <cell r="H206">
            <v>1.9578</v>
          </cell>
        </row>
        <row r="207">
          <cell r="B207">
            <v>36903</v>
          </cell>
          <cell r="C207">
            <v>36901</v>
          </cell>
          <cell r="D207">
            <v>202</v>
          </cell>
          <cell r="E207">
            <v>15.72</v>
          </cell>
          <cell r="F207">
            <v>1.738638069627596</v>
          </cell>
          <cell r="G207">
            <v>1.1332861441776196</v>
          </cell>
          <cell r="H207">
            <v>1.9578</v>
          </cell>
        </row>
        <row r="208">
          <cell r="B208">
            <v>36904</v>
          </cell>
          <cell r="C208">
            <v>36902</v>
          </cell>
          <cell r="D208">
            <v>203</v>
          </cell>
          <cell r="E208">
            <v>15.72</v>
          </cell>
          <cell r="F208">
            <v>1.738638069627596</v>
          </cell>
          <cell r="G208">
            <v>1.1339429356556359</v>
          </cell>
          <cell r="H208">
            <v>1.9578</v>
          </cell>
        </row>
        <row r="209">
          <cell r="B209">
            <v>36905</v>
          </cell>
          <cell r="C209">
            <v>36903</v>
          </cell>
          <cell r="D209">
            <v>204</v>
          </cell>
          <cell r="E209">
            <v>15.72</v>
          </cell>
          <cell r="F209">
            <v>1.738638069627596</v>
          </cell>
          <cell r="G209">
            <v>1.1346001077745413</v>
          </cell>
          <cell r="H209">
            <v>1.9578</v>
          </cell>
        </row>
        <row r="210">
          <cell r="B210">
            <v>36906</v>
          </cell>
          <cell r="C210">
            <v>36904</v>
          </cell>
          <cell r="D210">
            <v>205</v>
          </cell>
          <cell r="E210">
            <v>15.72</v>
          </cell>
          <cell r="F210">
            <v>1.738638069627596</v>
          </cell>
          <cell r="G210">
            <v>1.1352576607549347</v>
          </cell>
          <cell r="H210">
            <v>1.9578</v>
          </cell>
        </row>
        <row r="211">
          <cell r="B211">
            <v>36907</v>
          </cell>
          <cell r="C211">
            <v>36905</v>
          </cell>
          <cell r="D211">
            <v>206</v>
          </cell>
          <cell r="E211">
            <v>15.72</v>
          </cell>
          <cell r="F211">
            <v>1.738638069627596</v>
          </cell>
          <cell r="G211">
            <v>1.135915594817543</v>
          </cell>
          <cell r="H211">
            <v>1.9578</v>
          </cell>
        </row>
        <row r="212">
          <cell r="B212">
            <v>36908</v>
          </cell>
          <cell r="C212">
            <v>36906</v>
          </cell>
          <cell r="D212">
            <v>207</v>
          </cell>
          <cell r="E212">
            <v>15.72</v>
          </cell>
          <cell r="F212">
            <v>1.738638069627596</v>
          </cell>
          <cell r="G212">
            <v>1.1365739101832208</v>
          </cell>
          <cell r="H212">
            <v>1.9578</v>
          </cell>
        </row>
        <row r="213">
          <cell r="B213">
            <v>36909</v>
          </cell>
          <cell r="C213">
            <v>36907</v>
          </cell>
          <cell r="D213">
            <v>208</v>
          </cell>
          <cell r="E213">
            <v>15.72</v>
          </cell>
          <cell r="F213">
            <v>1.738638069627596</v>
          </cell>
          <cell r="G213">
            <v>1.1372326070729508</v>
          </cell>
          <cell r="H213">
            <v>1.9578</v>
          </cell>
        </row>
        <row r="214">
          <cell r="B214">
            <v>36910</v>
          </cell>
          <cell r="C214">
            <v>36908</v>
          </cell>
          <cell r="D214">
            <v>209</v>
          </cell>
          <cell r="E214">
            <v>15.72</v>
          </cell>
          <cell r="F214">
            <v>1.738638069627596</v>
          </cell>
          <cell r="G214">
            <v>1.1378916857078438</v>
          </cell>
          <cell r="H214">
            <v>1.9578</v>
          </cell>
        </row>
        <row r="215">
          <cell r="B215">
            <v>36911</v>
          </cell>
          <cell r="C215">
            <v>36909</v>
          </cell>
          <cell r="D215">
            <v>210</v>
          </cell>
          <cell r="E215">
            <v>15.72</v>
          </cell>
          <cell r="F215">
            <v>1.738638069627596</v>
          </cell>
          <cell r="G215">
            <v>1.1385511463091387</v>
          </cell>
          <cell r="H215">
            <v>1.9578</v>
          </cell>
        </row>
        <row r="216">
          <cell r="B216">
            <v>36912</v>
          </cell>
          <cell r="C216">
            <v>36910</v>
          </cell>
          <cell r="D216">
            <v>211</v>
          </cell>
          <cell r="E216">
            <v>15.72</v>
          </cell>
          <cell r="F216">
            <v>1.738638069627596</v>
          </cell>
          <cell r="G216">
            <v>1.1392109890982025</v>
          </cell>
          <cell r="H216">
            <v>1.9578</v>
          </cell>
        </row>
        <row r="217">
          <cell r="B217">
            <v>36913</v>
          </cell>
          <cell r="C217">
            <v>36911</v>
          </cell>
          <cell r="D217">
            <v>212</v>
          </cell>
          <cell r="E217">
            <v>15.72</v>
          </cell>
          <cell r="F217">
            <v>1.738638069627596</v>
          </cell>
          <cell r="G217">
            <v>1.1398712142965306</v>
          </cell>
          <cell r="H217">
            <v>1.9578</v>
          </cell>
        </row>
        <row r="218">
          <cell r="B218">
            <v>36914</v>
          </cell>
          <cell r="C218">
            <v>36912</v>
          </cell>
          <cell r="D218">
            <v>213</v>
          </cell>
          <cell r="E218">
            <v>15.72</v>
          </cell>
          <cell r="F218">
            <v>1.738638069627596</v>
          </cell>
          <cell r="G218">
            <v>1.1405318221257468</v>
          </cell>
          <cell r="H218">
            <v>1.9578</v>
          </cell>
        </row>
        <row r="219">
          <cell r="B219">
            <v>36915</v>
          </cell>
          <cell r="C219">
            <v>36913</v>
          </cell>
          <cell r="D219">
            <v>214</v>
          </cell>
          <cell r="E219">
            <v>15.72</v>
          </cell>
          <cell r="F219">
            <v>1.738638069627596</v>
          </cell>
          <cell r="G219">
            <v>1.1411928128076032</v>
          </cell>
          <cell r="H219">
            <v>1.9578</v>
          </cell>
        </row>
        <row r="220">
          <cell r="B220">
            <v>36916</v>
          </cell>
          <cell r="C220">
            <v>36914</v>
          </cell>
          <cell r="D220">
            <v>215</v>
          </cell>
          <cell r="E220">
            <v>15.72</v>
          </cell>
          <cell r="F220">
            <v>1.738638069627596</v>
          </cell>
          <cell r="G220">
            <v>1.1418541865639809</v>
          </cell>
          <cell r="H220">
            <v>1.9578</v>
          </cell>
        </row>
        <row r="221">
          <cell r="B221">
            <v>36917</v>
          </cell>
          <cell r="C221">
            <v>36915</v>
          </cell>
          <cell r="D221">
            <v>216</v>
          </cell>
          <cell r="E221">
            <v>15.72</v>
          </cell>
          <cell r="F221">
            <v>1.738638069627596</v>
          </cell>
          <cell r="G221">
            <v>1.1425159436168888</v>
          </cell>
          <cell r="H221">
            <v>1.9578</v>
          </cell>
        </row>
        <row r="222">
          <cell r="B222">
            <v>36918</v>
          </cell>
          <cell r="C222">
            <v>36916</v>
          </cell>
          <cell r="D222">
            <v>217</v>
          </cell>
          <cell r="E222">
            <v>15.72</v>
          </cell>
          <cell r="F222">
            <v>1.738638069627596</v>
          </cell>
          <cell r="G222">
            <v>1.1431780841884651</v>
          </cell>
          <cell r="H222">
            <v>1.9578</v>
          </cell>
        </row>
        <row r="223">
          <cell r="B223">
            <v>36919</v>
          </cell>
          <cell r="C223">
            <v>36917</v>
          </cell>
          <cell r="D223">
            <v>218</v>
          </cell>
          <cell r="E223">
            <v>15.72</v>
          </cell>
          <cell r="F223">
            <v>1.738638069627596</v>
          </cell>
          <cell r="G223">
            <v>1.1438406085009765</v>
          </cell>
          <cell r="H223">
            <v>1.9578</v>
          </cell>
        </row>
        <row r="224">
          <cell r="B224">
            <v>36920</v>
          </cell>
          <cell r="C224">
            <v>36918</v>
          </cell>
          <cell r="D224">
            <v>219</v>
          </cell>
          <cell r="E224">
            <v>15.72</v>
          </cell>
          <cell r="F224">
            <v>1.738638069627596</v>
          </cell>
          <cell r="G224">
            <v>1.1445035167768185</v>
          </cell>
          <cell r="H224">
            <v>1.9578</v>
          </cell>
        </row>
        <row r="225">
          <cell r="B225">
            <v>36921</v>
          </cell>
          <cell r="C225">
            <v>36919</v>
          </cell>
          <cell r="D225">
            <v>220</v>
          </cell>
          <cell r="E225">
            <v>15.72</v>
          </cell>
          <cell r="F225">
            <v>1.738638069627596</v>
          </cell>
          <cell r="G225">
            <v>1.1451668092385154</v>
          </cell>
          <cell r="H225">
            <v>1.9578</v>
          </cell>
        </row>
        <row r="226">
          <cell r="B226">
            <v>36922</v>
          </cell>
          <cell r="C226">
            <v>36920</v>
          </cell>
          <cell r="D226">
            <v>221</v>
          </cell>
          <cell r="E226">
            <v>15.72</v>
          </cell>
          <cell r="F226">
            <v>1.738638069627596</v>
          </cell>
          <cell r="G226">
            <v>1.1458304861087207</v>
          </cell>
          <cell r="H226">
            <v>1.9578</v>
          </cell>
        </row>
        <row r="227">
          <cell r="B227">
            <v>36923</v>
          </cell>
          <cell r="C227">
            <v>36921</v>
          </cell>
          <cell r="D227">
            <v>222</v>
          </cell>
          <cell r="E227">
            <v>15.72</v>
          </cell>
          <cell r="F227">
            <v>1.738638069627596</v>
          </cell>
          <cell r="G227">
            <v>1.1464945476102169</v>
          </cell>
          <cell r="H227">
            <v>1.9578</v>
          </cell>
        </row>
        <row r="228">
          <cell r="B228">
            <v>36924</v>
          </cell>
          <cell r="C228">
            <v>36922</v>
          </cell>
          <cell r="D228">
            <v>223</v>
          </cell>
          <cell r="E228">
            <v>15.72</v>
          </cell>
          <cell r="F228">
            <v>1.738638069627596</v>
          </cell>
          <cell r="G228">
            <v>1.1471589939659155</v>
          </cell>
          <cell r="H228">
            <v>1.9578</v>
          </cell>
        </row>
        <row r="229">
          <cell r="B229">
            <v>36925</v>
          </cell>
          <cell r="C229">
            <v>36923</v>
          </cell>
          <cell r="D229">
            <v>224</v>
          </cell>
          <cell r="E229">
            <v>15.72</v>
          </cell>
          <cell r="F229">
            <v>1.738638069627596</v>
          </cell>
          <cell r="G229">
            <v>1.1478238253988571</v>
          </cell>
          <cell r="H229">
            <v>1.9578</v>
          </cell>
        </row>
        <row r="230">
          <cell r="B230">
            <v>36926</v>
          </cell>
          <cell r="C230">
            <v>36924</v>
          </cell>
          <cell r="D230">
            <v>225</v>
          </cell>
          <cell r="E230">
            <v>15.72</v>
          </cell>
          <cell r="F230">
            <v>1.738638069627596</v>
          </cell>
          <cell r="G230">
            <v>1.1484890421322118</v>
          </cell>
          <cell r="H230">
            <v>1.9578</v>
          </cell>
        </row>
        <row r="231">
          <cell r="B231">
            <v>36927</v>
          </cell>
          <cell r="C231">
            <v>36925</v>
          </cell>
          <cell r="D231">
            <v>226</v>
          </cell>
          <cell r="E231">
            <v>15.72</v>
          </cell>
          <cell r="F231">
            <v>1.738638069627596</v>
          </cell>
          <cell r="G231">
            <v>1.1491546443892788</v>
          </cell>
          <cell r="H231">
            <v>1.9578</v>
          </cell>
        </row>
        <row r="232">
          <cell r="B232">
            <v>36928</v>
          </cell>
          <cell r="C232">
            <v>36926</v>
          </cell>
          <cell r="D232">
            <v>227</v>
          </cell>
          <cell r="E232">
            <v>15.72</v>
          </cell>
          <cell r="F232">
            <v>1.738638069627596</v>
          </cell>
          <cell r="G232">
            <v>1.149820632393487</v>
          </cell>
          <cell r="H232">
            <v>1.9578</v>
          </cell>
        </row>
        <row r="233">
          <cell r="B233">
            <v>36929</v>
          </cell>
          <cell r="C233">
            <v>36927</v>
          </cell>
          <cell r="D233">
            <v>228</v>
          </cell>
          <cell r="E233">
            <v>15.72</v>
          </cell>
          <cell r="F233">
            <v>1.738638069627596</v>
          </cell>
          <cell r="G233">
            <v>1.1504870063683945</v>
          </cell>
          <cell r="H233">
            <v>1.9578</v>
          </cell>
        </row>
        <row r="234">
          <cell r="B234">
            <v>36930</v>
          </cell>
          <cell r="C234">
            <v>36928</v>
          </cell>
          <cell r="D234">
            <v>229</v>
          </cell>
          <cell r="E234">
            <v>15.72</v>
          </cell>
          <cell r="F234">
            <v>1.738638069627596</v>
          </cell>
          <cell r="G234">
            <v>1.1511537665376892</v>
          </cell>
          <cell r="H234">
            <v>1.9578</v>
          </cell>
        </row>
        <row r="235">
          <cell r="B235">
            <v>36931</v>
          </cell>
          <cell r="C235">
            <v>36929</v>
          </cell>
          <cell r="D235">
            <v>230</v>
          </cell>
          <cell r="E235">
            <v>15.72</v>
          </cell>
          <cell r="F235">
            <v>1.738638069627596</v>
          </cell>
          <cell r="G235">
            <v>1.1518209131251884</v>
          </cell>
          <cell r="H235">
            <v>1.9578</v>
          </cell>
        </row>
        <row r="236">
          <cell r="B236">
            <v>36932</v>
          </cell>
          <cell r="C236">
            <v>36930</v>
          </cell>
          <cell r="D236">
            <v>231</v>
          </cell>
          <cell r="E236">
            <v>15.72</v>
          </cell>
          <cell r="F236">
            <v>1.738638069627596</v>
          </cell>
          <cell r="G236">
            <v>1.1524884463548393</v>
          </cell>
          <cell r="H236">
            <v>1.9578</v>
          </cell>
        </row>
        <row r="237">
          <cell r="B237">
            <v>36933</v>
          </cell>
          <cell r="C237">
            <v>36931</v>
          </cell>
          <cell r="D237">
            <v>232</v>
          </cell>
          <cell r="E237">
            <v>15.72</v>
          </cell>
          <cell r="F237">
            <v>1.738638069627596</v>
          </cell>
          <cell r="G237">
            <v>1.1531563664507187</v>
          </cell>
          <cell r="H237">
            <v>1.9578</v>
          </cell>
        </row>
        <row r="238">
          <cell r="B238">
            <v>36934</v>
          </cell>
          <cell r="C238">
            <v>36932</v>
          </cell>
          <cell r="D238">
            <v>233</v>
          </cell>
          <cell r="E238">
            <v>15.72</v>
          </cell>
          <cell r="F238">
            <v>1.738638069627596</v>
          </cell>
          <cell r="G238">
            <v>1.1538246736370337</v>
          </cell>
          <cell r="H238">
            <v>1.9578</v>
          </cell>
        </row>
        <row r="239">
          <cell r="B239">
            <v>36935</v>
          </cell>
          <cell r="C239">
            <v>36933</v>
          </cell>
          <cell r="D239">
            <v>234</v>
          </cell>
          <cell r="E239">
            <v>15.72</v>
          </cell>
          <cell r="F239">
            <v>1.738638069627596</v>
          </cell>
          <cell r="G239">
            <v>1.1544933681381206</v>
          </cell>
          <cell r="H239">
            <v>1.9578</v>
          </cell>
        </row>
        <row r="240">
          <cell r="B240">
            <v>36936</v>
          </cell>
          <cell r="C240">
            <v>36934</v>
          </cell>
          <cell r="D240">
            <v>235</v>
          </cell>
          <cell r="E240">
            <v>15.72</v>
          </cell>
          <cell r="F240">
            <v>1.738638069627596</v>
          </cell>
          <cell r="G240">
            <v>1.1551624501784465</v>
          </cell>
          <cell r="H240">
            <v>1.9578</v>
          </cell>
        </row>
        <row r="241">
          <cell r="B241">
            <v>36937</v>
          </cell>
          <cell r="C241">
            <v>36935</v>
          </cell>
          <cell r="D241">
            <v>236</v>
          </cell>
          <cell r="E241">
            <v>15.72</v>
          </cell>
          <cell r="F241">
            <v>1.738638069627596</v>
          </cell>
          <cell r="G241">
            <v>1.1558319199826081</v>
          </cell>
          <cell r="H241">
            <v>1.9578</v>
          </cell>
        </row>
        <row r="242">
          <cell r="B242">
            <v>36938</v>
          </cell>
          <cell r="C242">
            <v>36936</v>
          </cell>
          <cell r="D242">
            <v>237</v>
          </cell>
          <cell r="E242">
            <v>15.72</v>
          </cell>
          <cell r="F242">
            <v>1.738638069627596</v>
          </cell>
          <cell r="G242">
            <v>1.1565017777753324</v>
          </cell>
          <cell r="H242">
            <v>1.9578</v>
          </cell>
        </row>
        <row r="243">
          <cell r="B243">
            <v>36939</v>
          </cell>
          <cell r="C243">
            <v>36937</v>
          </cell>
          <cell r="D243">
            <v>238</v>
          </cell>
          <cell r="E243">
            <v>15.72</v>
          </cell>
          <cell r="F243">
            <v>1.738638069627596</v>
          </cell>
          <cell r="G243">
            <v>1.1571720237814764</v>
          </cell>
          <cell r="H243">
            <v>1.9578</v>
          </cell>
        </row>
        <row r="244">
          <cell r="B244">
            <v>36940</v>
          </cell>
          <cell r="C244">
            <v>36938</v>
          </cell>
          <cell r="D244">
            <v>239</v>
          </cell>
          <cell r="E244">
            <v>15.72</v>
          </cell>
          <cell r="F244">
            <v>1.738638069627596</v>
          </cell>
          <cell r="G244">
            <v>1.1578426582260279</v>
          </cell>
          <cell r="H244">
            <v>1.9578</v>
          </cell>
        </row>
        <row r="245">
          <cell r="B245">
            <v>36941</v>
          </cell>
          <cell r="C245">
            <v>36939</v>
          </cell>
          <cell r="D245">
            <v>240</v>
          </cell>
          <cell r="E245">
            <v>15.72</v>
          </cell>
          <cell r="F245">
            <v>1.738638069627596</v>
          </cell>
          <cell r="G245">
            <v>1.1585136813341048</v>
          </cell>
          <cell r="H245">
            <v>1.9578</v>
          </cell>
        </row>
        <row r="246">
          <cell r="B246">
            <v>36942</v>
          </cell>
          <cell r="C246">
            <v>36940</v>
          </cell>
          <cell r="D246">
            <v>241</v>
          </cell>
          <cell r="E246">
            <v>15.72</v>
          </cell>
          <cell r="F246">
            <v>1.738638069627596</v>
          </cell>
          <cell r="G246">
            <v>1.1591850933309555</v>
          </cell>
          <cell r="H246">
            <v>1.9578</v>
          </cell>
        </row>
        <row r="247">
          <cell r="B247">
            <v>36943</v>
          </cell>
          <cell r="C247">
            <v>36941</v>
          </cell>
          <cell r="D247">
            <v>242</v>
          </cell>
          <cell r="E247">
            <v>15.72</v>
          </cell>
          <cell r="F247">
            <v>1.738638069627596</v>
          </cell>
          <cell r="G247">
            <v>1.1598568944419589</v>
          </cell>
          <cell r="H247">
            <v>1.9578</v>
          </cell>
        </row>
        <row r="248">
          <cell r="B248">
            <v>36944</v>
          </cell>
          <cell r="C248">
            <v>36942</v>
          </cell>
          <cell r="D248">
            <v>243</v>
          </cell>
          <cell r="E248">
            <v>15.72</v>
          </cell>
          <cell r="F248">
            <v>1.738638069627596</v>
          </cell>
          <cell r="G248">
            <v>1.1605290848926246</v>
          </cell>
          <cell r="H248">
            <v>1.9578</v>
          </cell>
        </row>
        <row r="249">
          <cell r="B249">
            <v>36945</v>
          </cell>
          <cell r="C249">
            <v>36943</v>
          </cell>
          <cell r="D249">
            <v>244</v>
          </cell>
          <cell r="E249">
            <v>15.72</v>
          </cell>
          <cell r="F249">
            <v>1.738638069627596</v>
          </cell>
          <cell r="G249">
            <v>1.1612016649085928</v>
          </cell>
          <cell r="H249">
            <v>1.9578</v>
          </cell>
        </row>
        <row r="250">
          <cell r="B250">
            <v>36946</v>
          </cell>
          <cell r="C250">
            <v>36944</v>
          </cell>
          <cell r="D250">
            <v>245</v>
          </cell>
          <cell r="E250">
            <v>15.72</v>
          </cell>
          <cell r="F250">
            <v>1.738638069627596</v>
          </cell>
          <cell r="G250">
            <v>1.1618746347156343</v>
          </cell>
          <cell r="H250">
            <v>1.9578</v>
          </cell>
        </row>
        <row r="251">
          <cell r="B251">
            <v>36947</v>
          </cell>
          <cell r="C251">
            <v>36945</v>
          </cell>
          <cell r="D251">
            <v>246</v>
          </cell>
          <cell r="E251">
            <v>15.72</v>
          </cell>
          <cell r="F251">
            <v>1.738638069627596</v>
          </cell>
          <cell r="G251">
            <v>1.1625479945396515</v>
          </cell>
          <cell r="H251">
            <v>1.9578</v>
          </cell>
        </row>
        <row r="252">
          <cell r="B252">
            <v>36948</v>
          </cell>
          <cell r="C252">
            <v>36946</v>
          </cell>
          <cell r="D252">
            <v>247</v>
          </cell>
          <cell r="E252">
            <v>15.72</v>
          </cell>
          <cell r="F252">
            <v>1.738638069627596</v>
          </cell>
          <cell r="G252">
            <v>1.1632217446066768</v>
          </cell>
          <cell r="H252">
            <v>1.9578</v>
          </cell>
        </row>
        <row r="253">
          <cell r="B253">
            <v>36949</v>
          </cell>
          <cell r="C253">
            <v>36947</v>
          </cell>
          <cell r="D253">
            <v>248</v>
          </cell>
          <cell r="E253">
            <v>15.72</v>
          </cell>
          <cell r="F253">
            <v>1.738638069627596</v>
          </cell>
          <cell r="G253">
            <v>1.163895885142874</v>
          </cell>
          <cell r="H253">
            <v>1.9578</v>
          </cell>
        </row>
        <row r="254">
          <cell r="B254">
            <v>36950</v>
          </cell>
          <cell r="C254">
            <v>36948</v>
          </cell>
          <cell r="D254">
            <v>249</v>
          </cell>
          <cell r="E254">
            <v>15.72</v>
          </cell>
          <cell r="F254">
            <v>1.738638069627596</v>
          </cell>
          <cell r="G254">
            <v>1.1645704163745381</v>
          </cell>
          <cell r="H254">
            <v>1.9578</v>
          </cell>
        </row>
        <row r="255">
          <cell r="B255">
            <v>36951</v>
          </cell>
          <cell r="C255">
            <v>36949</v>
          </cell>
          <cell r="D255">
            <v>250</v>
          </cell>
          <cell r="E255">
            <v>15.72</v>
          </cell>
          <cell r="F255">
            <v>1.738638069627596</v>
          </cell>
          <cell r="G255">
            <v>1.165245338528095</v>
          </cell>
          <cell r="H255">
            <v>1.9578</v>
          </cell>
        </row>
        <row r="256">
          <cell r="B256">
            <v>36952</v>
          </cell>
          <cell r="C256">
            <v>36950</v>
          </cell>
          <cell r="D256">
            <v>251</v>
          </cell>
          <cell r="E256">
            <v>15.72</v>
          </cell>
          <cell r="F256">
            <v>1.738638069627596</v>
          </cell>
          <cell r="G256">
            <v>1.165920651830102</v>
          </cell>
          <cell r="H256">
            <v>1.9578</v>
          </cell>
        </row>
        <row r="257">
          <cell r="B257">
            <v>36953</v>
          </cell>
          <cell r="C257">
            <v>36951</v>
          </cell>
          <cell r="D257">
            <v>252</v>
          </cell>
          <cell r="E257">
            <v>15.72</v>
          </cell>
          <cell r="F257">
            <v>1.738638069627596</v>
          </cell>
          <cell r="G257">
            <v>1.1665963565072475</v>
          </cell>
          <cell r="H257">
            <v>1.9578</v>
          </cell>
        </row>
        <row r="258">
          <cell r="B258">
            <v>36954</v>
          </cell>
          <cell r="C258">
            <v>36952</v>
          </cell>
          <cell r="D258">
            <v>253</v>
          </cell>
          <cell r="E258">
            <v>15.72</v>
          </cell>
          <cell r="F258">
            <v>1.738638069627596</v>
          </cell>
          <cell r="G258">
            <v>1.1672724527863516</v>
          </cell>
          <cell r="H258">
            <v>1.9578</v>
          </cell>
        </row>
        <row r="259">
          <cell r="B259">
            <v>36955</v>
          </cell>
          <cell r="C259">
            <v>36953</v>
          </cell>
          <cell r="D259">
            <v>254</v>
          </cell>
          <cell r="E259">
            <v>15.72</v>
          </cell>
          <cell r="F259">
            <v>1.738638069627596</v>
          </cell>
          <cell r="G259">
            <v>1.1679489408943655</v>
          </cell>
          <cell r="H259">
            <v>1.9578</v>
          </cell>
        </row>
        <row r="260">
          <cell r="B260">
            <v>36956</v>
          </cell>
          <cell r="C260">
            <v>36954</v>
          </cell>
          <cell r="D260">
            <v>255</v>
          </cell>
          <cell r="E260">
            <v>15.72</v>
          </cell>
          <cell r="F260">
            <v>1.738638069627596</v>
          </cell>
          <cell r="G260">
            <v>1.1686258210583722</v>
          </cell>
          <cell r="H260">
            <v>1.9578</v>
          </cell>
        </row>
        <row r="261">
          <cell r="B261">
            <v>36957</v>
          </cell>
          <cell r="C261">
            <v>36955</v>
          </cell>
          <cell r="D261">
            <v>256</v>
          </cell>
          <cell r="E261">
            <v>15.72</v>
          </cell>
          <cell r="F261">
            <v>1.738638069627596</v>
          </cell>
          <cell r="G261">
            <v>1.1693030935055861</v>
          </cell>
          <cell r="H261">
            <v>1.9578</v>
          </cell>
        </row>
        <row r="262">
          <cell r="B262">
            <v>36958</v>
          </cell>
          <cell r="C262">
            <v>36956</v>
          </cell>
          <cell r="D262">
            <v>257</v>
          </cell>
          <cell r="E262">
            <v>15.72</v>
          </cell>
          <cell r="F262">
            <v>1.738638069627596</v>
          </cell>
          <cell r="G262">
            <v>1.1699807584633535</v>
          </cell>
          <cell r="H262">
            <v>1.9578</v>
          </cell>
        </row>
        <row r="263">
          <cell r="B263">
            <v>36959</v>
          </cell>
          <cell r="C263">
            <v>36957</v>
          </cell>
          <cell r="D263">
            <v>258</v>
          </cell>
          <cell r="E263">
            <v>15.72</v>
          </cell>
          <cell r="F263">
            <v>1.738638069627596</v>
          </cell>
          <cell r="G263">
            <v>1.1706588161591522</v>
          </cell>
          <cell r="H263">
            <v>1.9578</v>
          </cell>
        </row>
        <row r="264">
          <cell r="B264">
            <v>36960</v>
          </cell>
          <cell r="C264">
            <v>36958</v>
          </cell>
          <cell r="D264">
            <v>259</v>
          </cell>
          <cell r="E264">
            <v>15.72</v>
          </cell>
          <cell r="F264">
            <v>1.738638069627596</v>
          </cell>
          <cell r="G264">
            <v>1.1713372668205921</v>
          </cell>
          <cell r="H264">
            <v>1.9578</v>
          </cell>
        </row>
        <row r="265">
          <cell r="B265">
            <v>36961</v>
          </cell>
          <cell r="C265">
            <v>36959</v>
          </cell>
          <cell r="D265">
            <v>260</v>
          </cell>
          <cell r="E265">
            <v>15.72</v>
          </cell>
          <cell r="F265">
            <v>1.738638069627596</v>
          </cell>
          <cell r="G265">
            <v>1.1720161106754148</v>
          </cell>
          <cell r="H265">
            <v>1.9578</v>
          </cell>
        </row>
        <row r="266">
          <cell r="B266">
            <v>36962</v>
          </cell>
          <cell r="C266">
            <v>36960</v>
          </cell>
          <cell r="D266">
            <v>261</v>
          </cell>
          <cell r="E266">
            <v>15.72</v>
          </cell>
          <cell r="F266">
            <v>1.738638069627596</v>
          </cell>
          <cell r="G266">
            <v>1.1726953479514939</v>
          </cell>
          <cell r="H266">
            <v>1.9578</v>
          </cell>
        </row>
        <row r="267">
          <cell r="B267">
            <v>36963</v>
          </cell>
          <cell r="C267">
            <v>36961</v>
          </cell>
          <cell r="D267">
            <v>262</v>
          </cell>
          <cell r="E267">
            <v>15.72</v>
          </cell>
          <cell r="F267">
            <v>1.738638069627596</v>
          </cell>
          <cell r="G267">
            <v>1.1733749788768351</v>
          </cell>
          <cell r="H267">
            <v>1.9578</v>
          </cell>
        </row>
        <row r="268">
          <cell r="B268">
            <v>36964</v>
          </cell>
          <cell r="C268">
            <v>36962</v>
          </cell>
          <cell r="D268">
            <v>263</v>
          </cell>
          <cell r="E268">
            <v>15.72</v>
          </cell>
          <cell r="F268">
            <v>1.738638069627596</v>
          </cell>
          <cell r="G268">
            <v>1.1740550036795763</v>
          </cell>
          <cell r="H268">
            <v>1.9578</v>
          </cell>
        </row>
        <row r="269">
          <cell r="B269">
            <v>36965</v>
          </cell>
          <cell r="C269">
            <v>36963</v>
          </cell>
          <cell r="D269">
            <v>264</v>
          </cell>
          <cell r="E269">
            <v>15.72</v>
          </cell>
          <cell r="F269">
            <v>1.738638069627596</v>
          </cell>
          <cell r="G269">
            <v>1.1747354225879876</v>
          </cell>
          <cell r="H269">
            <v>1.9578</v>
          </cell>
        </row>
        <row r="270">
          <cell r="B270">
            <v>36966</v>
          </cell>
          <cell r="C270">
            <v>36964</v>
          </cell>
          <cell r="D270">
            <v>265</v>
          </cell>
          <cell r="E270">
            <v>15.72</v>
          </cell>
          <cell r="F270">
            <v>1.738638069627596</v>
          </cell>
          <cell r="G270">
            <v>1.1754162358304714</v>
          </cell>
          <cell r="H270">
            <v>1.9578</v>
          </cell>
        </row>
        <row r="271">
          <cell r="B271">
            <v>36967</v>
          </cell>
          <cell r="C271">
            <v>36965</v>
          </cell>
          <cell r="D271">
            <v>266</v>
          </cell>
          <cell r="E271">
            <v>15.72</v>
          </cell>
          <cell r="F271">
            <v>1.738638069627596</v>
          </cell>
          <cell r="G271">
            <v>1.1760974436355625</v>
          </cell>
          <cell r="H271">
            <v>1.9578</v>
          </cell>
        </row>
        <row r="272">
          <cell r="B272">
            <v>36968</v>
          </cell>
          <cell r="C272">
            <v>36966</v>
          </cell>
          <cell r="D272">
            <v>267</v>
          </cell>
          <cell r="E272">
            <v>15.72</v>
          </cell>
          <cell r="F272">
            <v>1.738638069627596</v>
          </cell>
          <cell r="G272">
            <v>1.1767790462319279</v>
          </cell>
          <cell r="H272">
            <v>1.9578</v>
          </cell>
        </row>
        <row r="273">
          <cell r="B273">
            <v>36969</v>
          </cell>
          <cell r="C273">
            <v>36967</v>
          </cell>
          <cell r="D273">
            <v>268</v>
          </cell>
          <cell r="E273">
            <v>15.72</v>
          </cell>
          <cell r="F273">
            <v>1.738638069627596</v>
          </cell>
          <cell r="G273">
            <v>1.1774610438483675</v>
          </cell>
          <cell r="H273">
            <v>1.9578</v>
          </cell>
        </row>
        <row r="274">
          <cell r="B274">
            <v>36970</v>
          </cell>
          <cell r="C274">
            <v>36968</v>
          </cell>
          <cell r="D274">
            <v>269</v>
          </cell>
          <cell r="E274">
            <v>15.72</v>
          </cell>
          <cell r="F274">
            <v>1.738638069627596</v>
          </cell>
          <cell r="G274">
            <v>1.1781434367138135</v>
          </cell>
          <cell r="H274">
            <v>1.9578</v>
          </cell>
        </row>
        <row r="275">
          <cell r="B275">
            <v>36971</v>
          </cell>
          <cell r="C275">
            <v>36969</v>
          </cell>
          <cell r="D275">
            <v>270</v>
          </cell>
          <cell r="E275">
            <v>15.72</v>
          </cell>
          <cell r="F275">
            <v>1.738638069627596</v>
          </cell>
          <cell r="G275">
            <v>1.1788262250573309</v>
          </cell>
          <cell r="H275">
            <v>1.9578</v>
          </cell>
        </row>
        <row r="276">
          <cell r="B276">
            <v>36972</v>
          </cell>
          <cell r="C276">
            <v>36970</v>
          </cell>
          <cell r="D276">
            <v>271</v>
          </cell>
          <cell r="E276">
            <v>15.72</v>
          </cell>
          <cell r="F276">
            <v>1.738638069627596</v>
          </cell>
          <cell r="G276">
            <v>1.1795094091081175</v>
          </cell>
          <cell r="H276">
            <v>1.9578</v>
          </cell>
        </row>
        <row r="277">
          <cell r="B277">
            <v>36973</v>
          </cell>
          <cell r="C277">
            <v>36971</v>
          </cell>
          <cell r="D277">
            <v>272</v>
          </cell>
          <cell r="E277">
            <v>15.72</v>
          </cell>
          <cell r="F277">
            <v>1.738638069627596</v>
          </cell>
          <cell r="G277">
            <v>1.1801929890955041</v>
          </cell>
          <cell r="H277">
            <v>1.9578</v>
          </cell>
        </row>
        <row r="278">
          <cell r="B278">
            <v>36974</v>
          </cell>
          <cell r="C278">
            <v>36972</v>
          </cell>
          <cell r="D278">
            <v>273</v>
          </cell>
          <cell r="E278">
            <v>15.72</v>
          </cell>
          <cell r="F278">
            <v>1.738638069627596</v>
          </cell>
          <cell r="G278">
            <v>1.1808769652489537</v>
          </cell>
          <cell r="H278">
            <v>1.9578</v>
          </cell>
        </row>
        <row r="279">
          <cell r="B279">
            <v>36975</v>
          </cell>
          <cell r="C279">
            <v>36973</v>
          </cell>
          <cell r="D279">
            <v>274</v>
          </cell>
          <cell r="E279">
            <v>15.72</v>
          </cell>
          <cell r="F279">
            <v>1.738638069627596</v>
          </cell>
          <cell r="G279">
            <v>1.1815613377980632</v>
          </cell>
          <cell r="H279">
            <v>1.9578</v>
          </cell>
        </row>
        <row r="280">
          <cell r="B280">
            <v>36976</v>
          </cell>
          <cell r="C280">
            <v>36974</v>
          </cell>
          <cell r="D280">
            <v>275</v>
          </cell>
          <cell r="E280">
            <v>15.72</v>
          </cell>
          <cell r="F280">
            <v>1.738638069627596</v>
          </cell>
          <cell r="G280">
            <v>1.1822461069725618</v>
          </cell>
          <cell r="H280">
            <v>1.9578</v>
          </cell>
        </row>
        <row r="281">
          <cell r="B281">
            <v>36977</v>
          </cell>
          <cell r="C281">
            <v>36975</v>
          </cell>
          <cell r="D281">
            <v>276</v>
          </cell>
          <cell r="E281">
            <v>15.72</v>
          </cell>
          <cell r="F281">
            <v>1.738638069627596</v>
          </cell>
          <cell r="G281">
            <v>1.1829312730023123</v>
          </cell>
          <cell r="H281">
            <v>1.9578</v>
          </cell>
        </row>
        <row r="282">
          <cell r="B282">
            <v>36978</v>
          </cell>
          <cell r="C282">
            <v>36976</v>
          </cell>
          <cell r="D282">
            <v>277</v>
          </cell>
          <cell r="E282">
            <v>15.72</v>
          </cell>
          <cell r="F282">
            <v>1.738638069627596</v>
          </cell>
          <cell r="G282">
            <v>1.1836168361173105</v>
          </cell>
          <cell r="H282">
            <v>1.9578</v>
          </cell>
        </row>
        <row r="283">
          <cell r="B283">
            <v>36979</v>
          </cell>
          <cell r="C283">
            <v>36977</v>
          </cell>
          <cell r="D283">
            <v>278</v>
          </cell>
          <cell r="E283">
            <v>15.72</v>
          </cell>
          <cell r="F283">
            <v>1.738638069627596</v>
          </cell>
          <cell r="G283">
            <v>1.1843027965476858</v>
          </cell>
          <cell r="H283">
            <v>1.9578</v>
          </cell>
        </row>
        <row r="284">
          <cell r="B284">
            <v>36980</v>
          </cell>
          <cell r="C284">
            <v>36978</v>
          </cell>
          <cell r="D284">
            <v>279</v>
          </cell>
          <cell r="E284">
            <v>15.72</v>
          </cell>
          <cell r="F284">
            <v>1.738638069627596</v>
          </cell>
          <cell r="G284">
            <v>1.1849891545237006</v>
          </cell>
          <cell r="H284">
            <v>1.9578</v>
          </cell>
        </row>
        <row r="285">
          <cell r="B285">
            <v>36981</v>
          </cell>
          <cell r="C285">
            <v>36979</v>
          </cell>
          <cell r="D285">
            <v>280</v>
          </cell>
          <cell r="E285">
            <v>15.72</v>
          </cell>
          <cell r="F285">
            <v>1.738638069627596</v>
          </cell>
          <cell r="G285">
            <v>1.1856759102757508</v>
          </cell>
          <cell r="H285">
            <v>1.9578</v>
          </cell>
        </row>
        <row r="286">
          <cell r="B286">
            <v>36982</v>
          </cell>
          <cell r="C286">
            <v>36980</v>
          </cell>
          <cell r="D286">
            <v>281</v>
          </cell>
          <cell r="E286">
            <v>15.72</v>
          </cell>
          <cell r="F286">
            <v>1.738638069627596</v>
          </cell>
          <cell r="G286">
            <v>1.1863630640343661</v>
          </cell>
          <cell r="H286">
            <v>1.9578</v>
          </cell>
        </row>
        <row r="287">
          <cell r="B287">
            <v>36983</v>
          </cell>
          <cell r="C287">
            <v>36981</v>
          </cell>
          <cell r="D287">
            <v>282</v>
          </cell>
          <cell r="E287">
            <v>15.72</v>
          </cell>
          <cell r="F287">
            <v>1.738638069627596</v>
          </cell>
          <cell r="G287">
            <v>1.1870506160302094</v>
          </cell>
          <cell r="H287">
            <v>1.9578</v>
          </cell>
        </row>
        <row r="288">
          <cell r="B288">
            <v>36984</v>
          </cell>
          <cell r="C288">
            <v>36982</v>
          </cell>
          <cell r="D288">
            <v>283</v>
          </cell>
          <cell r="E288">
            <v>15.72</v>
          </cell>
          <cell r="F288">
            <v>1.738638069627596</v>
          </cell>
          <cell r="G288">
            <v>1.1877385664940778</v>
          </cell>
          <cell r="H288">
            <v>1.9578</v>
          </cell>
        </row>
        <row r="289">
          <cell r="B289">
            <v>36985</v>
          </cell>
          <cell r="C289">
            <v>36983</v>
          </cell>
          <cell r="D289">
            <v>284</v>
          </cell>
          <cell r="E289">
            <v>15.72</v>
          </cell>
          <cell r="F289">
            <v>1.738638069627596</v>
          </cell>
          <cell r="G289">
            <v>1.1884269156569016</v>
          </cell>
          <cell r="H289">
            <v>1.9578</v>
          </cell>
        </row>
        <row r="290">
          <cell r="B290">
            <v>36986</v>
          </cell>
          <cell r="C290">
            <v>36984</v>
          </cell>
          <cell r="D290">
            <v>285</v>
          </cell>
          <cell r="E290">
            <v>15.72</v>
          </cell>
          <cell r="F290">
            <v>1.738638069627596</v>
          </cell>
          <cell r="G290">
            <v>1.1891156637497453</v>
          </cell>
          <cell r="H290">
            <v>1.9578</v>
          </cell>
        </row>
        <row r="291">
          <cell r="B291">
            <v>36987</v>
          </cell>
          <cell r="C291">
            <v>36985</v>
          </cell>
          <cell r="D291">
            <v>286</v>
          </cell>
          <cell r="E291">
            <v>15.72</v>
          </cell>
          <cell r="F291">
            <v>1.738638069627596</v>
          </cell>
          <cell r="G291">
            <v>1.1898048110038073</v>
          </cell>
          <cell r="H291">
            <v>1.9578</v>
          </cell>
        </row>
        <row r="292">
          <cell r="B292">
            <v>36988</v>
          </cell>
          <cell r="C292">
            <v>36986</v>
          </cell>
          <cell r="D292">
            <v>287</v>
          </cell>
          <cell r="E292">
            <v>15.72</v>
          </cell>
          <cell r="F292">
            <v>1.738638069627596</v>
          </cell>
          <cell r="G292">
            <v>1.1904943576504197</v>
          </cell>
          <cell r="H292">
            <v>1.9578</v>
          </cell>
        </row>
        <row r="293">
          <cell r="B293">
            <v>36989</v>
          </cell>
          <cell r="C293">
            <v>36987</v>
          </cell>
          <cell r="D293">
            <v>288</v>
          </cell>
          <cell r="E293">
            <v>15.72</v>
          </cell>
          <cell r="F293">
            <v>1.738638069627596</v>
          </cell>
          <cell r="G293">
            <v>1.191184303921049</v>
          </cell>
          <cell r="H293">
            <v>1.9578</v>
          </cell>
        </row>
        <row r="294">
          <cell r="B294">
            <v>36990</v>
          </cell>
          <cell r="C294">
            <v>36988</v>
          </cell>
          <cell r="D294">
            <v>289</v>
          </cell>
          <cell r="E294">
            <v>15.72</v>
          </cell>
          <cell r="F294">
            <v>1.738638069627596</v>
          </cell>
          <cell r="G294">
            <v>1.1918746500472956</v>
          </cell>
          <cell r="H294">
            <v>1.9578</v>
          </cell>
        </row>
        <row r="295">
          <cell r="B295">
            <v>36991</v>
          </cell>
          <cell r="C295">
            <v>36989</v>
          </cell>
          <cell r="D295">
            <v>290</v>
          </cell>
          <cell r="E295">
            <v>15.72</v>
          </cell>
          <cell r="F295">
            <v>1.738638069627596</v>
          </cell>
          <cell r="G295">
            <v>1.1925653962608944</v>
          </cell>
          <cell r="H295">
            <v>1.9578</v>
          </cell>
        </row>
        <row r="296">
          <cell r="B296">
            <v>36992</v>
          </cell>
          <cell r="C296">
            <v>36990</v>
          </cell>
          <cell r="D296">
            <v>291</v>
          </cell>
          <cell r="E296">
            <v>15.72</v>
          </cell>
          <cell r="F296">
            <v>1.738638069627596</v>
          </cell>
          <cell r="G296">
            <v>1.1932565427937143</v>
          </cell>
          <cell r="H296">
            <v>1.9578</v>
          </cell>
        </row>
        <row r="297">
          <cell r="B297">
            <v>36993</v>
          </cell>
          <cell r="C297">
            <v>36991</v>
          </cell>
          <cell r="D297">
            <v>292</v>
          </cell>
          <cell r="E297">
            <v>15.72</v>
          </cell>
          <cell r="F297">
            <v>1.738638069627596</v>
          </cell>
          <cell r="G297">
            <v>1.1939480898777588</v>
          </cell>
          <cell r="H297">
            <v>1.9578</v>
          </cell>
        </row>
        <row r="298">
          <cell r="B298">
            <v>36994</v>
          </cell>
          <cell r="C298">
            <v>36992</v>
          </cell>
          <cell r="D298">
            <v>293</v>
          </cell>
          <cell r="E298">
            <v>15.72</v>
          </cell>
          <cell r="F298">
            <v>1.738638069627596</v>
          </cell>
          <cell r="G298">
            <v>1.1946400377451656</v>
          </cell>
          <cell r="H298">
            <v>1.9578</v>
          </cell>
        </row>
        <row r="299">
          <cell r="B299">
            <v>36995</v>
          </cell>
          <cell r="C299">
            <v>36993</v>
          </cell>
          <cell r="D299">
            <v>294</v>
          </cell>
          <cell r="E299">
            <v>15.72</v>
          </cell>
          <cell r="F299">
            <v>1.738638069627596</v>
          </cell>
          <cell r="G299">
            <v>1.1953323866282073</v>
          </cell>
          <cell r="H299">
            <v>1.9578</v>
          </cell>
        </row>
        <row r="300">
          <cell r="B300">
            <v>36996</v>
          </cell>
          <cell r="C300">
            <v>36994</v>
          </cell>
          <cell r="D300">
            <v>295</v>
          </cell>
          <cell r="E300">
            <v>15.72</v>
          </cell>
          <cell r="F300">
            <v>1.738638069627596</v>
          </cell>
          <cell r="G300">
            <v>1.1960251367592909</v>
          </cell>
          <cell r="H300">
            <v>1.9578</v>
          </cell>
        </row>
        <row r="301">
          <cell r="B301">
            <v>36997</v>
          </cell>
          <cell r="C301">
            <v>36995</v>
          </cell>
          <cell r="D301">
            <v>296</v>
          </cell>
          <cell r="E301">
            <v>15.72</v>
          </cell>
          <cell r="F301">
            <v>1.738638069627596</v>
          </cell>
          <cell r="G301">
            <v>1.1967182883709579</v>
          </cell>
          <cell r="H301">
            <v>1.9578</v>
          </cell>
        </row>
        <row r="302">
          <cell r="B302">
            <v>36998</v>
          </cell>
          <cell r="C302">
            <v>36996</v>
          </cell>
          <cell r="D302">
            <v>297</v>
          </cell>
          <cell r="E302">
            <v>15.72</v>
          </cell>
          <cell r="F302">
            <v>1.738638069627596</v>
          </cell>
          <cell r="G302">
            <v>1.197411841695885</v>
          </cell>
          <cell r="H302">
            <v>1.9578</v>
          </cell>
        </row>
        <row r="303">
          <cell r="B303">
            <v>36999</v>
          </cell>
          <cell r="C303">
            <v>36997</v>
          </cell>
          <cell r="D303">
            <v>298</v>
          </cell>
          <cell r="E303">
            <v>15.72</v>
          </cell>
          <cell r="F303">
            <v>1.738638069627596</v>
          </cell>
          <cell r="G303">
            <v>1.1981057969668834</v>
          </cell>
          <cell r="H303">
            <v>1.9578</v>
          </cell>
        </row>
        <row r="304">
          <cell r="B304">
            <v>37000</v>
          </cell>
          <cell r="C304">
            <v>36998</v>
          </cell>
          <cell r="D304">
            <v>299</v>
          </cell>
          <cell r="E304">
            <v>15.72</v>
          </cell>
          <cell r="F304">
            <v>1.738638069627596</v>
          </cell>
          <cell r="G304">
            <v>1.1988001544168994</v>
          </cell>
          <cell r="H304">
            <v>1.9578</v>
          </cell>
        </row>
        <row r="305">
          <cell r="B305">
            <v>37001</v>
          </cell>
          <cell r="C305">
            <v>36999</v>
          </cell>
          <cell r="D305">
            <v>300</v>
          </cell>
          <cell r="E305">
            <v>15.72</v>
          </cell>
          <cell r="F305">
            <v>1.738638069627596</v>
          </cell>
          <cell r="G305">
            <v>1.1994949142790143</v>
          </cell>
          <cell r="H305">
            <v>1.9578</v>
          </cell>
        </row>
        <row r="306">
          <cell r="B306">
            <v>37002</v>
          </cell>
          <cell r="C306">
            <v>37000</v>
          </cell>
          <cell r="D306">
            <v>301</v>
          </cell>
          <cell r="E306">
            <v>15.72</v>
          </cell>
          <cell r="F306">
            <v>1.738638069627596</v>
          </cell>
          <cell r="G306">
            <v>1.2001900767864444</v>
          </cell>
          <cell r="H306">
            <v>1.9578</v>
          </cell>
        </row>
        <row r="307">
          <cell r="B307">
            <v>37003</v>
          </cell>
          <cell r="C307">
            <v>37001</v>
          </cell>
          <cell r="D307">
            <v>302</v>
          </cell>
          <cell r="E307">
            <v>15.72</v>
          </cell>
          <cell r="F307">
            <v>1.738638069627596</v>
          </cell>
          <cell r="G307">
            <v>1.2008856421725411</v>
          </cell>
          <cell r="H307">
            <v>1.9578</v>
          </cell>
        </row>
        <row r="308">
          <cell r="B308">
            <v>37004</v>
          </cell>
          <cell r="C308">
            <v>37002</v>
          </cell>
          <cell r="D308">
            <v>303</v>
          </cell>
          <cell r="E308">
            <v>15.72</v>
          </cell>
          <cell r="F308">
            <v>1.738638069627596</v>
          </cell>
          <cell r="G308">
            <v>1.2015816106707913</v>
          </cell>
          <cell r="H308">
            <v>1.9578</v>
          </cell>
        </row>
        <row r="309">
          <cell r="B309">
            <v>37005</v>
          </cell>
          <cell r="C309">
            <v>37003</v>
          </cell>
          <cell r="D309">
            <v>304</v>
          </cell>
          <cell r="E309">
            <v>15.72</v>
          </cell>
          <cell r="F309">
            <v>1.738638069627596</v>
          </cell>
          <cell r="G309">
            <v>1.2022779825148169</v>
          </cell>
          <cell r="H309">
            <v>1.9578</v>
          </cell>
        </row>
        <row r="310">
          <cell r="B310">
            <v>37006</v>
          </cell>
          <cell r="C310">
            <v>37004</v>
          </cell>
          <cell r="D310">
            <v>305</v>
          </cell>
          <cell r="E310">
            <v>15.72</v>
          </cell>
          <cell r="F310">
            <v>1.738638069627596</v>
          </cell>
          <cell r="G310">
            <v>1.2029747579383754</v>
          </cell>
          <cell r="H310">
            <v>1.9578</v>
          </cell>
        </row>
        <row r="311">
          <cell r="B311">
            <v>37007</v>
          </cell>
          <cell r="C311">
            <v>37005</v>
          </cell>
          <cell r="D311">
            <v>306</v>
          </cell>
          <cell r="E311">
            <v>15.72</v>
          </cell>
          <cell r="F311">
            <v>1.738638069627596</v>
          </cell>
          <cell r="G311">
            <v>1.2036719371753597</v>
          </cell>
          <cell r="H311">
            <v>1.9578</v>
          </cell>
        </row>
        <row r="312">
          <cell r="B312">
            <v>37008</v>
          </cell>
          <cell r="C312">
            <v>37006</v>
          </cell>
          <cell r="D312">
            <v>307</v>
          </cell>
          <cell r="E312">
            <v>15.72</v>
          </cell>
          <cell r="F312">
            <v>1.738638069627596</v>
          </cell>
          <cell r="G312">
            <v>1.2043695204597982</v>
          </cell>
          <cell r="H312">
            <v>1.9578</v>
          </cell>
        </row>
        <row r="313">
          <cell r="B313">
            <v>37009</v>
          </cell>
          <cell r="C313">
            <v>37007</v>
          </cell>
          <cell r="D313">
            <v>308</v>
          </cell>
          <cell r="E313">
            <v>15.72</v>
          </cell>
          <cell r="F313">
            <v>1.738638069627596</v>
          </cell>
          <cell r="G313">
            <v>1.205067508025855</v>
          </cell>
          <cell r="H313">
            <v>1.9578</v>
          </cell>
        </row>
        <row r="314">
          <cell r="B314">
            <v>37010</v>
          </cell>
          <cell r="C314">
            <v>37008</v>
          </cell>
          <cell r="D314">
            <v>309</v>
          </cell>
          <cell r="E314">
            <v>15.72</v>
          </cell>
          <cell r="F314">
            <v>1.738638069627596</v>
          </cell>
          <cell r="G314">
            <v>1.20576590010783</v>
          </cell>
          <cell r="H314">
            <v>1.9578</v>
          </cell>
        </row>
        <row r="315">
          <cell r="B315">
            <v>37011</v>
          </cell>
          <cell r="C315">
            <v>37009</v>
          </cell>
          <cell r="D315">
            <v>310</v>
          </cell>
          <cell r="E315">
            <v>15.72</v>
          </cell>
          <cell r="F315">
            <v>1.738638069627596</v>
          </cell>
          <cell r="G315">
            <v>1.2064646969401587</v>
          </cell>
          <cell r="H315">
            <v>1.9578</v>
          </cell>
        </row>
        <row r="316">
          <cell r="B316">
            <v>37012</v>
          </cell>
          <cell r="C316">
            <v>37010</v>
          </cell>
          <cell r="D316">
            <v>311</v>
          </cell>
          <cell r="E316">
            <v>15.72</v>
          </cell>
          <cell r="F316">
            <v>1.738638069627596</v>
          </cell>
          <cell r="G316">
            <v>1.2071638987574127</v>
          </cell>
          <cell r="H316">
            <v>1.9578</v>
          </cell>
        </row>
        <row r="317">
          <cell r="B317">
            <v>37013</v>
          </cell>
          <cell r="C317">
            <v>37011</v>
          </cell>
          <cell r="D317">
            <v>312</v>
          </cell>
          <cell r="E317">
            <v>15.72</v>
          </cell>
          <cell r="F317">
            <v>1.738638069627596</v>
          </cell>
          <cell r="G317">
            <v>1.2078635057942992</v>
          </cell>
          <cell r="H317">
            <v>1.9578</v>
          </cell>
        </row>
        <row r="318">
          <cell r="B318">
            <v>37014</v>
          </cell>
          <cell r="C318">
            <v>37012</v>
          </cell>
          <cell r="D318">
            <v>313</v>
          </cell>
          <cell r="E318">
            <v>15.72</v>
          </cell>
          <cell r="F318">
            <v>1.738638069627596</v>
          </cell>
          <cell r="G318">
            <v>1.2085635182856618</v>
          </cell>
          <cell r="H318">
            <v>1.9578</v>
          </cell>
        </row>
        <row r="319">
          <cell r="B319">
            <v>37015</v>
          </cell>
          <cell r="C319">
            <v>37013</v>
          </cell>
          <cell r="D319">
            <v>314</v>
          </cell>
          <cell r="E319">
            <v>15.72</v>
          </cell>
          <cell r="F319">
            <v>1.738638069627596</v>
          </cell>
          <cell r="G319">
            <v>1.2092639364664799</v>
          </cell>
          <cell r="H319">
            <v>1.9578</v>
          </cell>
        </row>
        <row r="320">
          <cell r="B320">
            <v>37016</v>
          </cell>
          <cell r="C320">
            <v>37014</v>
          </cell>
          <cell r="D320">
            <v>315</v>
          </cell>
          <cell r="E320">
            <v>15.72</v>
          </cell>
          <cell r="F320">
            <v>1.738638069627596</v>
          </cell>
          <cell r="G320">
            <v>1.2099647605718693</v>
          </cell>
          <cell r="H320">
            <v>1.9578</v>
          </cell>
        </row>
        <row r="321">
          <cell r="B321">
            <v>37017</v>
          </cell>
          <cell r="C321">
            <v>37015</v>
          </cell>
          <cell r="D321">
            <v>316</v>
          </cell>
          <cell r="E321">
            <v>15.72</v>
          </cell>
          <cell r="F321">
            <v>1.738638069627596</v>
          </cell>
          <cell r="G321">
            <v>1.210665990837082</v>
          </cell>
          <cell r="H321">
            <v>1.9578</v>
          </cell>
        </row>
        <row r="322">
          <cell r="B322">
            <v>37018</v>
          </cell>
          <cell r="C322">
            <v>37016</v>
          </cell>
          <cell r="D322">
            <v>317</v>
          </cell>
          <cell r="E322">
            <v>15.72</v>
          </cell>
          <cell r="F322">
            <v>1.738638069627596</v>
          </cell>
          <cell r="G322">
            <v>1.2113676274975063</v>
          </cell>
          <cell r="H322">
            <v>1.9578</v>
          </cell>
        </row>
        <row r="323">
          <cell r="B323">
            <v>37019</v>
          </cell>
          <cell r="C323">
            <v>37017</v>
          </cell>
          <cell r="D323">
            <v>318</v>
          </cell>
          <cell r="E323">
            <v>15.72</v>
          </cell>
          <cell r="F323">
            <v>1.738638069627596</v>
          </cell>
          <cell r="G323">
            <v>1.2120696707886669</v>
          </cell>
          <cell r="H323">
            <v>1.9578</v>
          </cell>
        </row>
        <row r="324">
          <cell r="B324">
            <v>37020</v>
          </cell>
          <cell r="C324">
            <v>37018</v>
          </cell>
          <cell r="D324">
            <v>319</v>
          </cell>
          <cell r="E324">
            <v>15.72</v>
          </cell>
          <cell r="F324">
            <v>1.738638069627596</v>
          </cell>
          <cell r="G324">
            <v>1.212772120946225</v>
          </cell>
          <cell r="H324">
            <v>1.9578</v>
          </cell>
        </row>
        <row r="325">
          <cell r="B325">
            <v>37021</v>
          </cell>
          <cell r="C325">
            <v>37019</v>
          </cell>
          <cell r="D325">
            <v>320</v>
          </cell>
          <cell r="E325">
            <v>15.72</v>
          </cell>
          <cell r="F325">
            <v>1.738638069627596</v>
          </cell>
          <cell r="G325">
            <v>1.2134749782059784</v>
          </cell>
          <cell r="H325">
            <v>1.9578</v>
          </cell>
        </row>
        <row r="326">
          <cell r="B326">
            <v>37022</v>
          </cell>
          <cell r="C326">
            <v>37020</v>
          </cell>
          <cell r="D326">
            <v>321</v>
          </cell>
          <cell r="E326">
            <v>15.72</v>
          </cell>
          <cell r="F326">
            <v>1.738638069627596</v>
          </cell>
          <cell r="G326">
            <v>1.2141782428038614</v>
          </cell>
          <cell r="H326">
            <v>1.9578</v>
          </cell>
        </row>
        <row r="327">
          <cell r="B327">
            <v>37023</v>
          </cell>
          <cell r="C327">
            <v>37021</v>
          </cell>
          <cell r="D327">
            <v>322</v>
          </cell>
          <cell r="E327">
            <v>15.72</v>
          </cell>
          <cell r="F327">
            <v>1.738638069627596</v>
          </cell>
          <cell r="G327">
            <v>1.2148819149759456</v>
          </cell>
          <cell r="H327">
            <v>1.9578</v>
          </cell>
        </row>
        <row r="328">
          <cell r="B328">
            <v>37024</v>
          </cell>
          <cell r="C328">
            <v>37022</v>
          </cell>
          <cell r="D328">
            <v>323</v>
          </cell>
          <cell r="E328">
            <v>15.72</v>
          </cell>
          <cell r="F328">
            <v>1.738638069627596</v>
          </cell>
          <cell r="G328">
            <v>1.2155859949584387</v>
          </cell>
          <cell r="H328">
            <v>1.9578</v>
          </cell>
        </row>
        <row r="329">
          <cell r="B329">
            <v>37025</v>
          </cell>
          <cell r="C329">
            <v>37023</v>
          </cell>
          <cell r="D329">
            <v>324</v>
          </cell>
          <cell r="E329">
            <v>15.72</v>
          </cell>
          <cell r="F329">
            <v>1.738638069627596</v>
          </cell>
          <cell r="G329">
            <v>1.2162904829876857</v>
          </cell>
          <cell r="H329">
            <v>1.9578</v>
          </cell>
        </row>
        <row r="330">
          <cell r="B330">
            <v>37026</v>
          </cell>
          <cell r="C330">
            <v>37024</v>
          </cell>
          <cell r="D330">
            <v>325</v>
          </cell>
          <cell r="E330">
            <v>15.72</v>
          </cell>
          <cell r="F330">
            <v>1.738638069627596</v>
          </cell>
          <cell r="G330">
            <v>1.2169953793001684</v>
          </cell>
          <cell r="H330">
            <v>1.9578</v>
          </cell>
        </row>
        <row r="331">
          <cell r="B331">
            <v>37027</v>
          </cell>
          <cell r="C331">
            <v>37025</v>
          </cell>
          <cell r="D331">
            <v>326</v>
          </cell>
          <cell r="E331">
            <v>15.72</v>
          </cell>
          <cell r="F331">
            <v>1.738638069627596</v>
          </cell>
          <cell r="G331">
            <v>1.2177006841325058</v>
          </cell>
          <cell r="H331">
            <v>1.9578</v>
          </cell>
        </row>
        <row r="332">
          <cell r="B332">
            <v>37028</v>
          </cell>
          <cell r="C332">
            <v>37026</v>
          </cell>
          <cell r="D332">
            <v>327</v>
          </cell>
          <cell r="E332">
            <v>15.72</v>
          </cell>
          <cell r="F332">
            <v>1.738638069627596</v>
          </cell>
          <cell r="G332">
            <v>1.2184063977214539</v>
          </cell>
          <cell r="H332">
            <v>1.9578</v>
          </cell>
        </row>
        <row r="333">
          <cell r="B333">
            <v>37029</v>
          </cell>
          <cell r="C333">
            <v>37027</v>
          </cell>
          <cell r="D333">
            <v>328</v>
          </cell>
          <cell r="E333">
            <v>15.72</v>
          </cell>
          <cell r="F333">
            <v>1.738638069627596</v>
          </cell>
          <cell r="G333">
            <v>1.2191125203039059</v>
          </cell>
          <cell r="H333">
            <v>1.9578</v>
          </cell>
        </row>
        <row r="334">
          <cell r="B334">
            <v>37030</v>
          </cell>
          <cell r="C334">
            <v>37028</v>
          </cell>
          <cell r="D334">
            <v>329</v>
          </cell>
          <cell r="E334">
            <v>15.72</v>
          </cell>
          <cell r="F334">
            <v>1.738638069627596</v>
          </cell>
          <cell r="G334">
            <v>1.2198190521168926</v>
          </cell>
          <cell r="H334">
            <v>1.9578</v>
          </cell>
        </row>
        <row r="335">
          <cell r="B335">
            <v>37031</v>
          </cell>
          <cell r="C335">
            <v>37029</v>
          </cell>
          <cell r="D335">
            <v>330</v>
          </cell>
          <cell r="E335">
            <v>15.72</v>
          </cell>
          <cell r="F335">
            <v>1.738638069627596</v>
          </cell>
          <cell r="G335">
            <v>1.2205259933975818</v>
          </cell>
          <cell r="H335">
            <v>1.9578</v>
          </cell>
        </row>
        <row r="336">
          <cell r="B336">
            <v>37032</v>
          </cell>
          <cell r="C336">
            <v>37030</v>
          </cell>
          <cell r="D336">
            <v>331</v>
          </cell>
          <cell r="E336">
            <v>15.72</v>
          </cell>
          <cell r="F336">
            <v>1.738638069627596</v>
          </cell>
          <cell r="G336">
            <v>1.2212333443832788</v>
          </cell>
          <cell r="H336">
            <v>1.9578</v>
          </cell>
        </row>
        <row r="337">
          <cell r="B337">
            <v>37033</v>
          </cell>
          <cell r="C337">
            <v>37031</v>
          </cell>
          <cell r="D337">
            <v>332</v>
          </cell>
          <cell r="E337">
            <v>15.72</v>
          </cell>
          <cell r="F337">
            <v>1.738638069627596</v>
          </cell>
          <cell r="G337">
            <v>1.2219411053114266</v>
          </cell>
          <cell r="H337">
            <v>1.9578</v>
          </cell>
        </row>
        <row r="338">
          <cell r="B338">
            <v>37034</v>
          </cell>
          <cell r="C338">
            <v>37032</v>
          </cell>
          <cell r="D338">
            <v>333</v>
          </cell>
          <cell r="E338">
            <v>15.72</v>
          </cell>
          <cell r="F338">
            <v>1.738638069627596</v>
          </cell>
          <cell r="G338">
            <v>1.2226492764196057</v>
          </cell>
          <cell r="H338">
            <v>1.9578</v>
          </cell>
        </row>
        <row r="339">
          <cell r="B339">
            <v>37035</v>
          </cell>
          <cell r="C339">
            <v>37033</v>
          </cell>
          <cell r="D339">
            <v>334</v>
          </cell>
          <cell r="E339">
            <v>15.72</v>
          </cell>
          <cell r="F339">
            <v>1.738638069627596</v>
          </cell>
          <cell r="G339">
            <v>1.2233578579455344</v>
          </cell>
          <cell r="H339">
            <v>1.9578</v>
          </cell>
        </row>
        <row r="340">
          <cell r="B340">
            <v>37036</v>
          </cell>
          <cell r="C340">
            <v>37034</v>
          </cell>
          <cell r="D340">
            <v>335</v>
          </cell>
          <cell r="E340">
            <v>15.72</v>
          </cell>
          <cell r="F340">
            <v>1.738638069627596</v>
          </cell>
          <cell r="G340">
            <v>1.2240668501270684</v>
          </cell>
          <cell r="H340">
            <v>1.9578</v>
          </cell>
        </row>
        <row r="341">
          <cell r="B341">
            <v>37037</v>
          </cell>
          <cell r="C341">
            <v>37035</v>
          </cell>
          <cell r="D341">
            <v>336</v>
          </cell>
          <cell r="E341">
            <v>15.72</v>
          </cell>
          <cell r="F341">
            <v>1.738638069627596</v>
          </cell>
          <cell r="G341">
            <v>1.2247762532022017</v>
          </cell>
          <cell r="H341">
            <v>1.9578</v>
          </cell>
        </row>
        <row r="342">
          <cell r="B342">
            <v>37038</v>
          </cell>
          <cell r="C342">
            <v>37036</v>
          </cell>
          <cell r="D342">
            <v>337</v>
          </cell>
          <cell r="E342">
            <v>15.72</v>
          </cell>
          <cell r="F342">
            <v>1.738638069627596</v>
          </cell>
          <cell r="G342">
            <v>1.2254860674090662</v>
          </cell>
          <cell r="H342">
            <v>1.9578</v>
          </cell>
        </row>
        <row r="343">
          <cell r="B343">
            <v>37039</v>
          </cell>
          <cell r="C343">
            <v>37037</v>
          </cell>
          <cell r="D343">
            <v>338</v>
          </cell>
          <cell r="E343">
            <v>15.72</v>
          </cell>
          <cell r="F343">
            <v>1.738638069627596</v>
          </cell>
          <cell r="G343">
            <v>1.2261962929859314</v>
          </cell>
          <cell r="H343">
            <v>1.9578</v>
          </cell>
        </row>
        <row r="344">
          <cell r="B344">
            <v>37040</v>
          </cell>
          <cell r="C344">
            <v>37038</v>
          </cell>
          <cell r="D344">
            <v>339</v>
          </cell>
          <cell r="E344">
            <v>15.72</v>
          </cell>
          <cell r="F344">
            <v>1.738638069627596</v>
          </cell>
          <cell r="G344">
            <v>1.2269069301712052</v>
          </cell>
          <cell r="H344">
            <v>1.9578</v>
          </cell>
        </row>
        <row r="345">
          <cell r="B345">
            <v>37041</v>
          </cell>
          <cell r="C345">
            <v>37039</v>
          </cell>
          <cell r="D345">
            <v>340</v>
          </cell>
          <cell r="E345">
            <v>15.72</v>
          </cell>
          <cell r="F345">
            <v>1.738638069627596</v>
          </cell>
          <cell r="G345">
            <v>1.2276179792034339</v>
          </cell>
          <cell r="H345">
            <v>1.9578</v>
          </cell>
        </row>
        <row r="346">
          <cell r="B346">
            <v>37042</v>
          </cell>
          <cell r="C346">
            <v>37040</v>
          </cell>
          <cell r="D346">
            <v>341</v>
          </cell>
          <cell r="E346">
            <v>15.72</v>
          </cell>
          <cell r="F346">
            <v>1.738638069627596</v>
          </cell>
          <cell r="G346">
            <v>1.2283294403213014</v>
          </cell>
          <cell r="H346">
            <v>1.9578</v>
          </cell>
        </row>
        <row r="347">
          <cell r="B347">
            <v>37043</v>
          </cell>
          <cell r="C347">
            <v>37041</v>
          </cell>
          <cell r="D347">
            <v>342</v>
          </cell>
          <cell r="E347">
            <v>15.72</v>
          </cell>
          <cell r="F347">
            <v>1.738638069627596</v>
          </cell>
          <cell r="G347">
            <v>1.2290413137636305</v>
          </cell>
          <cell r="H347">
            <v>1.9578</v>
          </cell>
        </row>
        <row r="348">
          <cell r="B348">
            <v>37044</v>
          </cell>
          <cell r="C348">
            <v>37042</v>
          </cell>
          <cell r="D348">
            <v>343</v>
          </cell>
          <cell r="E348">
            <v>15.72</v>
          </cell>
          <cell r="F348">
            <v>1.738638069627596</v>
          </cell>
          <cell r="G348">
            <v>1.229753599769382</v>
          </cell>
          <cell r="H348">
            <v>1.9578</v>
          </cell>
        </row>
        <row r="349">
          <cell r="B349">
            <v>37045</v>
          </cell>
          <cell r="C349">
            <v>37043</v>
          </cell>
          <cell r="D349">
            <v>344</v>
          </cell>
          <cell r="E349">
            <v>15.72</v>
          </cell>
          <cell r="F349">
            <v>1.738638069627596</v>
          </cell>
          <cell r="G349">
            <v>1.2304662985776555</v>
          </cell>
          <cell r="H349">
            <v>1.9578</v>
          </cell>
        </row>
        <row r="350">
          <cell r="B350">
            <v>37046</v>
          </cell>
          <cell r="C350">
            <v>37044</v>
          </cell>
          <cell r="D350">
            <v>345</v>
          </cell>
          <cell r="E350">
            <v>15.72</v>
          </cell>
          <cell r="F350">
            <v>1.738638069627596</v>
          </cell>
          <cell r="G350">
            <v>1.2311794104276892</v>
          </cell>
          <cell r="H350">
            <v>1.9578</v>
          </cell>
        </row>
        <row r="351">
          <cell r="B351">
            <v>37047</v>
          </cell>
          <cell r="C351">
            <v>37045</v>
          </cell>
          <cell r="D351">
            <v>346</v>
          </cell>
          <cell r="E351">
            <v>15.72</v>
          </cell>
          <cell r="F351">
            <v>1.738638069627596</v>
          </cell>
          <cell r="G351">
            <v>1.2318929355588597</v>
          </cell>
          <cell r="H351">
            <v>1.9578</v>
          </cell>
        </row>
        <row r="352">
          <cell r="B352">
            <v>37048</v>
          </cell>
          <cell r="C352">
            <v>37046</v>
          </cell>
          <cell r="D352">
            <v>347</v>
          </cell>
          <cell r="E352">
            <v>15.72</v>
          </cell>
          <cell r="F352">
            <v>1.738638069627596</v>
          </cell>
          <cell r="G352">
            <v>1.2326068742106824</v>
          </cell>
          <cell r="H352">
            <v>1.9578</v>
          </cell>
        </row>
        <row r="353">
          <cell r="B353">
            <v>37049</v>
          </cell>
          <cell r="C353">
            <v>37047</v>
          </cell>
          <cell r="D353">
            <v>348</v>
          </cell>
          <cell r="E353">
            <v>15.72</v>
          </cell>
          <cell r="F353">
            <v>1.738638069627596</v>
          </cell>
          <cell r="G353">
            <v>1.2333212266228115</v>
          </cell>
          <cell r="H353">
            <v>1.9578</v>
          </cell>
        </row>
        <row r="354">
          <cell r="B354">
            <v>37050</v>
          </cell>
          <cell r="C354">
            <v>37048</v>
          </cell>
          <cell r="D354">
            <v>349</v>
          </cell>
          <cell r="E354">
            <v>15.72</v>
          </cell>
          <cell r="F354">
            <v>1.738638069627596</v>
          </cell>
          <cell r="G354">
            <v>1.2340359930350402</v>
          </cell>
          <cell r="H354">
            <v>1.9578</v>
          </cell>
        </row>
        <row r="355">
          <cell r="B355">
            <v>37051</v>
          </cell>
          <cell r="C355">
            <v>37049</v>
          </cell>
          <cell r="D355">
            <v>350</v>
          </cell>
          <cell r="E355">
            <v>15.72</v>
          </cell>
          <cell r="F355">
            <v>1.738638069627596</v>
          </cell>
          <cell r="G355">
            <v>1.2347511736873007</v>
          </cell>
          <cell r="H355">
            <v>1.9578</v>
          </cell>
        </row>
        <row r="356">
          <cell r="B356">
            <v>37052</v>
          </cell>
          <cell r="C356">
            <v>37050</v>
          </cell>
          <cell r="D356">
            <v>351</v>
          </cell>
          <cell r="E356">
            <v>15.72</v>
          </cell>
          <cell r="F356">
            <v>1.738638069627596</v>
          </cell>
          <cell r="G356">
            <v>1.2354667688196641</v>
          </cell>
          <cell r="H356">
            <v>1.9578</v>
          </cell>
        </row>
        <row r="357">
          <cell r="B357">
            <v>37053</v>
          </cell>
          <cell r="C357">
            <v>37051</v>
          </cell>
          <cell r="D357">
            <v>352</v>
          </cell>
          <cell r="E357">
            <v>15.72</v>
          </cell>
          <cell r="F357">
            <v>1.738638069627596</v>
          </cell>
          <cell r="G357">
            <v>1.2361827786723407</v>
          </cell>
          <cell r="H357">
            <v>1.9578</v>
          </cell>
        </row>
        <row r="358">
          <cell r="B358">
            <v>37054</v>
          </cell>
          <cell r="C358">
            <v>37052</v>
          </cell>
          <cell r="D358">
            <v>353</v>
          </cell>
          <cell r="E358">
            <v>15.72</v>
          </cell>
          <cell r="F358">
            <v>1.738638069627596</v>
          </cell>
          <cell r="G358">
            <v>1.2368992034856801</v>
          </cell>
          <cell r="H358">
            <v>1.9578</v>
          </cell>
        </row>
        <row r="359">
          <cell r="B359">
            <v>37055</v>
          </cell>
          <cell r="C359">
            <v>37053</v>
          </cell>
          <cell r="D359">
            <v>354</v>
          </cell>
          <cell r="E359">
            <v>15.72</v>
          </cell>
          <cell r="F359">
            <v>1.738638069627596</v>
          </cell>
          <cell r="G359">
            <v>1.2376160435001708</v>
          </cell>
          <cell r="H359">
            <v>1.9578</v>
          </cell>
        </row>
        <row r="360">
          <cell r="B360">
            <v>37056</v>
          </cell>
          <cell r="C360">
            <v>37054</v>
          </cell>
          <cell r="D360">
            <v>355</v>
          </cell>
          <cell r="E360">
            <v>15.72</v>
          </cell>
          <cell r="F360">
            <v>1.738638069627596</v>
          </cell>
          <cell r="G360">
            <v>1.2383332989564413</v>
          </cell>
          <cell r="H360">
            <v>1.9578</v>
          </cell>
        </row>
        <row r="361">
          <cell r="B361">
            <v>37057</v>
          </cell>
          <cell r="C361">
            <v>37055</v>
          </cell>
          <cell r="D361">
            <v>356</v>
          </cell>
          <cell r="E361">
            <v>15.72</v>
          </cell>
          <cell r="F361">
            <v>1.738638069627596</v>
          </cell>
          <cell r="G361">
            <v>1.239050970095259</v>
          </cell>
          <cell r="H361">
            <v>1.9578</v>
          </cell>
        </row>
        <row r="362">
          <cell r="B362">
            <v>37058</v>
          </cell>
          <cell r="C362">
            <v>37056</v>
          </cell>
          <cell r="D362">
            <v>357</v>
          </cell>
          <cell r="E362">
            <v>15.72</v>
          </cell>
          <cell r="F362">
            <v>1.738638069627596</v>
          </cell>
          <cell r="G362">
            <v>1.2397690571575313</v>
          </cell>
          <cell r="H362">
            <v>1.9578</v>
          </cell>
        </row>
        <row r="363">
          <cell r="B363">
            <v>37059</v>
          </cell>
          <cell r="C363">
            <v>37057</v>
          </cell>
          <cell r="D363">
            <v>358</v>
          </cell>
          <cell r="E363">
            <v>15.72</v>
          </cell>
          <cell r="F363">
            <v>1.738638069627596</v>
          </cell>
          <cell r="G363">
            <v>1.2404875603843046</v>
          </cell>
          <cell r="H363">
            <v>1.9578</v>
          </cell>
        </row>
        <row r="364">
          <cell r="B364">
            <v>37060</v>
          </cell>
          <cell r="C364">
            <v>37058</v>
          </cell>
          <cell r="D364">
            <v>359</v>
          </cell>
          <cell r="E364">
            <v>15.72</v>
          </cell>
          <cell r="F364">
            <v>1.738638069627596</v>
          </cell>
          <cell r="G364">
            <v>1.2412064800167659</v>
          </cell>
          <cell r="H364">
            <v>1.9578</v>
          </cell>
        </row>
        <row r="365">
          <cell r="B365">
            <v>37061</v>
          </cell>
          <cell r="C365">
            <v>37059</v>
          </cell>
          <cell r="D365">
            <v>360</v>
          </cell>
          <cell r="E365">
            <v>15.72</v>
          </cell>
          <cell r="F365">
            <v>1.738638069627596</v>
          </cell>
          <cell r="G365">
            <v>1.2419258162962412</v>
          </cell>
          <cell r="H365">
            <v>1.9578</v>
          </cell>
        </row>
        <row r="366">
          <cell r="B366">
            <v>37062</v>
          </cell>
          <cell r="C366">
            <v>37060</v>
          </cell>
          <cell r="D366">
            <v>361</v>
          </cell>
          <cell r="E366">
            <v>15.72</v>
          </cell>
          <cell r="F366">
            <v>1.738638069627596</v>
          </cell>
          <cell r="G366">
            <v>1.2426455694641965</v>
          </cell>
          <cell r="H366">
            <v>1.9578</v>
          </cell>
        </row>
        <row r="367">
          <cell r="B367">
            <v>37063</v>
          </cell>
          <cell r="C367">
            <v>37061</v>
          </cell>
          <cell r="D367">
            <v>362</v>
          </cell>
          <cell r="E367">
            <v>15.72</v>
          </cell>
          <cell r="F367">
            <v>1.738638069627596</v>
          </cell>
          <cell r="G367">
            <v>1.243365739762238</v>
          </cell>
          <cell r="H367">
            <v>1.9578</v>
          </cell>
        </row>
        <row r="368">
          <cell r="B368">
            <v>37064</v>
          </cell>
          <cell r="C368">
            <v>37062</v>
          </cell>
          <cell r="D368">
            <v>363</v>
          </cell>
          <cell r="E368">
            <v>15.72</v>
          </cell>
          <cell r="F368">
            <v>1.738638069627596</v>
          </cell>
          <cell r="G368">
            <v>1.2440863274321117</v>
          </cell>
          <cell r="H368">
            <v>1.9578</v>
          </cell>
        </row>
        <row r="369">
          <cell r="B369">
            <v>37065</v>
          </cell>
          <cell r="C369">
            <v>37063</v>
          </cell>
          <cell r="D369">
            <v>364</v>
          </cell>
          <cell r="E369">
            <v>15.72</v>
          </cell>
          <cell r="F369">
            <v>1.738638069627596</v>
          </cell>
          <cell r="G369">
            <v>1.2448073327157039</v>
          </cell>
          <cell r="H369">
            <v>1.9578</v>
          </cell>
        </row>
        <row r="370">
          <cell r="B370">
            <v>37066</v>
          </cell>
          <cell r="C370">
            <v>37064</v>
          </cell>
          <cell r="D370">
            <v>365</v>
          </cell>
          <cell r="E370">
            <v>15.72</v>
          </cell>
          <cell r="F370">
            <v>1.738638069627596</v>
          </cell>
          <cell r="G370">
            <v>1.245528755855041</v>
          </cell>
          <cell r="H370">
            <v>1.9578</v>
          </cell>
        </row>
        <row r="371">
          <cell r="B371">
            <v>37067</v>
          </cell>
          <cell r="C371">
            <v>37065</v>
          </cell>
          <cell r="D371">
            <v>366</v>
          </cell>
          <cell r="E371">
            <v>15.72</v>
          </cell>
          <cell r="F371">
            <v>1.738638069627596</v>
          </cell>
          <cell r="G371">
            <v>1.2462505970922895</v>
          </cell>
          <cell r="H371">
            <v>1.9578</v>
          </cell>
        </row>
        <row r="372">
          <cell r="B372">
            <v>37068</v>
          </cell>
          <cell r="C372">
            <v>37066</v>
          </cell>
          <cell r="D372">
            <v>367</v>
          </cell>
          <cell r="E372">
            <v>15.72</v>
          </cell>
          <cell r="F372">
            <v>1.738638069627596</v>
          </cell>
          <cell r="G372">
            <v>1.2469728566697564</v>
          </cell>
          <cell r="H372">
            <v>1.9578</v>
          </cell>
        </row>
        <row r="373">
          <cell r="B373">
            <v>37069</v>
          </cell>
          <cell r="C373">
            <v>37067</v>
          </cell>
          <cell r="D373">
            <v>368</v>
          </cell>
          <cell r="E373">
            <v>15.72</v>
          </cell>
          <cell r="F373">
            <v>1.738638069627596</v>
          </cell>
          <cell r="G373">
            <v>1.2476955348298893</v>
          </cell>
          <cell r="H373">
            <v>1.9578</v>
          </cell>
        </row>
        <row r="374">
          <cell r="B374">
            <v>37070</v>
          </cell>
          <cell r="C374">
            <v>37068</v>
          </cell>
          <cell r="D374">
            <v>369</v>
          </cell>
          <cell r="E374">
            <v>15.72</v>
          </cell>
          <cell r="F374">
            <v>1.738638069627596</v>
          </cell>
          <cell r="G374">
            <v>1.2484186318152759</v>
          </cell>
          <cell r="H374">
            <v>1.9578</v>
          </cell>
        </row>
        <row r="375">
          <cell r="B375">
            <v>37071</v>
          </cell>
          <cell r="C375">
            <v>37069</v>
          </cell>
          <cell r="D375">
            <v>370</v>
          </cell>
          <cell r="E375">
            <v>15.72</v>
          </cell>
          <cell r="F375">
            <v>1.738638069627596</v>
          </cell>
          <cell r="G375">
            <v>1.2491421478686446</v>
          </cell>
          <cell r="H375">
            <v>1.9578</v>
          </cell>
        </row>
        <row r="376">
          <cell r="B376">
            <v>37072</v>
          </cell>
          <cell r="C376">
            <v>37070</v>
          </cell>
          <cell r="D376">
            <v>371</v>
          </cell>
          <cell r="E376">
            <v>15.72</v>
          </cell>
          <cell r="F376">
            <v>1.738638069627596</v>
          </cell>
          <cell r="G376">
            <v>1.249866083232865</v>
          </cell>
          <cell r="H376">
            <v>1.9578</v>
          </cell>
        </row>
        <row r="377">
          <cell r="B377">
            <v>37073</v>
          </cell>
          <cell r="C377">
            <v>37071</v>
          </cell>
          <cell r="D377">
            <v>372</v>
          </cell>
          <cell r="E377">
            <v>15.72</v>
          </cell>
          <cell r="F377">
            <v>1.738638069627596</v>
          </cell>
          <cell r="G377">
            <v>1.2505904381509467</v>
          </cell>
          <cell r="H377">
            <v>1.9578</v>
          </cell>
        </row>
        <row r="378">
          <cell r="B378">
            <v>37074</v>
          </cell>
          <cell r="C378">
            <v>37072</v>
          </cell>
          <cell r="D378">
            <v>373</v>
          </cell>
          <cell r="E378">
            <v>15.72</v>
          </cell>
          <cell r="F378">
            <v>1.738638069627596</v>
          </cell>
          <cell r="G378">
            <v>1.2513152128660405</v>
          </cell>
          <cell r="H378">
            <v>1.9578</v>
          </cell>
        </row>
        <row r="379">
          <cell r="B379">
            <v>37075</v>
          </cell>
          <cell r="C379">
            <v>37073</v>
          </cell>
          <cell r="D379">
            <v>374</v>
          </cell>
          <cell r="E379">
            <v>15.72</v>
          </cell>
          <cell r="F379">
            <v>1.738638069627596</v>
          </cell>
          <cell r="G379">
            <v>1.2520404076214382</v>
          </cell>
          <cell r="H379">
            <v>1.9578</v>
          </cell>
        </row>
        <row r="380">
          <cell r="B380">
            <v>37076</v>
          </cell>
          <cell r="C380">
            <v>37074</v>
          </cell>
          <cell r="D380">
            <v>375</v>
          </cell>
          <cell r="E380">
            <v>15.72</v>
          </cell>
          <cell r="F380">
            <v>1.738638069627596</v>
          </cell>
          <cell r="G380">
            <v>1.2527660226605724</v>
          </cell>
          <cell r="H380">
            <v>1.9578</v>
          </cell>
        </row>
        <row r="381">
          <cell r="B381">
            <v>37077</v>
          </cell>
          <cell r="C381">
            <v>37075</v>
          </cell>
          <cell r="D381">
            <v>376</v>
          </cell>
          <cell r="E381">
            <v>15.72</v>
          </cell>
          <cell r="F381">
            <v>1.738638069627596</v>
          </cell>
          <cell r="G381">
            <v>1.2534920582270168</v>
          </cell>
          <cell r="H381">
            <v>1.9578</v>
          </cell>
        </row>
        <row r="382">
          <cell r="B382">
            <v>37078</v>
          </cell>
          <cell r="C382">
            <v>37076</v>
          </cell>
          <cell r="D382">
            <v>377</v>
          </cell>
          <cell r="E382">
            <v>15.72</v>
          </cell>
          <cell r="F382">
            <v>1.738638069627596</v>
          </cell>
          <cell r="G382">
            <v>1.2542185145644866</v>
          </cell>
          <cell r="H382">
            <v>1.9578</v>
          </cell>
        </row>
        <row r="383">
          <cell r="B383">
            <v>37079</v>
          </cell>
          <cell r="C383">
            <v>37077</v>
          </cell>
          <cell r="D383">
            <v>378</v>
          </cell>
          <cell r="E383">
            <v>15.72</v>
          </cell>
          <cell r="F383">
            <v>1.738638069627596</v>
          </cell>
          <cell r="G383">
            <v>1.2549453919168378</v>
          </cell>
          <cell r="H383">
            <v>1.9578</v>
          </cell>
        </row>
        <row r="384">
          <cell r="B384">
            <v>37080</v>
          </cell>
          <cell r="C384">
            <v>37078</v>
          </cell>
          <cell r="D384">
            <v>379</v>
          </cell>
          <cell r="E384">
            <v>15.72</v>
          </cell>
          <cell r="F384">
            <v>1.738638069627596</v>
          </cell>
          <cell r="G384">
            <v>1.255672690528068</v>
          </cell>
          <cell r="H384">
            <v>1.9578</v>
          </cell>
        </row>
        <row r="385">
          <cell r="B385">
            <v>37081</v>
          </cell>
          <cell r="C385">
            <v>37079</v>
          </cell>
          <cell r="D385">
            <v>380</v>
          </cell>
          <cell r="E385">
            <v>15.72</v>
          </cell>
          <cell r="F385">
            <v>1.738638069627596</v>
          </cell>
          <cell r="G385">
            <v>1.2564004106423159</v>
          </cell>
          <cell r="H385">
            <v>1.9578</v>
          </cell>
        </row>
        <row r="386">
          <cell r="B386">
            <v>37082</v>
          </cell>
          <cell r="C386">
            <v>37080</v>
          </cell>
          <cell r="D386">
            <v>381</v>
          </cell>
          <cell r="E386">
            <v>15.72</v>
          </cell>
          <cell r="F386">
            <v>1.738638069627596</v>
          </cell>
          <cell r="G386">
            <v>1.257128552503862</v>
          </cell>
          <cell r="H386">
            <v>1.9578</v>
          </cell>
        </row>
        <row r="387">
          <cell r="B387">
            <v>37083</v>
          </cell>
          <cell r="C387">
            <v>37081</v>
          </cell>
          <cell r="D387">
            <v>382</v>
          </cell>
          <cell r="E387">
            <v>15.72</v>
          </cell>
          <cell r="F387">
            <v>1.738638069627596</v>
          </cell>
          <cell r="G387">
            <v>1.2578571163571284</v>
          </cell>
          <cell r="H387">
            <v>1.9578</v>
          </cell>
        </row>
        <row r="388">
          <cell r="B388">
            <v>37084</v>
          </cell>
          <cell r="C388">
            <v>37082</v>
          </cell>
          <cell r="D388">
            <v>383</v>
          </cell>
          <cell r="E388">
            <v>15.72</v>
          </cell>
          <cell r="F388">
            <v>1.738638069627596</v>
          </cell>
          <cell r="G388">
            <v>1.2585861024466785</v>
          </cell>
          <cell r="H388">
            <v>1.9578</v>
          </cell>
        </row>
        <row r="389">
          <cell r="B389">
            <v>37085</v>
          </cell>
          <cell r="C389">
            <v>37083</v>
          </cell>
          <cell r="D389">
            <v>384</v>
          </cell>
          <cell r="E389">
            <v>15.72</v>
          </cell>
          <cell r="F389">
            <v>1.738638069627596</v>
          </cell>
          <cell r="G389">
            <v>1.2593155110172178</v>
          </cell>
          <cell r="H389">
            <v>1.9578</v>
          </cell>
        </row>
        <row r="390">
          <cell r="B390">
            <v>37086</v>
          </cell>
          <cell r="C390">
            <v>37084</v>
          </cell>
          <cell r="D390">
            <v>385</v>
          </cell>
          <cell r="E390">
            <v>15.72</v>
          </cell>
          <cell r="F390">
            <v>1.738638069627596</v>
          </cell>
          <cell r="G390">
            <v>1.2600453423135936</v>
          </cell>
          <cell r="H390">
            <v>1.9578</v>
          </cell>
        </row>
        <row r="391">
          <cell r="B391">
            <v>37087</v>
          </cell>
          <cell r="C391">
            <v>37085</v>
          </cell>
          <cell r="D391">
            <v>386</v>
          </cell>
          <cell r="E391">
            <v>15.72</v>
          </cell>
          <cell r="F391">
            <v>1.738638069627596</v>
          </cell>
          <cell r="G391">
            <v>1.2607755965807947</v>
          </cell>
          <cell r="H391">
            <v>1.9578</v>
          </cell>
        </row>
        <row r="392">
          <cell r="B392">
            <v>37088</v>
          </cell>
          <cell r="C392">
            <v>37086</v>
          </cell>
          <cell r="D392">
            <v>387</v>
          </cell>
          <cell r="E392">
            <v>15.72</v>
          </cell>
          <cell r="F392">
            <v>1.738638069627596</v>
          </cell>
          <cell r="G392">
            <v>1.2615062740639524</v>
          </cell>
          <cell r="H392">
            <v>1.9578</v>
          </cell>
        </row>
        <row r="393">
          <cell r="B393">
            <v>37089</v>
          </cell>
          <cell r="C393">
            <v>37087</v>
          </cell>
          <cell r="D393">
            <v>388</v>
          </cell>
          <cell r="E393">
            <v>15.72</v>
          </cell>
          <cell r="F393">
            <v>1.738638069627596</v>
          </cell>
          <cell r="G393">
            <v>1.2622373750083395</v>
          </cell>
          <cell r="H393">
            <v>1.9578</v>
          </cell>
        </row>
        <row r="394">
          <cell r="B394">
            <v>37090</v>
          </cell>
          <cell r="C394">
            <v>37088</v>
          </cell>
          <cell r="D394">
            <v>389</v>
          </cell>
          <cell r="E394">
            <v>15.72</v>
          </cell>
          <cell r="F394">
            <v>1.738638069627596</v>
          </cell>
          <cell r="G394">
            <v>1.2629688996593718</v>
          </cell>
          <cell r="H394">
            <v>1.9578</v>
          </cell>
        </row>
        <row r="395">
          <cell r="B395">
            <v>37091</v>
          </cell>
          <cell r="C395">
            <v>37089</v>
          </cell>
          <cell r="D395">
            <v>390</v>
          </cell>
          <cell r="E395">
            <v>15.72</v>
          </cell>
          <cell r="F395">
            <v>1.738638069627596</v>
          </cell>
          <cell r="G395">
            <v>1.2637008482626062</v>
          </cell>
          <cell r="H395">
            <v>1.9578</v>
          </cell>
        </row>
        <row r="396">
          <cell r="B396">
            <v>37092</v>
          </cell>
          <cell r="C396">
            <v>37090</v>
          </cell>
          <cell r="D396">
            <v>391</v>
          </cell>
          <cell r="E396">
            <v>15.72</v>
          </cell>
          <cell r="F396">
            <v>1.738638069627596</v>
          </cell>
          <cell r="G396">
            <v>1.2644332210637428</v>
          </cell>
          <cell r="H396">
            <v>1.9578</v>
          </cell>
        </row>
        <row r="397">
          <cell r="B397">
            <v>37093</v>
          </cell>
          <cell r="C397">
            <v>37091</v>
          </cell>
          <cell r="D397">
            <v>392</v>
          </cell>
          <cell r="E397">
            <v>15.72</v>
          </cell>
          <cell r="F397">
            <v>1.738638069627596</v>
          </cell>
          <cell r="G397">
            <v>1.265166018308624</v>
          </cell>
          <cell r="H397">
            <v>1.9578</v>
          </cell>
        </row>
        <row r="398">
          <cell r="B398">
            <v>37094</v>
          </cell>
          <cell r="C398">
            <v>37092</v>
          </cell>
          <cell r="D398">
            <v>393</v>
          </cell>
          <cell r="E398">
            <v>15.72</v>
          </cell>
          <cell r="F398">
            <v>1.738638069627596</v>
          </cell>
          <cell r="G398">
            <v>1.2658992402432341</v>
          </cell>
          <cell r="H398">
            <v>1.9578</v>
          </cell>
        </row>
        <row r="399">
          <cell r="B399">
            <v>37095</v>
          </cell>
          <cell r="C399">
            <v>37093</v>
          </cell>
          <cell r="D399">
            <v>394</v>
          </cell>
          <cell r="E399">
            <v>15.72</v>
          </cell>
          <cell r="F399">
            <v>1.738638069627596</v>
          </cell>
          <cell r="G399">
            <v>1.2666328871137007</v>
          </cell>
          <cell r="H399">
            <v>1.9578</v>
          </cell>
        </row>
        <row r="400">
          <cell r="B400">
            <v>37096</v>
          </cell>
          <cell r="C400">
            <v>37094</v>
          </cell>
          <cell r="D400">
            <v>395</v>
          </cell>
          <cell r="E400">
            <v>15.72</v>
          </cell>
          <cell r="F400">
            <v>1.738638069627596</v>
          </cell>
          <cell r="G400">
            <v>1.2673669591662935</v>
          </cell>
          <cell r="H400">
            <v>1.9578</v>
          </cell>
        </row>
        <row r="401">
          <cell r="B401">
            <v>37097</v>
          </cell>
          <cell r="C401">
            <v>37095</v>
          </cell>
          <cell r="D401">
            <v>396</v>
          </cell>
          <cell r="E401">
            <v>15.72</v>
          </cell>
          <cell r="F401">
            <v>1.738638069627596</v>
          </cell>
          <cell r="G401">
            <v>1.2681014566474251</v>
          </cell>
          <cell r="H401">
            <v>1.9578</v>
          </cell>
        </row>
        <row r="402">
          <cell r="B402">
            <v>37098</v>
          </cell>
          <cell r="C402">
            <v>37096</v>
          </cell>
          <cell r="D402">
            <v>397</v>
          </cell>
          <cell r="E402">
            <v>15.72</v>
          </cell>
          <cell r="F402">
            <v>1.738638069627596</v>
          </cell>
          <cell r="G402">
            <v>1.2688363798036508</v>
          </cell>
          <cell r="H402">
            <v>1.9578</v>
          </cell>
        </row>
        <row r="403">
          <cell r="B403">
            <v>37099</v>
          </cell>
          <cell r="C403">
            <v>37097</v>
          </cell>
          <cell r="D403">
            <v>398</v>
          </cell>
          <cell r="E403">
            <v>15.72</v>
          </cell>
          <cell r="F403">
            <v>1.738638069627596</v>
          </cell>
          <cell r="G403">
            <v>1.2695717288816692</v>
          </cell>
          <cell r="H403">
            <v>1.9578</v>
          </cell>
        </row>
        <row r="404">
          <cell r="B404">
            <v>37100</v>
          </cell>
          <cell r="C404">
            <v>37098</v>
          </cell>
          <cell r="D404">
            <v>399</v>
          </cell>
          <cell r="E404">
            <v>15.72</v>
          </cell>
          <cell r="F404">
            <v>1.738638069627596</v>
          </cell>
          <cell r="G404">
            <v>1.2703075041283214</v>
          </cell>
          <cell r="H404">
            <v>1.9578</v>
          </cell>
        </row>
        <row r="405">
          <cell r="B405">
            <v>37101</v>
          </cell>
          <cell r="C405">
            <v>37099</v>
          </cell>
          <cell r="D405">
            <v>400</v>
          </cell>
          <cell r="E405">
            <v>15.72</v>
          </cell>
          <cell r="F405">
            <v>1.738638069627596</v>
          </cell>
          <cell r="G405">
            <v>1.2710437057905917</v>
          </cell>
          <cell r="H405">
            <v>1.9578</v>
          </cell>
        </row>
        <row r="406">
          <cell r="B406">
            <v>37102</v>
          </cell>
          <cell r="C406">
            <v>37100</v>
          </cell>
          <cell r="D406">
            <v>401</v>
          </cell>
          <cell r="E406">
            <v>15.72</v>
          </cell>
          <cell r="F406">
            <v>1.738638069627596</v>
          </cell>
          <cell r="G406">
            <v>1.2717803341156078</v>
          </cell>
          <cell r="H406">
            <v>1.9578</v>
          </cell>
        </row>
        <row r="407">
          <cell r="B407">
            <v>37103</v>
          </cell>
          <cell r="C407">
            <v>37101</v>
          </cell>
          <cell r="D407">
            <v>402</v>
          </cell>
          <cell r="E407">
            <v>15.72</v>
          </cell>
          <cell r="F407">
            <v>1.738638069627596</v>
          </cell>
          <cell r="G407">
            <v>1.2725173893506401</v>
          </cell>
          <cell r="H407">
            <v>1.9578</v>
          </cell>
        </row>
        <row r="408">
          <cell r="B408">
            <v>37104</v>
          </cell>
          <cell r="C408">
            <v>37102</v>
          </cell>
          <cell r="D408">
            <v>403</v>
          </cell>
          <cell r="E408">
            <v>15.72</v>
          </cell>
          <cell r="F408">
            <v>1.738638069627596</v>
          </cell>
          <cell r="G408">
            <v>1.2732548717431027</v>
          </cell>
          <cell r="H408">
            <v>1.9578</v>
          </cell>
        </row>
        <row r="409">
          <cell r="B409">
            <v>37105</v>
          </cell>
          <cell r="C409">
            <v>37103</v>
          </cell>
          <cell r="D409">
            <v>404</v>
          </cell>
          <cell r="E409">
            <v>15.72</v>
          </cell>
          <cell r="F409">
            <v>1.738638069627596</v>
          </cell>
          <cell r="G409">
            <v>1.2739927815405532</v>
          </cell>
          <cell r="H409">
            <v>1.9578</v>
          </cell>
        </row>
        <row r="410">
          <cell r="B410">
            <v>37106</v>
          </cell>
          <cell r="C410">
            <v>37104</v>
          </cell>
          <cell r="D410">
            <v>405</v>
          </cell>
          <cell r="E410">
            <v>15.72</v>
          </cell>
          <cell r="F410">
            <v>1.738638069627596</v>
          </cell>
          <cell r="G410">
            <v>1.2747311189906922</v>
          </cell>
          <cell r="H410">
            <v>1.9578</v>
          </cell>
        </row>
        <row r="411">
          <cell r="B411">
            <v>37107</v>
          </cell>
          <cell r="C411">
            <v>37105</v>
          </cell>
          <cell r="D411">
            <v>406</v>
          </cell>
          <cell r="E411">
            <v>15.72</v>
          </cell>
          <cell r="F411">
            <v>1.738638069627596</v>
          </cell>
          <cell r="G411">
            <v>1.2754698843413643</v>
          </cell>
          <cell r="H411">
            <v>1.9578</v>
          </cell>
        </row>
        <row r="412">
          <cell r="B412">
            <v>37108</v>
          </cell>
          <cell r="C412">
            <v>37106</v>
          </cell>
          <cell r="D412">
            <v>407</v>
          </cell>
          <cell r="E412">
            <v>15.72</v>
          </cell>
          <cell r="F412">
            <v>1.738638069627596</v>
          </cell>
          <cell r="G412">
            <v>1.2762090778405575</v>
          </cell>
          <cell r="H412">
            <v>1.9578</v>
          </cell>
        </row>
        <row r="413">
          <cell r="B413">
            <v>37109</v>
          </cell>
          <cell r="C413">
            <v>37107</v>
          </cell>
          <cell r="D413">
            <v>408</v>
          </cell>
          <cell r="E413">
            <v>15.72</v>
          </cell>
          <cell r="F413">
            <v>1.738638069627596</v>
          </cell>
          <cell r="G413">
            <v>1.2769486997364035</v>
          </cell>
          <cell r="H413">
            <v>1.9578</v>
          </cell>
        </row>
        <row r="414">
          <cell r="B414">
            <v>37110</v>
          </cell>
          <cell r="C414">
            <v>37108</v>
          </cell>
          <cell r="D414">
            <v>409</v>
          </cell>
          <cell r="E414">
            <v>15.72</v>
          </cell>
          <cell r="F414">
            <v>1.738638069627596</v>
          </cell>
          <cell r="G414">
            <v>1.2776887502771779</v>
          </cell>
          <cell r="H414">
            <v>1.9578</v>
          </cell>
        </row>
        <row r="415">
          <cell r="B415">
            <v>37111</v>
          </cell>
          <cell r="C415">
            <v>37109</v>
          </cell>
          <cell r="D415">
            <v>410</v>
          </cell>
          <cell r="E415">
            <v>15.72</v>
          </cell>
          <cell r="F415">
            <v>1.738638069627596</v>
          </cell>
          <cell r="G415">
            <v>1.2784292297113002</v>
          </cell>
          <cell r="H415">
            <v>1.9578</v>
          </cell>
        </row>
        <row r="416">
          <cell r="B416">
            <v>37112</v>
          </cell>
          <cell r="C416">
            <v>37110</v>
          </cell>
          <cell r="D416">
            <v>411</v>
          </cell>
          <cell r="E416">
            <v>15.72</v>
          </cell>
          <cell r="F416">
            <v>1.738638069627596</v>
          </cell>
          <cell r="G416">
            <v>1.2791701382873337</v>
          </cell>
          <cell r="H416">
            <v>1.9578</v>
          </cell>
        </row>
        <row r="417">
          <cell r="B417">
            <v>37113</v>
          </cell>
          <cell r="C417">
            <v>37111</v>
          </cell>
          <cell r="D417">
            <v>412</v>
          </cell>
          <cell r="E417">
            <v>15.72</v>
          </cell>
          <cell r="F417">
            <v>1.738638069627596</v>
          </cell>
          <cell r="G417">
            <v>1.279911476253986</v>
          </cell>
          <cell r="H417">
            <v>1.9578</v>
          </cell>
        </row>
        <row r="418">
          <cell r="B418">
            <v>37114</v>
          </cell>
          <cell r="C418">
            <v>37112</v>
          </cell>
          <cell r="D418">
            <v>413</v>
          </cell>
          <cell r="E418">
            <v>15.72</v>
          </cell>
          <cell r="F418">
            <v>1.738638069627596</v>
          </cell>
          <cell r="G418">
            <v>1.2806532438601088</v>
          </cell>
          <cell r="H418">
            <v>1.9578</v>
          </cell>
        </row>
        <row r="419">
          <cell r="B419">
            <v>37115</v>
          </cell>
          <cell r="C419">
            <v>37113</v>
          </cell>
          <cell r="D419">
            <v>414</v>
          </cell>
          <cell r="E419">
            <v>15.72</v>
          </cell>
          <cell r="F419">
            <v>1.738638069627596</v>
          </cell>
          <cell r="G419">
            <v>1.281395441354698</v>
          </cell>
          <cell r="H419">
            <v>1.9578</v>
          </cell>
        </row>
        <row r="420">
          <cell r="B420">
            <v>37116</v>
          </cell>
          <cell r="C420">
            <v>37114</v>
          </cell>
          <cell r="D420">
            <v>415</v>
          </cell>
          <cell r="E420">
            <v>15.72</v>
          </cell>
          <cell r="F420">
            <v>1.738638069627596</v>
          </cell>
          <cell r="G420">
            <v>1.2821380689868935</v>
          </cell>
          <cell r="H420">
            <v>1.9578</v>
          </cell>
        </row>
        <row r="421">
          <cell r="B421">
            <v>37117</v>
          </cell>
          <cell r="C421">
            <v>37115</v>
          </cell>
          <cell r="D421">
            <v>416</v>
          </cell>
          <cell r="E421">
            <v>15.72</v>
          </cell>
          <cell r="F421">
            <v>1.738638069627596</v>
          </cell>
          <cell r="G421">
            <v>1.2828811270059801</v>
          </cell>
          <cell r="H421">
            <v>1.9578</v>
          </cell>
        </row>
        <row r="422">
          <cell r="B422">
            <v>37118</v>
          </cell>
          <cell r="C422">
            <v>37116</v>
          </cell>
          <cell r="D422">
            <v>417</v>
          </cell>
          <cell r="E422">
            <v>15.72</v>
          </cell>
          <cell r="F422">
            <v>1.738638069627596</v>
          </cell>
          <cell r="G422">
            <v>1.2836246156613866</v>
          </cell>
          <cell r="H422">
            <v>1.9578</v>
          </cell>
        </row>
        <row r="423">
          <cell r="B423">
            <v>37119</v>
          </cell>
          <cell r="C423">
            <v>37117</v>
          </cell>
          <cell r="D423">
            <v>418</v>
          </cell>
          <cell r="E423">
            <v>15.72</v>
          </cell>
          <cell r="F423">
            <v>1.738638069627596</v>
          </cell>
          <cell r="G423">
            <v>1.2843685352026866</v>
          </cell>
          <cell r="H423">
            <v>1.9578</v>
          </cell>
        </row>
        <row r="424">
          <cell r="B424">
            <v>37120</v>
          </cell>
          <cell r="C424">
            <v>37118</v>
          </cell>
          <cell r="D424">
            <v>419</v>
          </cell>
          <cell r="E424">
            <v>15.72</v>
          </cell>
          <cell r="F424">
            <v>1.738638069627596</v>
          </cell>
          <cell r="G424">
            <v>1.2851128858795984</v>
          </cell>
          <cell r="H424">
            <v>1.9578</v>
          </cell>
        </row>
        <row r="425">
          <cell r="B425">
            <v>37121</v>
          </cell>
          <cell r="C425">
            <v>37119</v>
          </cell>
          <cell r="D425">
            <v>420</v>
          </cell>
          <cell r="E425">
            <v>15.72</v>
          </cell>
          <cell r="F425">
            <v>1.738638069627596</v>
          </cell>
          <cell r="G425">
            <v>1.2858576679419849</v>
          </cell>
          <cell r="H425">
            <v>1.9578</v>
          </cell>
        </row>
        <row r="426">
          <cell r="B426">
            <v>37122</v>
          </cell>
          <cell r="C426">
            <v>37120</v>
          </cell>
          <cell r="D426">
            <v>421</v>
          </cell>
          <cell r="E426">
            <v>15.72</v>
          </cell>
          <cell r="F426">
            <v>1.738638069627596</v>
          </cell>
          <cell r="G426">
            <v>1.2866028816398536</v>
          </cell>
          <cell r="H426">
            <v>1.9578</v>
          </cell>
        </row>
        <row r="427">
          <cell r="B427">
            <v>37123</v>
          </cell>
          <cell r="C427">
            <v>37121</v>
          </cell>
          <cell r="D427">
            <v>422</v>
          </cell>
          <cell r="E427">
            <v>15.72</v>
          </cell>
          <cell r="F427">
            <v>1.738638069627596</v>
          </cell>
          <cell r="G427">
            <v>1.2873485272233574</v>
          </cell>
          <cell r="H427">
            <v>1.9578</v>
          </cell>
        </row>
        <row r="428">
          <cell r="B428">
            <v>37124</v>
          </cell>
          <cell r="C428">
            <v>37122</v>
          </cell>
          <cell r="D428">
            <v>423</v>
          </cell>
          <cell r="E428">
            <v>15.72</v>
          </cell>
          <cell r="F428">
            <v>1.738638069627596</v>
          </cell>
          <cell r="G428">
            <v>1.2880946049427939</v>
          </cell>
          <cell r="H428">
            <v>1.9578</v>
          </cell>
        </row>
        <row r="429">
          <cell r="B429">
            <v>37125</v>
          </cell>
          <cell r="C429">
            <v>37123</v>
          </cell>
          <cell r="D429">
            <v>424</v>
          </cell>
          <cell r="E429">
            <v>15.72</v>
          </cell>
          <cell r="F429">
            <v>1.738638069627596</v>
          </cell>
          <cell r="G429">
            <v>1.2888411150486057</v>
          </cell>
          <cell r="H429">
            <v>1.9578</v>
          </cell>
        </row>
        <row r="430">
          <cell r="B430">
            <v>37126</v>
          </cell>
          <cell r="C430">
            <v>37124</v>
          </cell>
          <cell r="D430">
            <v>425</v>
          </cell>
          <cell r="E430">
            <v>15.72</v>
          </cell>
          <cell r="F430">
            <v>1.738638069627596</v>
          </cell>
          <cell r="G430">
            <v>1.2895880577913805</v>
          </cell>
          <cell r="H430">
            <v>1.9578</v>
          </cell>
        </row>
        <row r="431">
          <cell r="B431">
            <v>37127</v>
          </cell>
          <cell r="C431">
            <v>37125</v>
          </cell>
          <cell r="D431">
            <v>426</v>
          </cell>
          <cell r="E431">
            <v>15.72</v>
          </cell>
          <cell r="F431">
            <v>1.738638069627596</v>
          </cell>
          <cell r="G431">
            <v>1.2903354334218515</v>
          </cell>
          <cell r="H431">
            <v>1.9578</v>
          </cell>
        </row>
        <row r="432">
          <cell r="B432">
            <v>37128</v>
          </cell>
          <cell r="C432">
            <v>37126</v>
          </cell>
          <cell r="D432">
            <v>427</v>
          </cell>
          <cell r="E432">
            <v>15.72</v>
          </cell>
          <cell r="F432">
            <v>1.738638069627596</v>
          </cell>
          <cell r="G432">
            <v>1.2910832421908971</v>
          </cell>
          <cell r="H432">
            <v>1.9578</v>
          </cell>
        </row>
        <row r="433">
          <cell r="B433">
            <v>37129</v>
          </cell>
          <cell r="C433">
            <v>37127</v>
          </cell>
          <cell r="D433">
            <v>428</v>
          </cell>
          <cell r="E433">
            <v>15.72</v>
          </cell>
          <cell r="F433">
            <v>1.738638069627596</v>
          </cell>
          <cell r="G433">
            <v>1.2918314843495409</v>
          </cell>
          <cell r="H433">
            <v>1.9578</v>
          </cell>
        </row>
        <row r="434">
          <cell r="B434">
            <v>37130</v>
          </cell>
          <cell r="C434">
            <v>37128</v>
          </cell>
          <cell r="D434">
            <v>429</v>
          </cell>
          <cell r="E434">
            <v>15.72</v>
          </cell>
          <cell r="F434">
            <v>1.738638069627596</v>
          </cell>
          <cell r="G434">
            <v>1.2925801601489522</v>
          </cell>
          <cell r="H434">
            <v>1.9578</v>
          </cell>
        </row>
        <row r="435">
          <cell r="B435">
            <v>37131</v>
          </cell>
          <cell r="C435">
            <v>37129</v>
          </cell>
          <cell r="D435">
            <v>430</v>
          </cell>
          <cell r="E435">
            <v>15.72</v>
          </cell>
          <cell r="F435">
            <v>1.738638069627596</v>
          </cell>
          <cell r="G435">
            <v>1.2933292698404455</v>
          </cell>
          <cell r="H435">
            <v>1.9578</v>
          </cell>
        </row>
        <row r="436">
          <cell r="B436">
            <v>37132</v>
          </cell>
          <cell r="C436">
            <v>37130</v>
          </cell>
          <cell r="D436">
            <v>431</v>
          </cell>
          <cell r="E436">
            <v>15.72</v>
          </cell>
          <cell r="F436">
            <v>1.738638069627596</v>
          </cell>
          <cell r="G436">
            <v>1.2940788136754815</v>
          </cell>
          <cell r="H436">
            <v>1.9578</v>
          </cell>
        </row>
        <row r="437">
          <cell r="B437">
            <v>37133</v>
          </cell>
          <cell r="C437">
            <v>37131</v>
          </cell>
          <cell r="D437">
            <v>432</v>
          </cell>
          <cell r="E437">
            <v>15.72</v>
          </cell>
          <cell r="F437">
            <v>1.738638069627596</v>
          </cell>
          <cell r="G437">
            <v>1.2948287919056665</v>
          </cell>
          <cell r="H437">
            <v>1.9578</v>
          </cell>
        </row>
        <row r="438">
          <cell r="B438">
            <v>37134</v>
          </cell>
          <cell r="C438">
            <v>37132</v>
          </cell>
          <cell r="D438">
            <v>433</v>
          </cell>
          <cell r="E438">
            <v>15.72</v>
          </cell>
          <cell r="F438">
            <v>1.738638069627596</v>
          </cell>
          <cell r="G438">
            <v>1.2955792047827521</v>
          </cell>
          <cell r="H438">
            <v>1.9578</v>
          </cell>
        </row>
        <row r="439">
          <cell r="B439">
            <v>37135</v>
          </cell>
          <cell r="C439">
            <v>37133</v>
          </cell>
          <cell r="D439">
            <v>434</v>
          </cell>
          <cell r="E439">
            <v>15.72</v>
          </cell>
          <cell r="F439">
            <v>1.738638069627596</v>
          </cell>
          <cell r="G439">
            <v>1.2963300525586365</v>
          </cell>
          <cell r="H439">
            <v>1.9578</v>
          </cell>
        </row>
        <row r="440">
          <cell r="B440">
            <v>37136</v>
          </cell>
          <cell r="C440">
            <v>37134</v>
          </cell>
          <cell r="D440">
            <v>435</v>
          </cell>
          <cell r="E440">
            <v>15.72</v>
          </cell>
          <cell r="F440">
            <v>1.738638069627596</v>
          </cell>
          <cell r="G440">
            <v>1.2970813354853634</v>
          </cell>
          <cell r="H440">
            <v>1.9578</v>
          </cell>
        </row>
        <row r="441">
          <cell r="B441">
            <v>37137</v>
          </cell>
          <cell r="C441">
            <v>37135</v>
          </cell>
          <cell r="D441">
            <v>436</v>
          </cell>
          <cell r="E441">
            <v>15.72</v>
          </cell>
          <cell r="F441">
            <v>1.738638069627596</v>
          </cell>
          <cell r="G441">
            <v>1.2978330538151228</v>
          </cell>
          <cell r="H441">
            <v>1.9578</v>
          </cell>
        </row>
        <row r="442">
          <cell r="B442">
            <v>37138</v>
          </cell>
          <cell r="C442">
            <v>37136</v>
          </cell>
          <cell r="D442">
            <v>437</v>
          </cell>
          <cell r="E442">
            <v>15.72</v>
          </cell>
          <cell r="F442">
            <v>1.738638069627596</v>
          </cell>
          <cell r="G442">
            <v>1.2985852078002509</v>
          </cell>
          <cell r="H442">
            <v>1.9578</v>
          </cell>
        </row>
        <row r="443">
          <cell r="B443">
            <v>37139</v>
          </cell>
          <cell r="C443">
            <v>37137</v>
          </cell>
          <cell r="D443">
            <v>438</v>
          </cell>
          <cell r="E443">
            <v>15.72</v>
          </cell>
          <cell r="F443">
            <v>1.738638069627596</v>
          </cell>
          <cell r="G443">
            <v>1.2993377976932299</v>
          </cell>
          <cell r="H443">
            <v>1.9578</v>
          </cell>
        </row>
        <row r="444">
          <cell r="B444">
            <v>37140</v>
          </cell>
          <cell r="C444">
            <v>37138</v>
          </cell>
          <cell r="D444">
            <v>439</v>
          </cell>
          <cell r="E444">
            <v>15.72</v>
          </cell>
          <cell r="F444">
            <v>1.738638069627596</v>
          </cell>
          <cell r="G444">
            <v>1.3000908237466884</v>
          </cell>
          <cell r="H444">
            <v>1.9578</v>
          </cell>
        </row>
        <row r="445">
          <cell r="B445">
            <v>37141</v>
          </cell>
          <cell r="C445">
            <v>37139</v>
          </cell>
          <cell r="D445">
            <v>440</v>
          </cell>
          <cell r="E445">
            <v>15.72</v>
          </cell>
          <cell r="F445">
            <v>1.738638069627596</v>
          </cell>
          <cell r="G445">
            <v>1.3008442862134015</v>
          </cell>
          <cell r="H445">
            <v>1.9578</v>
          </cell>
        </row>
        <row r="446">
          <cell r="B446">
            <v>37142</v>
          </cell>
          <cell r="C446">
            <v>37140</v>
          </cell>
          <cell r="D446">
            <v>441</v>
          </cell>
          <cell r="E446">
            <v>15.72</v>
          </cell>
          <cell r="F446">
            <v>1.738638069627596</v>
          </cell>
          <cell r="G446">
            <v>1.301598185346291</v>
          </cell>
          <cell r="H446">
            <v>1.9578</v>
          </cell>
        </row>
        <row r="447">
          <cell r="B447">
            <v>37143</v>
          </cell>
          <cell r="C447">
            <v>37141</v>
          </cell>
          <cell r="D447">
            <v>442</v>
          </cell>
          <cell r="E447">
            <v>15.72</v>
          </cell>
          <cell r="F447">
            <v>1.738638069627596</v>
          </cell>
          <cell r="G447">
            <v>1.3023525213984248</v>
          </cell>
          <cell r="H447">
            <v>1.9578</v>
          </cell>
        </row>
        <row r="448">
          <cell r="B448">
            <v>37144</v>
          </cell>
          <cell r="C448">
            <v>37142</v>
          </cell>
          <cell r="D448">
            <v>443</v>
          </cell>
          <cell r="E448">
            <v>15.72</v>
          </cell>
          <cell r="F448">
            <v>1.738638069627596</v>
          </cell>
          <cell r="G448">
            <v>1.3031072946230178</v>
          </cell>
          <cell r="H448">
            <v>1.9578</v>
          </cell>
        </row>
        <row r="449">
          <cell r="B449">
            <v>37145</v>
          </cell>
          <cell r="C449">
            <v>37143</v>
          </cell>
          <cell r="D449">
            <v>444</v>
          </cell>
          <cell r="E449">
            <v>15.72</v>
          </cell>
          <cell r="F449">
            <v>1.738638069627596</v>
          </cell>
          <cell r="G449">
            <v>1.3038625052734314</v>
          </cell>
          <cell r="H449">
            <v>1.9578</v>
          </cell>
        </row>
        <row r="450">
          <cell r="B450">
            <v>37146</v>
          </cell>
          <cell r="C450">
            <v>37144</v>
          </cell>
          <cell r="D450">
            <v>445</v>
          </cell>
          <cell r="E450">
            <v>15.72</v>
          </cell>
          <cell r="F450">
            <v>1.738638069627596</v>
          </cell>
          <cell r="G450">
            <v>1.3046181536031742</v>
          </cell>
          <cell r="H450">
            <v>1.9578</v>
          </cell>
        </row>
        <row r="451">
          <cell r="B451">
            <v>37147</v>
          </cell>
          <cell r="C451">
            <v>37145</v>
          </cell>
          <cell r="D451">
            <v>446</v>
          </cell>
          <cell r="E451">
            <v>15.72</v>
          </cell>
          <cell r="F451">
            <v>1.738638069627596</v>
          </cell>
          <cell r="G451">
            <v>1.3053742398659014</v>
          </cell>
          <cell r="H451">
            <v>1.9578</v>
          </cell>
        </row>
        <row r="452">
          <cell r="B452">
            <v>37148</v>
          </cell>
          <cell r="C452">
            <v>37146</v>
          </cell>
          <cell r="D452">
            <v>447</v>
          </cell>
          <cell r="E452">
            <v>15.72</v>
          </cell>
          <cell r="F452">
            <v>1.738638069627596</v>
          </cell>
          <cell r="G452">
            <v>1.3061307643154154</v>
          </cell>
          <cell r="H452">
            <v>1.9578</v>
          </cell>
        </row>
        <row r="453">
          <cell r="B453">
            <v>37149</v>
          </cell>
          <cell r="C453">
            <v>37147</v>
          </cell>
          <cell r="D453">
            <v>448</v>
          </cell>
          <cell r="E453">
            <v>15.72</v>
          </cell>
          <cell r="F453">
            <v>1.738638069627596</v>
          </cell>
          <cell r="G453">
            <v>1.3068877272056656</v>
          </cell>
          <cell r="H453">
            <v>1.9578</v>
          </cell>
        </row>
        <row r="454">
          <cell r="B454">
            <v>37150</v>
          </cell>
          <cell r="C454">
            <v>37148</v>
          </cell>
          <cell r="D454">
            <v>449</v>
          </cell>
          <cell r="E454">
            <v>15.72</v>
          </cell>
          <cell r="F454">
            <v>1.738638069627596</v>
          </cell>
          <cell r="G454">
            <v>1.3076451287907485</v>
          </cell>
          <cell r="H454">
            <v>1.9578</v>
          </cell>
        </row>
        <row r="455">
          <cell r="B455">
            <v>37151</v>
          </cell>
          <cell r="C455">
            <v>37149</v>
          </cell>
          <cell r="D455">
            <v>450</v>
          </cell>
          <cell r="E455">
            <v>15.72</v>
          </cell>
          <cell r="F455">
            <v>1.738638069627596</v>
          </cell>
          <cell r="G455">
            <v>1.308402969324908</v>
          </cell>
          <cell r="H455">
            <v>1.9578</v>
          </cell>
        </row>
        <row r="456">
          <cell r="B456">
            <v>37152</v>
          </cell>
          <cell r="C456">
            <v>37150</v>
          </cell>
          <cell r="D456">
            <v>451</v>
          </cell>
          <cell r="E456">
            <v>15.72</v>
          </cell>
          <cell r="F456">
            <v>1.738638069627596</v>
          </cell>
          <cell r="G456">
            <v>1.3091612490625353</v>
          </cell>
          <cell r="H456">
            <v>1.9578</v>
          </cell>
        </row>
        <row r="457">
          <cell r="B457">
            <v>37153</v>
          </cell>
          <cell r="C457">
            <v>37151</v>
          </cell>
          <cell r="D457">
            <v>452</v>
          </cell>
          <cell r="E457">
            <v>15.72</v>
          </cell>
          <cell r="F457">
            <v>1.738638069627596</v>
          </cell>
          <cell r="G457">
            <v>1.309919968258169</v>
          </cell>
          <cell r="H457">
            <v>1.9578</v>
          </cell>
        </row>
        <row r="458">
          <cell r="B458">
            <v>37154</v>
          </cell>
          <cell r="C458">
            <v>37152</v>
          </cell>
          <cell r="D458">
            <v>453</v>
          </cell>
          <cell r="E458">
            <v>15.72</v>
          </cell>
          <cell r="F458">
            <v>1.738638069627596</v>
          </cell>
          <cell r="G458">
            <v>1.3106791271664955</v>
          </cell>
          <cell r="H458">
            <v>1.9578</v>
          </cell>
        </row>
        <row r="459">
          <cell r="B459">
            <v>37155</v>
          </cell>
          <cell r="C459">
            <v>37153</v>
          </cell>
          <cell r="D459">
            <v>454</v>
          </cell>
          <cell r="E459">
            <v>15.72</v>
          </cell>
          <cell r="F459">
            <v>1.738638069627596</v>
          </cell>
          <cell r="G459">
            <v>1.3114387260423481</v>
          </cell>
          <cell r="H459">
            <v>1.9578</v>
          </cell>
        </row>
        <row r="460">
          <cell r="B460">
            <v>37156</v>
          </cell>
          <cell r="C460">
            <v>37154</v>
          </cell>
          <cell r="D460">
            <v>455</v>
          </cell>
          <cell r="E460">
            <v>15.72</v>
          </cell>
          <cell r="F460">
            <v>1.738638069627596</v>
          </cell>
          <cell r="G460">
            <v>1.3121987651407085</v>
          </cell>
          <cell r="H460">
            <v>1.9578</v>
          </cell>
        </row>
        <row r="461">
          <cell r="B461">
            <v>37157</v>
          </cell>
          <cell r="C461">
            <v>37155</v>
          </cell>
          <cell r="D461">
            <v>456</v>
          </cell>
          <cell r="E461">
            <v>15.72</v>
          </cell>
          <cell r="F461">
            <v>1.738638069627596</v>
          </cell>
          <cell r="G461">
            <v>1.3129592447167058</v>
          </cell>
          <cell r="H461">
            <v>1.9578</v>
          </cell>
        </row>
        <row r="462">
          <cell r="B462">
            <v>37158</v>
          </cell>
          <cell r="C462">
            <v>37156</v>
          </cell>
          <cell r="D462">
            <v>457</v>
          </cell>
          <cell r="E462">
            <v>15.72</v>
          </cell>
          <cell r="F462">
            <v>1.738638069627596</v>
          </cell>
          <cell r="G462">
            <v>1.3137201650256172</v>
          </cell>
          <cell r="H462">
            <v>1.9578</v>
          </cell>
        </row>
        <row r="463">
          <cell r="B463">
            <v>37159</v>
          </cell>
          <cell r="C463">
            <v>37157</v>
          </cell>
          <cell r="D463">
            <v>458</v>
          </cell>
          <cell r="E463">
            <v>15.72</v>
          </cell>
          <cell r="F463">
            <v>1.738638069627596</v>
          </cell>
          <cell r="G463">
            <v>1.3144815263228675</v>
          </cell>
          <cell r="H463">
            <v>1.9578</v>
          </cell>
        </row>
        <row r="464">
          <cell r="B464">
            <v>37160</v>
          </cell>
          <cell r="C464">
            <v>37158</v>
          </cell>
          <cell r="D464">
            <v>459</v>
          </cell>
          <cell r="E464">
            <v>15.72</v>
          </cell>
          <cell r="F464">
            <v>1.738638069627596</v>
          </cell>
          <cell r="G464">
            <v>1.3152433288640299</v>
          </cell>
          <cell r="H464">
            <v>1.9578</v>
          </cell>
        </row>
        <row r="465">
          <cell r="B465">
            <v>37161</v>
          </cell>
          <cell r="C465">
            <v>37159</v>
          </cell>
          <cell r="D465">
            <v>460</v>
          </cell>
          <cell r="E465">
            <v>15.72</v>
          </cell>
          <cell r="F465">
            <v>1.738638069627596</v>
          </cell>
          <cell r="G465">
            <v>1.3160055729048254</v>
          </cell>
          <cell r="H465">
            <v>1.9578</v>
          </cell>
        </row>
        <row r="466">
          <cell r="B466">
            <v>37162</v>
          </cell>
          <cell r="C466">
            <v>37160</v>
          </cell>
          <cell r="D466">
            <v>461</v>
          </cell>
          <cell r="E466">
            <v>15.72</v>
          </cell>
          <cell r="F466">
            <v>1.738638069627596</v>
          </cell>
          <cell r="G466">
            <v>1.3167682587011236</v>
          </cell>
          <cell r="H466">
            <v>1.9578</v>
          </cell>
        </row>
        <row r="467">
          <cell r="B467">
            <v>37163</v>
          </cell>
          <cell r="C467">
            <v>37161</v>
          </cell>
          <cell r="D467">
            <v>462</v>
          </cell>
          <cell r="E467">
            <v>15.72</v>
          </cell>
          <cell r="F467">
            <v>1.738638069627596</v>
          </cell>
          <cell r="G467">
            <v>1.317531386508942</v>
          </cell>
          <cell r="H467">
            <v>1.9578</v>
          </cell>
        </row>
        <row r="468">
          <cell r="B468">
            <v>37164</v>
          </cell>
          <cell r="C468">
            <v>37162</v>
          </cell>
          <cell r="D468">
            <v>463</v>
          </cell>
          <cell r="E468">
            <v>15.72</v>
          </cell>
          <cell r="F468">
            <v>1.738638069627596</v>
          </cell>
          <cell r="G468">
            <v>1.3182949565844466</v>
          </cell>
          <cell r="H468">
            <v>1.9578</v>
          </cell>
        </row>
        <row r="469">
          <cell r="B469">
            <v>37165</v>
          </cell>
          <cell r="C469">
            <v>37163</v>
          </cell>
          <cell r="D469">
            <v>464</v>
          </cell>
          <cell r="E469">
            <v>15.72</v>
          </cell>
          <cell r="F469">
            <v>1.738638069627596</v>
          </cell>
          <cell r="G469">
            <v>1.3190589691839518</v>
          </cell>
          <cell r="H469">
            <v>1.9578</v>
          </cell>
        </row>
        <row r="470">
          <cell r="B470">
            <v>37166</v>
          </cell>
          <cell r="C470">
            <v>37164</v>
          </cell>
          <cell r="D470">
            <v>465</v>
          </cell>
          <cell r="E470">
            <v>15.72</v>
          </cell>
          <cell r="F470">
            <v>1.738638069627596</v>
          </cell>
          <cell r="G470">
            <v>1.3198234245639209</v>
          </cell>
          <cell r="H470">
            <v>1.9578</v>
          </cell>
        </row>
        <row r="471">
          <cell r="B471">
            <v>37167</v>
          </cell>
          <cell r="C471">
            <v>37165</v>
          </cell>
          <cell r="D471">
            <v>466</v>
          </cell>
          <cell r="E471">
            <v>15.72</v>
          </cell>
          <cell r="F471">
            <v>1.738638069627596</v>
          </cell>
          <cell r="G471">
            <v>1.3205883229809652</v>
          </cell>
          <cell r="H471">
            <v>1.9578</v>
          </cell>
        </row>
        <row r="472">
          <cell r="B472">
            <v>37168</v>
          </cell>
          <cell r="C472">
            <v>37166</v>
          </cell>
          <cell r="D472">
            <v>467</v>
          </cell>
          <cell r="E472">
            <v>15.72</v>
          </cell>
          <cell r="F472">
            <v>1.738638069627596</v>
          </cell>
          <cell r="G472">
            <v>1.3213536646918453</v>
          </cell>
          <cell r="H472">
            <v>1.9578</v>
          </cell>
        </row>
        <row r="473">
          <cell r="B473">
            <v>37169</v>
          </cell>
          <cell r="C473">
            <v>37167</v>
          </cell>
          <cell r="D473">
            <v>468</v>
          </cell>
          <cell r="E473">
            <v>15.72</v>
          </cell>
          <cell r="F473">
            <v>1.738638069627596</v>
          </cell>
          <cell r="G473">
            <v>1.3221194499534703</v>
          </cell>
          <cell r="H473">
            <v>1.9578</v>
          </cell>
        </row>
        <row r="474">
          <cell r="B474">
            <v>37170</v>
          </cell>
          <cell r="C474">
            <v>37168</v>
          </cell>
          <cell r="D474">
            <v>469</v>
          </cell>
          <cell r="E474">
            <v>15.72</v>
          </cell>
          <cell r="F474">
            <v>1.738638069627596</v>
          </cell>
          <cell r="G474">
            <v>1.3228856790228984</v>
          </cell>
          <cell r="H474">
            <v>1.9578</v>
          </cell>
        </row>
        <row r="475">
          <cell r="B475">
            <v>37171</v>
          </cell>
          <cell r="C475">
            <v>37169</v>
          </cell>
          <cell r="D475">
            <v>470</v>
          </cell>
          <cell r="E475">
            <v>15.72</v>
          </cell>
          <cell r="F475">
            <v>1.738638069627596</v>
          </cell>
          <cell r="G475">
            <v>1.3236523521573365</v>
          </cell>
          <cell r="H475">
            <v>1.9578</v>
          </cell>
        </row>
        <row r="476">
          <cell r="B476">
            <v>37172</v>
          </cell>
          <cell r="C476">
            <v>37170</v>
          </cell>
          <cell r="D476">
            <v>471</v>
          </cell>
          <cell r="E476">
            <v>15.72</v>
          </cell>
          <cell r="F476">
            <v>1.738638069627596</v>
          </cell>
          <cell r="G476">
            <v>1.3244194696141407</v>
          </cell>
          <cell r="H476">
            <v>1.9578</v>
          </cell>
        </row>
        <row r="477">
          <cell r="B477">
            <v>37173</v>
          </cell>
          <cell r="C477">
            <v>37171</v>
          </cell>
          <cell r="D477">
            <v>472</v>
          </cell>
          <cell r="E477">
            <v>15.72</v>
          </cell>
          <cell r="F477">
            <v>1.738638069627596</v>
          </cell>
          <cell r="G477">
            <v>1.3251870316508163</v>
          </cell>
          <cell r="H477">
            <v>1.9578</v>
          </cell>
        </row>
        <row r="478">
          <cell r="B478">
            <v>37174</v>
          </cell>
          <cell r="C478">
            <v>37172</v>
          </cell>
          <cell r="D478">
            <v>473</v>
          </cell>
          <cell r="E478">
            <v>15.72</v>
          </cell>
          <cell r="F478">
            <v>1.738638069627596</v>
          </cell>
          <cell r="G478">
            <v>1.3259550385250178</v>
          </cell>
          <cell r="H478">
            <v>1.9578</v>
          </cell>
        </row>
        <row r="479">
          <cell r="B479">
            <v>37175</v>
          </cell>
          <cell r="C479">
            <v>37173</v>
          </cell>
          <cell r="D479">
            <v>474</v>
          </cell>
          <cell r="E479">
            <v>15.72</v>
          </cell>
          <cell r="F479">
            <v>1.738638069627596</v>
          </cell>
          <cell r="G479">
            <v>1.3267234904945493</v>
          </cell>
          <cell r="H479">
            <v>1.9578</v>
          </cell>
        </row>
        <row r="480">
          <cell r="B480">
            <v>37176</v>
          </cell>
          <cell r="C480">
            <v>37174</v>
          </cell>
          <cell r="D480">
            <v>475</v>
          </cell>
          <cell r="E480">
            <v>15.72</v>
          </cell>
          <cell r="F480">
            <v>1.738638069627596</v>
          </cell>
          <cell r="G480">
            <v>1.3274923878173637</v>
          </cell>
          <cell r="H480">
            <v>1.9578</v>
          </cell>
        </row>
        <row r="481">
          <cell r="B481">
            <v>37177</v>
          </cell>
          <cell r="C481">
            <v>37175</v>
          </cell>
          <cell r="D481">
            <v>476</v>
          </cell>
          <cell r="E481">
            <v>15.72</v>
          </cell>
          <cell r="F481">
            <v>1.738638069627596</v>
          </cell>
          <cell r="G481">
            <v>1.3282617307515636</v>
          </cell>
          <cell r="H481">
            <v>1.9578</v>
          </cell>
        </row>
        <row r="482">
          <cell r="B482">
            <v>37178</v>
          </cell>
          <cell r="C482">
            <v>37176</v>
          </cell>
          <cell r="D482">
            <v>477</v>
          </cell>
          <cell r="E482">
            <v>15.72</v>
          </cell>
          <cell r="F482">
            <v>1.738638069627596</v>
          </cell>
          <cell r="G482">
            <v>1.3290315195554017</v>
          </cell>
          <cell r="H482">
            <v>1.9578</v>
          </cell>
        </row>
        <row r="483">
          <cell r="B483">
            <v>37179</v>
          </cell>
          <cell r="C483">
            <v>37177</v>
          </cell>
          <cell r="D483">
            <v>478</v>
          </cell>
          <cell r="E483">
            <v>15.72</v>
          </cell>
          <cell r="F483">
            <v>1.738638069627596</v>
          </cell>
          <cell r="G483">
            <v>1.3298017544872798</v>
          </cell>
          <cell r="H483">
            <v>1.9578</v>
          </cell>
        </row>
        <row r="484">
          <cell r="B484">
            <v>37180</v>
          </cell>
          <cell r="C484">
            <v>37178</v>
          </cell>
          <cell r="D484">
            <v>479</v>
          </cell>
          <cell r="E484">
            <v>15.72</v>
          </cell>
          <cell r="F484">
            <v>1.738638069627596</v>
          </cell>
          <cell r="G484">
            <v>1.3305724358057496</v>
          </cell>
          <cell r="H484">
            <v>1.9578</v>
          </cell>
        </row>
        <row r="485">
          <cell r="B485">
            <v>37181</v>
          </cell>
          <cell r="C485">
            <v>37179</v>
          </cell>
          <cell r="D485">
            <v>480</v>
          </cell>
          <cell r="E485">
            <v>15.72</v>
          </cell>
          <cell r="F485">
            <v>1.738638069627596</v>
          </cell>
          <cell r="G485">
            <v>1.3313435637695126</v>
          </cell>
          <cell r="H485">
            <v>1.9578</v>
          </cell>
        </row>
        <row r="486">
          <cell r="B486">
            <v>37182</v>
          </cell>
          <cell r="C486">
            <v>37180</v>
          </cell>
          <cell r="D486">
            <v>481</v>
          </cell>
          <cell r="E486">
            <v>15.72</v>
          </cell>
          <cell r="F486">
            <v>1.738638069627596</v>
          </cell>
          <cell r="G486">
            <v>1.3321151386374204</v>
          </cell>
          <cell r="H486">
            <v>1.9578</v>
          </cell>
        </row>
        <row r="487">
          <cell r="B487">
            <v>37183</v>
          </cell>
          <cell r="C487">
            <v>37181</v>
          </cell>
          <cell r="D487">
            <v>482</v>
          </cell>
          <cell r="E487">
            <v>15.72</v>
          </cell>
          <cell r="F487">
            <v>1.738638069627596</v>
          </cell>
          <cell r="G487">
            <v>1.3328871606684745</v>
          </cell>
          <cell r="H487">
            <v>1.9578</v>
          </cell>
        </row>
        <row r="488">
          <cell r="B488">
            <v>37184</v>
          </cell>
          <cell r="C488">
            <v>37182</v>
          </cell>
          <cell r="D488">
            <v>483</v>
          </cell>
          <cell r="E488">
            <v>15.72</v>
          </cell>
          <cell r="F488">
            <v>1.738638069627596</v>
          </cell>
          <cell r="G488">
            <v>1.3336596301218264</v>
          </cell>
          <cell r="H488">
            <v>1.9578</v>
          </cell>
        </row>
        <row r="489">
          <cell r="B489">
            <v>37185</v>
          </cell>
          <cell r="C489">
            <v>37183</v>
          </cell>
          <cell r="D489">
            <v>484</v>
          </cell>
          <cell r="E489">
            <v>15.72</v>
          </cell>
          <cell r="F489">
            <v>1.738638069627596</v>
          </cell>
          <cell r="G489">
            <v>1.3344325472567782</v>
          </cell>
          <cell r="H489">
            <v>1.9578</v>
          </cell>
        </row>
        <row r="490">
          <cell r="B490">
            <v>37186</v>
          </cell>
          <cell r="C490">
            <v>37184</v>
          </cell>
          <cell r="D490">
            <v>485</v>
          </cell>
          <cell r="E490">
            <v>15.72</v>
          </cell>
          <cell r="F490">
            <v>1.738638069627596</v>
          </cell>
          <cell r="G490">
            <v>1.3352059123327817</v>
          </cell>
          <cell r="H490">
            <v>1.9578</v>
          </cell>
        </row>
        <row r="491">
          <cell r="B491">
            <v>37187</v>
          </cell>
          <cell r="C491">
            <v>37185</v>
          </cell>
          <cell r="D491">
            <v>486</v>
          </cell>
          <cell r="E491">
            <v>15.72</v>
          </cell>
          <cell r="F491">
            <v>1.738638069627596</v>
          </cell>
          <cell r="G491">
            <v>1.3359797256094397</v>
          </cell>
          <cell r="H491">
            <v>1.9578</v>
          </cell>
        </row>
        <row r="492">
          <cell r="B492">
            <v>37188</v>
          </cell>
          <cell r="C492">
            <v>37186</v>
          </cell>
          <cell r="D492">
            <v>487</v>
          </cell>
          <cell r="E492">
            <v>15.72</v>
          </cell>
          <cell r="F492">
            <v>1.738638069627596</v>
          </cell>
          <cell r="G492">
            <v>1.3367539873465046</v>
          </cell>
          <cell r="H492">
            <v>1.9578</v>
          </cell>
        </row>
        <row r="493">
          <cell r="B493">
            <v>37189</v>
          </cell>
          <cell r="C493">
            <v>37187</v>
          </cell>
          <cell r="D493">
            <v>488</v>
          </cell>
          <cell r="E493">
            <v>15.72</v>
          </cell>
          <cell r="F493">
            <v>1.738638069627596</v>
          </cell>
          <cell r="G493">
            <v>1.3375286978038803</v>
          </cell>
          <cell r="H493">
            <v>1.9578</v>
          </cell>
        </row>
        <row r="494">
          <cell r="B494">
            <v>37190</v>
          </cell>
          <cell r="C494">
            <v>37188</v>
          </cell>
          <cell r="D494">
            <v>489</v>
          </cell>
          <cell r="E494">
            <v>15.72</v>
          </cell>
          <cell r="F494">
            <v>1.738638069627596</v>
          </cell>
          <cell r="G494">
            <v>1.3383038572416206</v>
          </cell>
          <cell r="H494">
            <v>1.9578</v>
          </cell>
        </row>
        <row r="495">
          <cell r="B495">
            <v>37191</v>
          </cell>
          <cell r="C495">
            <v>37189</v>
          </cell>
          <cell r="D495">
            <v>490</v>
          </cell>
          <cell r="E495">
            <v>15.72</v>
          </cell>
          <cell r="F495">
            <v>1.738638069627596</v>
          </cell>
          <cell r="G495">
            <v>1.3390794659199305</v>
          </cell>
          <cell r="H495">
            <v>1.9578</v>
          </cell>
        </row>
        <row r="496">
          <cell r="B496">
            <v>37192</v>
          </cell>
          <cell r="C496">
            <v>37190</v>
          </cell>
          <cell r="D496">
            <v>491</v>
          </cell>
          <cell r="E496">
            <v>15.72</v>
          </cell>
          <cell r="F496">
            <v>1.738638069627596</v>
          </cell>
          <cell r="G496">
            <v>1.3398555240991656</v>
          </cell>
          <cell r="H496">
            <v>1.9578</v>
          </cell>
        </row>
        <row r="497">
          <cell r="B497">
            <v>37193</v>
          </cell>
          <cell r="C497">
            <v>37191</v>
          </cell>
          <cell r="D497">
            <v>492</v>
          </cell>
          <cell r="E497">
            <v>15.72</v>
          </cell>
          <cell r="F497">
            <v>1.738638069627596</v>
          </cell>
          <cell r="G497">
            <v>1.3406320320398322</v>
          </cell>
          <cell r="H497">
            <v>1.9578</v>
          </cell>
        </row>
        <row r="498">
          <cell r="B498">
            <v>37194</v>
          </cell>
          <cell r="C498">
            <v>37192</v>
          </cell>
          <cell r="D498">
            <v>493</v>
          </cell>
          <cell r="E498">
            <v>15.72</v>
          </cell>
          <cell r="F498">
            <v>1.738638069627596</v>
          </cell>
          <cell r="G498">
            <v>1.3414089900025876</v>
          </cell>
          <cell r="H498">
            <v>1.9578</v>
          </cell>
        </row>
        <row r="499">
          <cell r="B499">
            <v>37195</v>
          </cell>
          <cell r="C499">
            <v>37193</v>
          </cell>
          <cell r="D499">
            <v>494</v>
          </cell>
          <cell r="E499">
            <v>15.72</v>
          </cell>
          <cell r="F499">
            <v>1.738638069627596</v>
          </cell>
          <cell r="G499">
            <v>1.3421863982482407</v>
          </cell>
          <cell r="H499">
            <v>1.9578</v>
          </cell>
        </row>
        <row r="500">
          <cell r="B500">
            <v>37196</v>
          </cell>
          <cell r="C500">
            <v>37194</v>
          </cell>
          <cell r="D500">
            <v>495</v>
          </cell>
          <cell r="E500">
            <v>15.72</v>
          </cell>
          <cell r="F500">
            <v>1.738638069627596</v>
          </cell>
          <cell r="G500">
            <v>1.3429642570377509</v>
          </cell>
          <cell r="H500">
            <v>1.9578</v>
          </cell>
        </row>
        <row r="501">
          <cell r="B501">
            <v>37197</v>
          </cell>
          <cell r="C501">
            <v>37195</v>
          </cell>
          <cell r="D501">
            <v>496</v>
          </cell>
          <cell r="E501">
            <v>15.72</v>
          </cell>
          <cell r="F501">
            <v>1.738638069627596</v>
          </cell>
          <cell r="G501">
            <v>1.3437425666322291</v>
          </cell>
          <cell r="H501">
            <v>1.9578</v>
          </cell>
        </row>
        <row r="502">
          <cell r="B502">
            <v>37198</v>
          </cell>
          <cell r="C502">
            <v>37196</v>
          </cell>
          <cell r="D502">
            <v>497</v>
          </cell>
          <cell r="E502">
            <v>15.72</v>
          </cell>
          <cell r="F502">
            <v>1.738638069627596</v>
          </cell>
          <cell r="G502">
            <v>1.3445213272929377</v>
          </cell>
          <cell r="H502">
            <v>1.9578</v>
          </cell>
        </row>
        <row r="503">
          <cell r="B503">
            <v>37199</v>
          </cell>
          <cell r="C503">
            <v>37197</v>
          </cell>
          <cell r="D503">
            <v>498</v>
          </cell>
          <cell r="E503">
            <v>15.72</v>
          </cell>
          <cell r="F503">
            <v>1.738638069627596</v>
          </cell>
          <cell r="G503">
            <v>1.3453005392812902</v>
          </cell>
          <cell r="H503">
            <v>1.9578</v>
          </cell>
        </row>
        <row r="504">
          <cell r="B504">
            <v>37200</v>
          </cell>
          <cell r="C504">
            <v>37198</v>
          </cell>
          <cell r="D504">
            <v>499</v>
          </cell>
          <cell r="E504">
            <v>15.72</v>
          </cell>
          <cell r="F504">
            <v>1.738638069627596</v>
          </cell>
          <cell r="G504">
            <v>1.3460802028588519</v>
          </cell>
          <cell r="H504">
            <v>1.9578</v>
          </cell>
        </row>
        <row r="505">
          <cell r="B505">
            <v>37201</v>
          </cell>
          <cell r="C505">
            <v>37199</v>
          </cell>
          <cell r="D505">
            <v>500</v>
          </cell>
          <cell r="E505">
            <v>15.72</v>
          </cell>
          <cell r="F505">
            <v>1.738638069627596</v>
          </cell>
          <cell r="G505">
            <v>1.3468603182873393</v>
          </cell>
          <cell r="H505">
            <v>1.9578</v>
          </cell>
        </row>
        <row r="506">
          <cell r="B506">
            <v>37202</v>
          </cell>
          <cell r="C506">
            <v>37200</v>
          </cell>
          <cell r="D506">
            <v>501</v>
          </cell>
          <cell r="E506">
            <v>15.72</v>
          </cell>
          <cell r="F506">
            <v>1.738638069627596</v>
          </cell>
          <cell r="G506">
            <v>1.3476408858286211</v>
          </cell>
          <cell r="H506">
            <v>1.9578</v>
          </cell>
        </row>
        <row r="507">
          <cell r="B507">
            <v>37203</v>
          </cell>
          <cell r="C507">
            <v>37201</v>
          </cell>
          <cell r="D507">
            <v>502</v>
          </cell>
          <cell r="E507">
            <v>15.72</v>
          </cell>
          <cell r="F507">
            <v>1.738638069627596</v>
          </cell>
          <cell r="G507">
            <v>1.3484219057447171</v>
          </cell>
          <cell r="H507">
            <v>1.9578</v>
          </cell>
        </row>
        <row r="508">
          <cell r="B508">
            <v>37204</v>
          </cell>
          <cell r="C508">
            <v>37202</v>
          </cell>
          <cell r="D508">
            <v>503</v>
          </cell>
          <cell r="E508">
            <v>15.72</v>
          </cell>
          <cell r="F508">
            <v>1.738638069627596</v>
          </cell>
          <cell r="G508">
            <v>1.3492033782977997</v>
          </cell>
          <cell r="H508">
            <v>1.9578</v>
          </cell>
        </row>
        <row r="509">
          <cell r="B509">
            <v>37205</v>
          </cell>
          <cell r="C509">
            <v>37203</v>
          </cell>
          <cell r="D509">
            <v>504</v>
          </cell>
          <cell r="E509">
            <v>15.72</v>
          </cell>
          <cell r="F509">
            <v>1.738638069627596</v>
          </cell>
          <cell r="G509">
            <v>1.3499853037501925</v>
          </cell>
          <cell r="H509">
            <v>1.9578</v>
          </cell>
        </row>
        <row r="510">
          <cell r="B510">
            <v>37206</v>
          </cell>
          <cell r="C510">
            <v>37204</v>
          </cell>
          <cell r="D510">
            <v>505</v>
          </cell>
          <cell r="E510">
            <v>15.72</v>
          </cell>
          <cell r="F510">
            <v>1.738638069627596</v>
          </cell>
          <cell r="G510">
            <v>1.3507676823643717</v>
          </cell>
          <cell r="H510">
            <v>1.9578</v>
          </cell>
        </row>
        <row r="511">
          <cell r="B511">
            <v>37207</v>
          </cell>
          <cell r="C511">
            <v>37205</v>
          </cell>
          <cell r="D511">
            <v>506</v>
          </cell>
          <cell r="E511">
            <v>15.72</v>
          </cell>
          <cell r="F511">
            <v>1.738638069627596</v>
          </cell>
          <cell r="G511">
            <v>1.3515505144029656</v>
          </cell>
          <cell r="H511">
            <v>1.9578</v>
          </cell>
        </row>
        <row r="512">
          <cell r="B512">
            <v>37208</v>
          </cell>
          <cell r="C512">
            <v>37206</v>
          </cell>
          <cell r="D512">
            <v>507</v>
          </cell>
          <cell r="E512">
            <v>15.72</v>
          </cell>
          <cell r="F512">
            <v>1.738638069627596</v>
          </cell>
          <cell r="G512">
            <v>1.3523338001287541</v>
          </cell>
          <cell r="H512">
            <v>1.9578</v>
          </cell>
        </row>
        <row r="513">
          <cell r="B513">
            <v>37209</v>
          </cell>
          <cell r="C513">
            <v>37207</v>
          </cell>
          <cell r="D513">
            <v>508</v>
          </cell>
          <cell r="E513">
            <v>15.72</v>
          </cell>
          <cell r="F513">
            <v>1.738638069627596</v>
          </cell>
          <cell r="G513">
            <v>1.3531175398046702</v>
          </cell>
          <cell r="H513">
            <v>1.9578</v>
          </cell>
        </row>
        <row r="514">
          <cell r="B514">
            <v>37210</v>
          </cell>
          <cell r="C514">
            <v>37208</v>
          </cell>
          <cell r="D514">
            <v>509</v>
          </cell>
          <cell r="E514">
            <v>15.72</v>
          </cell>
          <cell r="F514">
            <v>1.738638069627596</v>
          </cell>
          <cell r="G514">
            <v>1.3539017336937986</v>
          </cell>
          <cell r="H514">
            <v>1.9578</v>
          </cell>
        </row>
        <row r="515">
          <cell r="B515">
            <v>37211</v>
          </cell>
          <cell r="C515">
            <v>37209</v>
          </cell>
          <cell r="D515">
            <v>510</v>
          </cell>
          <cell r="E515">
            <v>15.72</v>
          </cell>
          <cell r="F515">
            <v>1.738638069627596</v>
          </cell>
          <cell r="G515">
            <v>1.3546863820593769</v>
          </cell>
          <cell r="H515">
            <v>1.9578</v>
          </cell>
        </row>
        <row r="516">
          <cell r="B516">
            <v>37212</v>
          </cell>
          <cell r="C516">
            <v>37210</v>
          </cell>
          <cell r="D516">
            <v>511</v>
          </cell>
          <cell r="E516">
            <v>15.72</v>
          </cell>
          <cell r="F516">
            <v>1.738638069627596</v>
          </cell>
          <cell r="G516">
            <v>1.3554714851647951</v>
          </cell>
          <cell r="H516">
            <v>1.9578</v>
          </cell>
        </row>
        <row r="517">
          <cell r="B517">
            <v>37213</v>
          </cell>
          <cell r="C517">
            <v>37211</v>
          </cell>
          <cell r="D517">
            <v>512</v>
          </cell>
          <cell r="E517">
            <v>15.72</v>
          </cell>
          <cell r="F517">
            <v>1.738638069627596</v>
          </cell>
          <cell r="G517">
            <v>1.3562570432735959</v>
          </cell>
          <cell r="H517">
            <v>1.9578</v>
          </cell>
        </row>
        <row r="518">
          <cell r="B518">
            <v>37214</v>
          </cell>
          <cell r="C518">
            <v>37212</v>
          </cell>
          <cell r="D518">
            <v>513</v>
          </cell>
          <cell r="E518">
            <v>15.72</v>
          </cell>
          <cell r="F518">
            <v>1.738638069627596</v>
          </cell>
          <cell r="G518">
            <v>1.3570430566494744</v>
          </cell>
          <cell r="H518">
            <v>1.9578</v>
          </cell>
        </row>
        <row r="519">
          <cell r="B519">
            <v>37215</v>
          </cell>
          <cell r="C519">
            <v>37213</v>
          </cell>
          <cell r="D519">
            <v>514</v>
          </cell>
          <cell r="E519">
            <v>15.72</v>
          </cell>
          <cell r="F519">
            <v>1.738638069627596</v>
          </cell>
          <cell r="G519">
            <v>1.3578295255562793</v>
          </cell>
          <cell r="H519">
            <v>1.9578</v>
          </cell>
        </row>
        <row r="520">
          <cell r="B520">
            <v>37216</v>
          </cell>
          <cell r="C520">
            <v>37214</v>
          </cell>
          <cell r="D520">
            <v>515</v>
          </cell>
          <cell r="E520">
            <v>15.72</v>
          </cell>
          <cell r="F520">
            <v>1.738638069627596</v>
          </cell>
          <cell r="G520">
            <v>1.3586164502580116</v>
          </cell>
          <cell r="H520">
            <v>1.9578</v>
          </cell>
        </row>
        <row r="521">
          <cell r="B521">
            <v>37217</v>
          </cell>
          <cell r="C521">
            <v>37215</v>
          </cell>
          <cell r="D521">
            <v>516</v>
          </cell>
          <cell r="E521">
            <v>15.72</v>
          </cell>
          <cell r="F521">
            <v>1.738638069627596</v>
          </cell>
          <cell r="G521">
            <v>1.3594038310188252</v>
          </cell>
          <cell r="H521">
            <v>1.9578</v>
          </cell>
        </row>
        <row r="522">
          <cell r="B522">
            <v>37218</v>
          </cell>
          <cell r="C522">
            <v>37216</v>
          </cell>
          <cell r="D522">
            <v>517</v>
          </cell>
          <cell r="E522">
            <v>15.72</v>
          </cell>
          <cell r="F522">
            <v>1.738638069627596</v>
          </cell>
          <cell r="G522">
            <v>1.3601916681030275</v>
          </cell>
          <cell r="H522">
            <v>1.9578</v>
          </cell>
        </row>
        <row r="523">
          <cell r="B523">
            <v>37219</v>
          </cell>
          <cell r="C523">
            <v>37217</v>
          </cell>
          <cell r="D523">
            <v>518</v>
          </cell>
          <cell r="E523">
            <v>15.72</v>
          </cell>
          <cell r="F523">
            <v>1.738638069627596</v>
          </cell>
          <cell r="G523">
            <v>1.3609799617750789</v>
          </cell>
          <cell r="H523">
            <v>1.9578</v>
          </cell>
        </row>
        <row r="524">
          <cell r="B524">
            <v>37220</v>
          </cell>
          <cell r="C524">
            <v>37218</v>
          </cell>
          <cell r="D524">
            <v>519</v>
          </cell>
          <cell r="E524">
            <v>15.72</v>
          </cell>
          <cell r="F524">
            <v>1.738638069627596</v>
          </cell>
          <cell r="G524">
            <v>1.361768712299593</v>
          </cell>
          <cell r="H524">
            <v>1.9578</v>
          </cell>
        </row>
        <row r="525">
          <cell r="B525">
            <v>37221</v>
          </cell>
          <cell r="C525">
            <v>37219</v>
          </cell>
          <cell r="D525">
            <v>520</v>
          </cell>
          <cell r="E525">
            <v>15.72</v>
          </cell>
          <cell r="F525">
            <v>1.738638069627596</v>
          </cell>
          <cell r="G525">
            <v>1.3625579199413369</v>
          </cell>
          <cell r="H525">
            <v>1.9578</v>
          </cell>
        </row>
        <row r="526">
          <cell r="B526">
            <v>37222</v>
          </cell>
          <cell r="C526">
            <v>37220</v>
          </cell>
          <cell r="D526">
            <v>521</v>
          </cell>
          <cell r="E526">
            <v>15.72</v>
          </cell>
          <cell r="F526">
            <v>1.738638069627596</v>
          </cell>
          <cell r="G526">
            <v>1.363347584965231</v>
          </cell>
          <cell r="H526">
            <v>1.9578</v>
          </cell>
        </row>
        <row r="527">
          <cell r="B527">
            <v>37223</v>
          </cell>
          <cell r="C527">
            <v>37221</v>
          </cell>
          <cell r="D527">
            <v>522</v>
          </cell>
          <cell r="E527">
            <v>15.72</v>
          </cell>
          <cell r="F527">
            <v>1.738638069627596</v>
          </cell>
          <cell r="G527">
            <v>1.3641377076363495</v>
          </cell>
          <cell r="H527">
            <v>1.9578</v>
          </cell>
        </row>
        <row r="528">
          <cell r="B528">
            <v>37224</v>
          </cell>
          <cell r="C528">
            <v>37222</v>
          </cell>
          <cell r="D528">
            <v>523</v>
          </cell>
          <cell r="E528">
            <v>15.72</v>
          </cell>
          <cell r="F528">
            <v>1.738638069627596</v>
          </cell>
          <cell r="G528">
            <v>1.3649282882199198</v>
          </cell>
          <cell r="H528">
            <v>1.9578</v>
          </cell>
        </row>
        <row r="529">
          <cell r="B529">
            <v>37225</v>
          </cell>
          <cell r="C529">
            <v>37223</v>
          </cell>
          <cell r="D529">
            <v>524</v>
          </cell>
          <cell r="E529">
            <v>15.72</v>
          </cell>
          <cell r="F529">
            <v>1.738638069627596</v>
          </cell>
          <cell r="G529">
            <v>1.3657193269813235</v>
          </cell>
          <cell r="H529">
            <v>1.9578</v>
          </cell>
        </row>
        <row r="530">
          <cell r="B530">
            <v>37226</v>
          </cell>
          <cell r="C530">
            <v>37224</v>
          </cell>
          <cell r="D530">
            <v>525</v>
          </cell>
          <cell r="E530">
            <v>15.72</v>
          </cell>
          <cell r="F530">
            <v>1.738638069627596</v>
          </cell>
          <cell r="G530">
            <v>1.3665108241860955</v>
          </cell>
          <cell r="H530">
            <v>1.9578</v>
          </cell>
        </row>
        <row r="531">
          <cell r="B531">
            <v>37227</v>
          </cell>
          <cell r="C531">
            <v>37225</v>
          </cell>
          <cell r="D531">
            <v>526</v>
          </cell>
          <cell r="E531">
            <v>15.72</v>
          </cell>
          <cell r="F531">
            <v>1.738638069627596</v>
          </cell>
          <cell r="G531">
            <v>1.3673027800999249</v>
          </cell>
          <cell r="H531">
            <v>1.9578</v>
          </cell>
        </row>
        <row r="532">
          <cell r="B532">
            <v>37228</v>
          </cell>
          <cell r="C532">
            <v>37226</v>
          </cell>
          <cell r="D532">
            <v>527</v>
          </cell>
          <cell r="E532">
            <v>15.72</v>
          </cell>
          <cell r="F532">
            <v>1.738638069627596</v>
          </cell>
          <cell r="G532">
            <v>1.3680951949886546</v>
          </cell>
          <cell r="H532">
            <v>1.9578</v>
          </cell>
        </row>
        <row r="533">
          <cell r="B533">
            <v>37229</v>
          </cell>
          <cell r="C533">
            <v>37227</v>
          </cell>
          <cell r="D533">
            <v>528</v>
          </cell>
          <cell r="E533">
            <v>15.72</v>
          </cell>
          <cell r="F533">
            <v>1.738638069627596</v>
          </cell>
          <cell r="G533">
            <v>1.3688880691182819</v>
          </cell>
          <cell r="H533">
            <v>1.9578</v>
          </cell>
        </row>
        <row r="534">
          <cell r="B534">
            <v>37230</v>
          </cell>
          <cell r="C534">
            <v>37228</v>
          </cell>
          <cell r="D534">
            <v>529</v>
          </cell>
          <cell r="E534">
            <v>15.72</v>
          </cell>
          <cell r="F534">
            <v>1.738638069627596</v>
          </cell>
          <cell r="G534">
            <v>1.369681402754958</v>
          </cell>
          <cell r="H534">
            <v>1.9578</v>
          </cell>
        </row>
        <row r="535">
          <cell r="B535">
            <v>37231</v>
          </cell>
          <cell r="C535">
            <v>37229</v>
          </cell>
          <cell r="D535">
            <v>530</v>
          </cell>
          <cell r="E535">
            <v>15.72</v>
          </cell>
          <cell r="F535">
            <v>1.738638069627596</v>
          </cell>
          <cell r="G535">
            <v>1.3704751961649881</v>
          </cell>
          <cell r="H535">
            <v>1.9578</v>
          </cell>
        </row>
        <row r="536">
          <cell r="B536">
            <v>37232</v>
          </cell>
          <cell r="C536">
            <v>37230</v>
          </cell>
          <cell r="D536">
            <v>531</v>
          </cell>
          <cell r="E536">
            <v>15.72</v>
          </cell>
          <cell r="F536">
            <v>1.738638069627596</v>
          </cell>
          <cell r="G536">
            <v>1.3712694496148323</v>
          </cell>
          <cell r="H536">
            <v>1.9578</v>
          </cell>
        </row>
        <row r="537">
          <cell r="B537">
            <v>37233</v>
          </cell>
          <cell r="C537">
            <v>37231</v>
          </cell>
          <cell r="D537">
            <v>532</v>
          </cell>
          <cell r="E537">
            <v>15.72</v>
          </cell>
          <cell r="F537">
            <v>1.738638069627596</v>
          </cell>
          <cell r="G537">
            <v>1.3720641633711048</v>
          </cell>
          <cell r="H537">
            <v>1.9578</v>
          </cell>
        </row>
        <row r="538">
          <cell r="B538">
            <v>37234</v>
          </cell>
          <cell r="C538">
            <v>37232</v>
          </cell>
          <cell r="D538">
            <v>533</v>
          </cell>
          <cell r="E538">
            <v>15.72</v>
          </cell>
          <cell r="F538">
            <v>1.738638069627596</v>
          </cell>
          <cell r="G538">
            <v>1.3728593377005744</v>
          </cell>
          <cell r="H538">
            <v>1.9578</v>
          </cell>
        </row>
        <row r="539">
          <cell r="B539">
            <v>37235</v>
          </cell>
          <cell r="C539">
            <v>37233</v>
          </cell>
          <cell r="D539">
            <v>534</v>
          </cell>
          <cell r="E539">
            <v>15.72</v>
          </cell>
          <cell r="F539">
            <v>1.738638069627596</v>
          </cell>
          <cell r="G539">
            <v>1.3736549728701644</v>
          </cell>
          <cell r="H539">
            <v>1.9578</v>
          </cell>
        </row>
        <row r="540">
          <cell r="B540">
            <v>37236</v>
          </cell>
          <cell r="C540">
            <v>37234</v>
          </cell>
          <cell r="D540">
            <v>535</v>
          </cell>
          <cell r="E540">
            <v>15.72</v>
          </cell>
          <cell r="F540">
            <v>1.738638069627596</v>
          </cell>
          <cell r="G540">
            <v>1.3744510691469527</v>
          </cell>
          <cell r="H540">
            <v>1.9578</v>
          </cell>
        </row>
        <row r="541">
          <cell r="B541">
            <v>37237</v>
          </cell>
          <cell r="C541">
            <v>37235</v>
          </cell>
          <cell r="D541">
            <v>536</v>
          </cell>
          <cell r="E541">
            <v>15.72</v>
          </cell>
          <cell r="F541">
            <v>1.738638069627596</v>
          </cell>
          <cell r="G541">
            <v>1.3752476267981724</v>
          </cell>
          <cell r="H541">
            <v>1.9578</v>
          </cell>
        </row>
        <row r="542">
          <cell r="B542">
            <v>37238</v>
          </cell>
          <cell r="C542">
            <v>37236</v>
          </cell>
          <cell r="D542">
            <v>537</v>
          </cell>
          <cell r="E542">
            <v>15.72</v>
          </cell>
          <cell r="F542">
            <v>1.738638069627596</v>
          </cell>
          <cell r="G542">
            <v>1.376044646091211</v>
          </cell>
          <cell r="H542">
            <v>1.9578</v>
          </cell>
        </row>
        <row r="543">
          <cell r="B543">
            <v>37239</v>
          </cell>
          <cell r="C543">
            <v>37237</v>
          </cell>
          <cell r="D543">
            <v>538</v>
          </cell>
          <cell r="E543">
            <v>15.72</v>
          </cell>
          <cell r="F543">
            <v>1.738638069627596</v>
          </cell>
          <cell r="G543">
            <v>1.3768421272936116</v>
          </cell>
          <cell r="H543">
            <v>1.9578</v>
          </cell>
        </row>
        <row r="544">
          <cell r="B544">
            <v>37240</v>
          </cell>
          <cell r="C544">
            <v>37238</v>
          </cell>
          <cell r="D544">
            <v>539</v>
          </cell>
          <cell r="E544">
            <v>15.72</v>
          </cell>
          <cell r="F544">
            <v>1.738638069627596</v>
          </cell>
          <cell r="G544">
            <v>1.3776400706730714</v>
          </cell>
          <cell r="H544">
            <v>1.9578</v>
          </cell>
        </row>
        <row r="545">
          <cell r="B545">
            <v>37241</v>
          </cell>
          <cell r="C545">
            <v>37239</v>
          </cell>
          <cell r="D545">
            <v>540</v>
          </cell>
          <cell r="E545">
            <v>15.72</v>
          </cell>
          <cell r="F545">
            <v>1.738638069627596</v>
          </cell>
          <cell r="G545">
            <v>1.3784384764974436</v>
          </cell>
          <cell r="H545">
            <v>1.9578</v>
          </cell>
        </row>
        <row r="546">
          <cell r="B546">
            <v>37242</v>
          </cell>
          <cell r="C546">
            <v>37240</v>
          </cell>
          <cell r="D546">
            <v>541</v>
          </cell>
          <cell r="E546">
            <v>15.72</v>
          </cell>
          <cell r="F546">
            <v>1.738638069627596</v>
          </cell>
          <cell r="G546">
            <v>1.3792373450347362</v>
          </cell>
          <cell r="H546">
            <v>1.9578</v>
          </cell>
        </row>
        <row r="547">
          <cell r="B547">
            <v>37243</v>
          </cell>
          <cell r="C547">
            <v>37241</v>
          </cell>
          <cell r="D547">
            <v>542</v>
          </cell>
          <cell r="E547">
            <v>15.72</v>
          </cell>
          <cell r="F547">
            <v>1.738638069627596</v>
          </cell>
          <cell r="G547">
            <v>1.3800366765531127</v>
          </cell>
          <cell r="H547">
            <v>1.9578</v>
          </cell>
        </row>
        <row r="548">
          <cell r="B548">
            <v>37244</v>
          </cell>
          <cell r="C548">
            <v>37242</v>
          </cell>
          <cell r="D548">
            <v>543</v>
          </cell>
          <cell r="E548">
            <v>15.72</v>
          </cell>
          <cell r="F548">
            <v>1.738638069627596</v>
          </cell>
          <cell r="G548">
            <v>1.3808364713208918</v>
          </cell>
          <cell r="H548">
            <v>1.9578</v>
          </cell>
        </row>
        <row r="549">
          <cell r="B549">
            <v>37245</v>
          </cell>
          <cell r="C549">
            <v>37243</v>
          </cell>
          <cell r="D549">
            <v>544</v>
          </cell>
          <cell r="E549">
            <v>15.72</v>
          </cell>
          <cell r="F549">
            <v>1.738638069627596</v>
          </cell>
          <cell r="G549">
            <v>1.3816367296065482</v>
          </cell>
          <cell r="H549">
            <v>1.9578</v>
          </cell>
        </row>
        <row r="550">
          <cell r="B550">
            <v>37246</v>
          </cell>
          <cell r="C550">
            <v>37244</v>
          </cell>
          <cell r="D550">
            <v>545</v>
          </cell>
          <cell r="E550">
            <v>15.72</v>
          </cell>
          <cell r="F550">
            <v>1.738638069627596</v>
          </cell>
          <cell r="G550">
            <v>1.3824374516787115</v>
          </cell>
          <cell r="H550">
            <v>1.9578</v>
          </cell>
        </row>
        <row r="551">
          <cell r="B551">
            <v>37247</v>
          </cell>
          <cell r="C551">
            <v>37245</v>
          </cell>
          <cell r="D551">
            <v>546</v>
          </cell>
          <cell r="E551">
            <v>15.72</v>
          </cell>
          <cell r="F551">
            <v>1.738638069627596</v>
          </cell>
          <cell r="G551">
            <v>1.3832386378061674</v>
          </cell>
          <cell r="H551">
            <v>1.9578</v>
          </cell>
        </row>
        <row r="552">
          <cell r="B552">
            <v>37248</v>
          </cell>
          <cell r="C552">
            <v>37246</v>
          </cell>
          <cell r="D552">
            <v>547</v>
          </cell>
          <cell r="E552">
            <v>15.72</v>
          </cell>
          <cell r="F552">
            <v>1.738638069627596</v>
          </cell>
          <cell r="G552">
            <v>1.3840402882578573</v>
          </cell>
          <cell r="H552">
            <v>1.9578</v>
          </cell>
        </row>
        <row r="553">
          <cell r="B553">
            <v>37249</v>
          </cell>
          <cell r="C553">
            <v>37247</v>
          </cell>
          <cell r="D553">
            <v>548</v>
          </cell>
          <cell r="E553">
            <v>15.72</v>
          </cell>
          <cell r="F553">
            <v>1.738638069627596</v>
          </cell>
          <cell r="G553">
            <v>1.3848424033028786</v>
          </cell>
          <cell r="H553">
            <v>1.9578</v>
          </cell>
        </row>
        <row r="554">
          <cell r="B554">
            <v>37250</v>
          </cell>
          <cell r="C554">
            <v>37248</v>
          </cell>
          <cell r="D554">
            <v>549</v>
          </cell>
          <cell r="E554">
            <v>15.72</v>
          </cell>
          <cell r="F554">
            <v>1.738638069627596</v>
          </cell>
          <cell r="G554">
            <v>1.3856449832104842</v>
          </cell>
          <cell r="H554">
            <v>1.9578</v>
          </cell>
        </row>
        <row r="555">
          <cell r="B555">
            <v>37251</v>
          </cell>
          <cell r="C555">
            <v>37249</v>
          </cell>
          <cell r="D555">
            <v>550</v>
          </cell>
          <cell r="E555">
            <v>15.72</v>
          </cell>
          <cell r="F555">
            <v>1.738638069627596</v>
          </cell>
          <cell r="G555">
            <v>1.3864480282500837</v>
          </cell>
          <cell r="H555">
            <v>1.9578</v>
          </cell>
        </row>
        <row r="556">
          <cell r="B556">
            <v>37252</v>
          </cell>
          <cell r="C556">
            <v>37250</v>
          </cell>
          <cell r="D556">
            <v>551</v>
          </cell>
          <cell r="E556">
            <v>15.72</v>
          </cell>
          <cell r="F556">
            <v>1.738638069627596</v>
          </cell>
          <cell r="G556">
            <v>1.3872515386912423</v>
          </cell>
          <cell r="H556">
            <v>1.9578</v>
          </cell>
        </row>
        <row r="557">
          <cell r="B557">
            <v>37253</v>
          </cell>
          <cell r="C557">
            <v>37251</v>
          </cell>
          <cell r="D557">
            <v>552</v>
          </cell>
          <cell r="E557">
            <v>15.72</v>
          </cell>
          <cell r="F557">
            <v>1.738638069627596</v>
          </cell>
          <cell r="G557">
            <v>1.3880555148036817</v>
          </cell>
          <cell r="H557">
            <v>1.9578</v>
          </cell>
        </row>
        <row r="558">
          <cell r="B558">
            <v>37254</v>
          </cell>
          <cell r="C558">
            <v>37252</v>
          </cell>
          <cell r="D558">
            <v>553</v>
          </cell>
          <cell r="E558">
            <v>15.72</v>
          </cell>
          <cell r="F558">
            <v>1.738638069627596</v>
          </cell>
          <cell r="G558">
            <v>1.3888599568572797</v>
          </cell>
          <cell r="H558">
            <v>1.9578</v>
          </cell>
        </row>
        <row r="559">
          <cell r="B559">
            <v>37255</v>
          </cell>
          <cell r="C559">
            <v>37253</v>
          </cell>
          <cell r="D559">
            <v>554</v>
          </cell>
          <cell r="E559">
            <v>15.72</v>
          </cell>
          <cell r="F559">
            <v>1.738638069627596</v>
          </cell>
          <cell r="G559">
            <v>1.3896648651220709</v>
          </cell>
          <cell r="H559">
            <v>1.9578</v>
          </cell>
        </row>
        <row r="560">
          <cell r="B560">
            <v>37256</v>
          </cell>
          <cell r="C560">
            <v>37254</v>
          </cell>
          <cell r="D560">
            <v>555</v>
          </cell>
          <cell r="E560">
            <v>15.72</v>
          </cell>
          <cell r="F560">
            <v>1.738638069627596</v>
          </cell>
          <cell r="G560">
            <v>1.390470239868246</v>
          </cell>
          <cell r="H560">
            <v>1.9578</v>
          </cell>
        </row>
        <row r="561">
          <cell r="B561">
            <v>37257</v>
          </cell>
          <cell r="C561">
            <v>37255</v>
          </cell>
          <cell r="D561">
            <v>556</v>
          </cell>
          <cell r="E561">
            <v>15.72</v>
          </cell>
          <cell r="F561">
            <v>1.738638069627596</v>
          </cell>
          <cell r="G561">
            <v>1.3912760813661524</v>
          </cell>
          <cell r="H561">
            <v>1.9578</v>
          </cell>
        </row>
        <row r="562">
          <cell r="B562">
            <v>37258</v>
          </cell>
          <cell r="C562">
            <v>37256</v>
          </cell>
          <cell r="D562">
            <v>557</v>
          </cell>
          <cell r="E562">
            <v>15.72</v>
          </cell>
          <cell r="F562">
            <v>1.738638069627596</v>
          </cell>
          <cell r="G562">
            <v>1.3920823898862942</v>
          </cell>
          <cell r="H562">
            <v>1.9578</v>
          </cell>
        </row>
        <row r="563">
          <cell r="B563">
            <v>37259</v>
          </cell>
          <cell r="C563">
            <v>37257</v>
          </cell>
          <cell r="D563">
            <v>558</v>
          </cell>
          <cell r="E563">
            <v>15.72</v>
          </cell>
          <cell r="F563">
            <v>1.738638069627596</v>
          </cell>
          <cell r="G563">
            <v>1.3928891656993323</v>
          </cell>
          <cell r="H563">
            <v>1.9578</v>
          </cell>
        </row>
        <row r="564">
          <cell r="B564">
            <v>37260</v>
          </cell>
          <cell r="C564">
            <v>37258</v>
          </cell>
          <cell r="D564">
            <v>559</v>
          </cell>
          <cell r="E564">
            <v>15.72</v>
          </cell>
          <cell r="F564">
            <v>1.738638069627596</v>
          </cell>
          <cell r="G564">
            <v>1.3936964090760846</v>
          </cell>
          <cell r="H564">
            <v>1.9578</v>
          </cell>
        </row>
        <row r="565">
          <cell r="B565">
            <v>37261</v>
          </cell>
          <cell r="C565">
            <v>37259</v>
          </cell>
          <cell r="D565">
            <v>560</v>
          </cell>
          <cell r="E565">
            <v>15.72</v>
          </cell>
          <cell r="F565">
            <v>1.738638069627596</v>
          </cell>
          <cell r="G565">
            <v>1.3945041202875257</v>
          </cell>
          <cell r="H565">
            <v>1.9578</v>
          </cell>
        </row>
        <row r="566">
          <cell r="B566">
            <v>37262</v>
          </cell>
          <cell r="C566">
            <v>37260</v>
          </cell>
          <cell r="D566">
            <v>561</v>
          </cell>
          <cell r="E566">
            <v>15.72</v>
          </cell>
          <cell r="F566">
            <v>1.738638069627596</v>
          </cell>
          <cell r="G566">
            <v>1.3953122996047871</v>
          </cell>
          <cell r="H566">
            <v>1.9578</v>
          </cell>
        </row>
        <row r="567">
          <cell r="B567">
            <v>37263</v>
          </cell>
          <cell r="C567">
            <v>37261</v>
          </cell>
          <cell r="D567">
            <v>562</v>
          </cell>
          <cell r="E567">
            <v>15.72</v>
          </cell>
          <cell r="F567">
            <v>1.738638069627596</v>
          </cell>
          <cell r="G567">
            <v>1.396120947299158</v>
          </cell>
          <cell r="H567">
            <v>1.9578</v>
          </cell>
        </row>
        <row r="568">
          <cell r="B568">
            <v>37264</v>
          </cell>
          <cell r="C568">
            <v>37262</v>
          </cell>
          <cell r="D568">
            <v>563</v>
          </cell>
          <cell r="E568">
            <v>15.72</v>
          </cell>
          <cell r="F568">
            <v>1.738638069627596</v>
          </cell>
          <cell r="G568">
            <v>1.3969300636420843</v>
          </cell>
          <cell r="H568">
            <v>1.9578</v>
          </cell>
        </row>
        <row r="569">
          <cell r="B569">
            <v>37265</v>
          </cell>
          <cell r="C569">
            <v>37263</v>
          </cell>
          <cell r="D569">
            <v>564</v>
          </cell>
          <cell r="E569">
            <v>15.72</v>
          </cell>
          <cell r="F569">
            <v>1.738638069627596</v>
          </cell>
          <cell r="G569">
            <v>1.3977396489051694</v>
          </cell>
          <cell r="H569">
            <v>1.9578</v>
          </cell>
        </row>
        <row r="570">
          <cell r="B570">
            <v>37266</v>
          </cell>
          <cell r="C570">
            <v>37264</v>
          </cell>
          <cell r="D570">
            <v>565</v>
          </cell>
          <cell r="E570">
            <v>15.72</v>
          </cell>
          <cell r="F570">
            <v>1.738638069627596</v>
          </cell>
          <cell r="G570">
            <v>1.3985497033601741</v>
          </cell>
          <cell r="H570">
            <v>1.9578</v>
          </cell>
        </row>
        <row r="571">
          <cell r="B571">
            <v>37267</v>
          </cell>
          <cell r="C571">
            <v>37265</v>
          </cell>
          <cell r="D571">
            <v>566</v>
          </cell>
          <cell r="E571">
            <v>15.72</v>
          </cell>
          <cell r="F571">
            <v>1.738638069627596</v>
          </cell>
          <cell r="G571">
            <v>1.3993602272790169</v>
          </cell>
          <cell r="H571">
            <v>1.9578</v>
          </cell>
        </row>
        <row r="572">
          <cell r="B572">
            <v>37268</v>
          </cell>
          <cell r="C572">
            <v>37266</v>
          </cell>
          <cell r="D572">
            <v>567</v>
          </cell>
          <cell r="E572">
            <v>15.72</v>
          </cell>
          <cell r="F572">
            <v>1.738638069627596</v>
          </cell>
          <cell r="G572">
            <v>1.4001712209337736</v>
          </cell>
          <cell r="H572">
            <v>1.9578</v>
          </cell>
        </row>
        <row r="573">
          <cell r="B573">
            <v>37269</v>
          </cell>
          <cell r="C573">
            <v>37267</v>
          </cell>
          <cell r="D573">
            <v>568</v>
          </cell>
          <cell r="E573">
            <v>15.72</v>
          </cell>
          <cell r="F573">
            <v>1.738638069627596</v>
          </cell>
          <cell r="G573">
            <v>1.4009826845966777</v>
          </cell>
          <cell r="H573">
            <v>1.9578</v>
          </cell>
        </row>
        <row r="574">
          <cell r="B574">
            <v>37270</v>
          </cell>
          <cell r="C574">
            <v>37268</v>
          </cell>
          <cell r="D574">
            <v>569</v>
          </cell>
          <cell r="E574">
            <v>15.72</v>
          </cell>
          <cell r="F574">
            <v>1.738638069627596</v>
          </cell>
          <cell r="G574">
            <v>1.4017946185401207</v>
          </cell>
          <cell r="H574">
            <v>1.9578</v>
          </cell>
        </row>
        <row r="575">
          <cell r="B575">
            <v>37271</v>
          </cell>
          <cell r="C575">
            <v>37269</v>
          </cell>
          <cell r="D575">
            <v>570</v>
          </cell>
          <cell r="E575">
            <v>15.72</v>
          </cell>
          <cell r="F575">
            <v>1.738638069627596</v>
          </cell>
          <cell r="G575">
            <v>1.4026070230366516</v>
          </cell>
          <cell r="H575">
            <v>1.9578</v>
          </cell>
        </row>
        <row r="576">
          <cell r="B576">
            <v>37272</v>
          </cell>
          <cell r="C576">
            <v>37270</v>
          </cell>
          <cell r="D576">
            <v>571</v>
          </cell>
          <cell r="E576">
            <v>15.72</v>
          </cell>
          <cell r="F576">
            <v>1.738638069627596</v>
          </cell>
          <cell r="G576">
            <v>1.4034198983589778</v>
          </cell>
          <cell r="H576">
            <v>1.9578</v>
          </cell>
        </row>
        <row r="577">
          <cell r="B577">
            <v>37273</v>
          </cell>
          <cell r="C577">
            <v>37271</v>
          </cell>
          <cell r="D577">
            <v>572</v>
          </cell>
          <cell r="E577">
            <v>15.72</v>
          </cell>
          <cell r="F577">
            <v>1.738638069627596</v>
          </cell>
          <cell r="G577">
            <v>1.4042332447799644</v>
          </cell>
          <cell r="H577">
            <v>1.9578</v>
          </cell>
        </row>
        <row r="578">
          <cell r="B578">
            <v>37274</v>
          </cell>
          <cell r="C578">
            <v>37272</v>
          </cell>
          <cell r="D578">
            <v>573</v>
          </cell>
          <cell r="E578">
            <v>15.72</v>
          </cell>
          <cell r="F578">
            <v>1.738638069627596</v>
          </cell>
          <cell r="G578">
            <v>1.4050470625726348</v>
          </cell>
          <cell r="H578">
            <v>1.9578</v>
          </cell>
        </row>
        <row r="579">
          <cell r="B579">
            <v>37275</v>
          </cell>
          <cell r="C579">
            <v>37273</v>
          </cell>
          <cell r="D579">
            <v>574</v>
          </cell>
          <cell r="E579">
            <v>15.72</v>
          </cell>
          <cell r="F579">
            <v>1.738638069627596</v>
          </cell>
          <cell r="G579">
            <v>1.4058613520101706</v>
          </cell>
          <cell r="H579">
            <v>1.9578</v>
          </cell>
        </row>
        <row r="580">
          <cell r="B580">
            <v>37276</v>
          </cell>
          <cell r="C580">
            <v>37274</v>
          </cell>
          <cell r="D580">
            <v>575</v>
          </cell>
          <cell r="E580">
            <v>15.72</v>
          </cell>
          <cell r="F580">
            <v>1.738638069627596</v>
          </cell>
          <cell r="G580">
            <v>1.4066761133659116</v>
          </cell>
          <cell r="H580">
            <v>1.9578</v>
          </cell>
        </row>
        <row r="581">
          <cell r="B581">
            <v>37277</v>
          </cell>
          <cell r="C581">
            <v>37275</v>
          </cell>
          <cell r="D581">
            <v>576</v>
          </cell>
          <cell r="E581">
            <v>15.72</v>
          </cell>
          <cell r="F581">
            <v>1.738638069627596</v>
          </cell>
          <cell r="G581">
            <v>1.4074913469133561</v>
          </cell>
          <cell r="H581">
            <v>1.9578</v>
          </cell>
        </row>
        <row r="582">
          <cell r="B582">
            <v>37278</v>
          </cell>
          <cell r="C582">
            <v>37276</v>
          </cell>
          <cell r="D582">
            <v>577</v>
          </cell>
          <cell r="E582">
            <v>15.72</v>
          </cell>
          <cell r="F582">
            <v>1.738638069627596</v>
          </cell>
          <cell r="G582">
            <v>1.408307052926161</v>
          </cell>
          <cell r="H582">
            <v>1.9578</v>
          </cell>
        </row>
        <row r="583">
          <cell r="B583">
            <v>37279</v>
          </cell>
          <cell r="C583">
            <v>37277</v>
          </cell>
          <cell r="D583">
            <v>578</v>
          </cell>
          <cell r="E583">
            <v>15.72</v>
          </cell>
          <cell r="F583">
            <v>1.738638069627596</v>
          </cell>
          <cell r="G583">
            <v>1.4091232316781419</v>
          </cell>
          <cell r="H583">
            <v>1.9578</v>
          </cell>
        </row>
        <row r="584">
          <cell r="B584">
            <v>37280</v>
          </cell>
          <cell r="C584">
            <v>37278</v>
          </cell>
          <cell r="D584">
            <v>579</v>
          </cell>
          <cell r="E584">
            <v>15.72</v>
          </cell>
          <cell r="F584">
            <v>1.738638069627596</v>
          </cell>
          <cell r="G584">
            <v>1.4099398834432726</v>
          </cell>
          <cell r="H584">
            <v>1.9578</v>
          </cell>
        </row>
        <row r="585">
          <cell r="B585">
            <v>37281</v>
          </cell>
          <cell r="C585">
            <v>37279</v>
          </cell>
          <cell r="D585">
            <v>580</v>
          </cell>
          <cell r="E585">
            <v>15.72</v>
          </cell>
          <cell r="F585">
            <v>1.738638069627596</v>
          </cell>
          <cell r="G585">
            <v>1.4107570084956862</v>
          </cell>
          <cell r="H585">
            <v>1.9578</v>
          </cell>
        </row>
        <row r="586">
          <cell r="B586">
            <v>37282</v>
          </cell>
          <cell r="C586">
            <v>37280</v>
          </cell>
          <cell r="D586">
            <v>581</v>
          </cell>
          <cell r="E586">
            <v>15.72</v>
          </cell>
          <cell r="F586">
            <v>1.738638069627596</v>
          </cell>
          <cell r="G586">
            <v>1.4115746071096744</v>
          </cell>
          <cell r="H586">
            <v>1.9578</v>
          </cell>
        </row>
        <row r="587">
          <cell r="B587">
            <v>37283</v>
          </cell>
          <cell r="C587">
            <v>37281</v>
          </cell>
          <cell r="D587">
            <v>582</v>
          </cell>
          <cell r="E587">
            <v>15.72</v>
          </cell>
          <cell r="F587">
            <v>1.738638069627596</v>
          </cell>
          <cell r="G587">
            <v>1.4123926795596879</v>
          </cell>
          <cell r="H587">
            <v>1.9578</v>
          </cell>
        </row>
        <row r="588">
          <cell r="B588">
            <v>37284</v>
          </cell>
          <cell r="C588">
            <v>37282</v>
          </cell>
          <cell r="D588">
            <v>583</v>
          </cell>
          <cell r="E588">
            <v>15.72</v>
          </cell>
          <cell r="F588">
            <v>1.738638069627596</v>
          </cell>
          <cell r="G588">
            <v>1.4132112261203365</v>
          </cell>
          <cell r="H588">
            <v>1.9578</v>
          </cell>
        </row>
        <row r="589">
          <cell r="B589">
            <v>37285</v>
          </cell>
          <cell r="C589">
            <v>37283</v>
          </cell>
          <cell r="D589">
            <v>584</v>
          </cell>
          <cell r="E589">
            <v>15.72</v>
          </cell>
          <cell r="F589">
            <v>1.738638069627596</v>
          </cell>
          <cell r="G589">
            <v>1.414030247066389</v>
          </cell>
          <cell r="H589">
            <v>1.9578</v>
          </cell>
        </row>
        <row r="590">
          <cell r="B590">
            <v>37286</v>
          </cell>
          <cell r="C590">
            <v>37284</v>
          </cell>
          <cell r="D590">
            <v>585</v>
          </cell>
          <cell r="E590">
            <v>15.72</v>
          </cell>
          <cell r="F590">
            <v>1.738638069627596</v>
          </cell>
          <cell r="G590">
            <v>1.414849742672774</v>
          </cell>
          <cell r="H590">
            <v>1.9578</v>
          </cell>
        </row>
        <row r="591">
          <cell r="B591">
            <v>37287</v>
          </cell>
          <cell r="C591">
            <v>37285</v>
          </cell>
          <cell r="D591">
            <v>586</v>
          </cell>
          <cell r="E591">
            <v>15.72</v>
          </cell>
          <cell r="F591">
            <v>1.738638069627596</v>
          </cell>
          <cell r="G591">
            <v>1.4156697132145786</v>
          </cell>
          <cell r="H591">
            <v>1.9578</v>
          </cell>
        </row>
        <row r="592">
          <cell r="B592">
            <v>37288</v>
          </cell>
          <cell r="C592">
            <v>37286</v>
          </cell>
          <cell r="D592">
            <v>587</v>
          </cell>
          <cell r="E592">
            <v>15.72</v>
          </cell>
          <cell r="F592">
            <v>1.738638069627596</v>
          </cell>
          <cell r="G592">
            <v>1.4164901589670498</v>
          </cell>
          <cell r="H592">
            <v>1.9578</v>
          </cell>
        </row>
        <row r="593">
          <cell r="B593">
            <v>37289</v>
          </cell>
          <cell r="C593">
            <v>37287</v>
          </cell>
          <cell r="D593">
            <v>588</v>
          </cell>
          <cell r="E593">
            <v>15.72</v>
          </cell>
          <cell r="F593">
            <v>1.738638069627596</v>
          </cell>
          <cell r="G593">
            <v>1.4173110802055942</v>
          </cell>
          <cell r="H593">
            <v>1.9578</v>
          </cell>
        </row>
        <row r="594">
          <cell r="B594">
            <v>37290</v>
          </cell>
          <cell r="C594">
            <v>37288</v>
          </cell>
          <cell r="D594">
            <v>589</v>
          </cell>
          <cell r="E594">
            <v>15.72</v>
          </cell>
          <cell r="F594">
            <v>1.738638069627596</v>
          </cell>
          <cell r="G594">
            <v>1.4181324772057777</v>
          </cell>
          <cell r="H594">
            <v>1.9578</v>
          </cell>
        </row>
        <row r="595">
          <cell r="B595">
            <v>37291</v>
          </cell>
          <cell r="C595">
            <v>37289</v>
          </cell>
          <cell r="D595">
            <v>590</v>
          </cell>
          <cell r="E595">
            <v>15.72</v>
          </cell>
          <cell r="F595">
            <v>1.738638069627596</v>
          </cell>
          <cell r="G595">
            <v>1.4189543502433262</v>
          </cell>
          <cell r="H595">
            <v>1.9578</v>
          </cell>
        </row>
        <row r="596">
          <cell r="B596">
            <v>37292</v>
          </cell>
          <cell r="C596">
            <v>37290</v>
          </cell>
          <cell r="D596">
            <v>591</v>
          </cell>
          <cell r="E596">
            <v>15.72</v>
          </cell>
          <cell r="F596">
            <v>1.738638069627596</v>
          </cell>
          <cell r="G596">
            <v>1.419776699594125</v>
          </cell>
          <cell r="H596">
            <v>1.9578</v>
          </cell>
        </row>
        <row r="597">
          <cell r="B597">
            <v>37293</v>
          </cell>
          <cell r="C597">
            <v>37291</v>
          </cell>
          <cell r="D597">
            <v>592</v>
          </cell>
          <cell r="E597">
            <v>15.72</v>
          </cell>
          <cell r="F597">
            <v>1.738638069627596</v>
          </cell>
          <cell r="G597">
            <v>1.4205995255342199</v>
          </cell>
          <cell r="H597">
            <v>1.9578</v>
          </cell>
        </row>
        <row r="598">
          <cell r="B598">
            <v>37294</v>
          </cell>
          <cell r="C598">
            <v>37292</v>
          </cell>
          <cell r="D598">
            <v>593</v>
          </cell>
          <cell r="E598">
            <v>15.72</v>
          </cell>
          <cell r="F598">
            <v>1.738638069627596</v>
          </cell>
          <cell r="G598">
            <v>1.421422828339816</v>
          </cell>
          <cell r="H598">
            <v>1.9578</v>
          </cell>
        </row>
        <row r="599">
          <cell r="B599">
            <v>37295</v>
          </cell>
          <cell r="C599">
            <v>37293</v>
          </cell>
          <cell r="D599">
            <v>594</v>
          </cell>
          <cell r="E599">
            <v>15.72</v>
          </cell>
          <cell r="F599">
            <v>1.738638069627596</v>
          </cell>
          <cell r="G599">
            <v>1.4222466082872791</v>
          </cell>
          <cell r="H599">
            <v>1.9578</v>
          </cell>
        </row>
        <row r="600">
          <cell r="B600">
            <v>37296</v>
          </cell>
          <cell r="C600">
            <v>37294</v>
          </cell>
          <cell r="D600">
            <v>595</v>
          </cell>
          <cell r="E600">
            <v>15.72</v>
          </cell>
          <cell r="F600">
            <v>1.738638069627596</v>
          </cell>
          <cell r="G600">
            <v>1.4230708656531348</v>
          </cell>
          <cell r="H600">
            <v>1.9578</v>
          </cell>
        </row>
        <row r="601">
          <cell r="B601">
            <v>37297</v>
          </cell>
          <cell r="C601">
            <v>37295</v>
          </cell>
          <cell r="D601">
            <v>596</v>
          </cell>
          <cell r="E601">
            <v>15.72</v>
          </cell>
          <cell r="F601">
            <v>1.738638069627596</v>
          </cell>
          <cell r="G601">
            <v>1.4238956007140688</v>
          </cell>
          <cell r="H601">
            <v>1.9578</v>
          </cell>
        </row>
        <row r="602">
          <cell r="B602">
            <v>37298</v>
          </cell>
          <cell r="C602">
            <v>37296</v>
          </cell>
          <cell r="D602">
            <v>597</v>
          </cell>
          <cell r="E602">
            <v>15.72</v>
          </cell>
          <cell r="F602">
            <v>1.738638069627596</v>
          </cell>
          <cell r="G602">
            <v>1.4247208137469278</v>
          </cell>
          <cell r="H602">
            <v>1.9578</v>
          </cell>
        </row>
        <row r="603">
          <cell r="B603">
            <v>37299</v>
          </cell>
          <cell r="C603">
            <v>37297</v>
          </cell>
          <cell r="D603">
            <v>598</v>
          </cell>
          <cell r="E603">
            <v>15.72</v>
          </cell>
          <cell r="F603">
            <v>1.738638069627596</v>
          </cell>
          <cell r="G603">
            <v>1.4255465050287182</v>
          </cell>
          <cell r="H603">
            <v>1.9578</v>
          </cell>
        </row>
        <row r="604">
          <cell r="B604">
            <v>37300</v>
          </cell>
          <cell r="C604">
            <v>37298</v>
          </cell>
          <cell r="D604">
            <v>599</v>
          </cell>
          <cell r="E604">
            <v>15.72</v>
          </cell>
          <cell r="F604">
            <v>1.738638069627596</v>
          </cell>
          <cell r="G604">
            <v>1.4263726748366072</v>
          </cell>
          <cell r="H604">
            <v>1.9578</v>
          </cell>
        </row>
        <row r="605">
          <cell r="B605">
            <v>37301</v>
          </cell>
          <cell r="C605">
            <v>37299</v>
          </cell>
          <cell r="D605">
            <v>600</v>
          </cell>
          <cell r="E605">
            <v>15.72</v>
          </cell>
          <cell r="F605">
            <v>1.738638069627596</v>
          </cell>
          <cell r="G605">
            <v>1.427199323447923</v>
          </cell>
          <cell r="H605">
            <v>1.9578</v>
          </cell>
        </row>
        <row r="606">
          <cell r="B606">
            <v>37302</v>
          </cell>
          <cell r="C606">
            <v>37300</v>
          </cell>
          <cell r="D606">
            <v>601</v>
          </cell>
          <cell r="E606">
            <v>15.72</v>
          </cell>
          <cell r="F606">
            <v>1.738638069627596</v>
          </cell>
          <cell r="G606">
            <v>1.4280264511401541</v>
          </cell>
          <cell r="H606">
            <v>1.9578</v>
          </cell>
        </row>
        <row r="607">
          <cell r="B607">
            <v>37303</v>
          </cell>
          <cell r="C607">
            <v>37301</v>
          </cell>
          <cell r="D607">
            <v>602</v>
          </cell>
          <cell r="E607">
            <v>15.72</v>
          </cell>
          <cell r="F607">
            <v>1.738638069627596</v>
          </cell>
          <cell r="G607">
            <v>1.4288540581909499</v>
          </cell>
          <cell r="H607">
            <v>1.9578</v>
          </cell>
        </row>
        <row r="608">
          <cell r="B608">
            <v>37304</v>
          </cell>
          <cell r="C608">
            <v>37302</v>
          </cell>
          <cell r="D608">
            <v>603</v>
          </cell>
          <cell r="E608">
            <v>15.72</v>
          </cell>
          <cell r="F608">
            <v>1.738638069627596</v>
          </cell>
          <cell r="G608">
            <v>1.4296821448781207</v>
          </cell>
          <cell r="H608">
            <v>1.9578</v>
          </cell>
        </row>
        <row r="609">
          <cell r="B609">
            <v>37305</v>
          </cell>
          <cell r="C609">
            <v>37303</v>
          </cell>
          <cell r="D609">
            <v>604</v>
          </cell>
          <cell r="E609">
            <v>15.72</v>
          </cell>
          <cell r="F609">
            <v>1.738638069627596</v>
          </cell>
          <cell r="G609">
            <v>1.430510711479638</v>
          </cell>
          <cell r="H609">
            <v>1.9578</v>
          </cell>
        </row>
        <row r="610">
          <cell r="B610">
            <v>37306</v>
          </cell>
          <cell r="C610">
            <v>37304</v>
          </cell>
          <cell r="D610">
            <v>605</v>
          </cell>
          <cell r="E610">
            <v>15.72</v>
          </cell>
          <cell r="F610">
            <v>1.738638069627596</v>
          </cell>
          <cell r="G610">
            <v>1.4313397582736342</v>
          </cell>
          <cell r="H610">
            <v>1.9578</v>
          </cell>
        </row>
        <row r="611">
          <cell r="B611">
            <v>37307</v>
          </cell>
          <cell r="C611">
            <v>37305</v>
          </cell>
          <cell r="D611">
            <v>606</v>
          </cell>
          <cell r="E611">
            <v>15.72</v>
          </cell>
          <cell r="F611">
            <v>1.738638069627596</v>
          </cell>
          <cell r="G611">
            <v>1.4321692855384029</v>
          </cell>
          <cell r="H611">
            <v>1.9578</v>
          </cell>
        </row>
        <row r="612">
          <cell r="B612">
            <v>37308</v>
          </cell>
          <cell r="C612">
            <v>37306</v>
          </cell>
          <cell r="D612">
            <v>607</v>
          </cell>
          <cell r="E612">
            <v>15.72</v>
          </cell>
          <cell r="F612">
            <v>1.738638069627596</v>
          </cell>
          <cell r="G612">
            <v>1.4329992935523992</v>
          </cell>
          <cell r="H612">
            <v>1.9578</v>
          </cell>
        </row>
        <row r="613">
          <cell r="B613">
            <v>37309</v>
          </cell>
          <cell r="C613">
            <v>37307</v>
          </cell>
          <cell r="D613">
            <v>608</v>
          </cell>
          <cell r="E613">
            <v>15.72</v>
          </cell>
          <cell r="F613">
            <v>1.738638069627596</v>
          </cell>
          <cell r="G613">
            <v>1.433829782594239</v>
          </cell>
          <cell r="H613">
            <v>1.9578</v>
          </cell>
        </row>
        <row r="614">
          <cell r="B614">
            <v>37310</v>
          </cell>
          <cell r="C614">
            <v>37308</v>
          </cell>
          <cell r="D614">
            <v>609</v>
          </cell>
          <cell r="E614">
            <v>15.72</v>
          </cell>
          <cell r="F614">
            <v>1.738638069627596</v>
          </cell>
          <cell r="G614">
            <v>1.4346607529427005</v>
          </cell>
          <cell r="H614">
            <v>1.9578</v>
          </cell>
        </row>
        <row r="615">
          <cell r="B615">
            <v>37311</v>
          </cell>
          <cell r="C615">
            <v>37309</v>
          </cell>
          <cell r="D615">
            <v>610</v>
          </cell>
          <cell r="E615">
            <v>15.72</v>
          </cell>
          <cell r="F615">
            <v>1.738638069627596</v>
          </cell>
          <cell r="G615">
            <v>1.4354922048767227</v>
          </cell>
          <cell r="H615">
            <v>1.9578</v>
          </cell>
        </row>
        <row r="616">
          <cell r="B616">
            <v>37312</v>
          </cell>
          <cell r="C616">
            <v>37310</v>
          </cell>
          <cell r="D616">
            <v>611</v>
          </cell>
          <cell r="E616">
            <v>15.72</v>
          </cell>
          <cell r="F616">
            <v>1.738638069627596</v>
          </cell>
          <cell r="G616">
            <v>1.4363241386754069</v>
          </cell>
          <cell r="H616">
            <v>1.9578</v>
          </cell>
        </row>
        <row r="617">
          <cell r="B617">
            <v>37313</v>
          </cell>
          <cell r="C617">
            <v>37311</v>
          </cell>
          <cell r="D617">
            <v>612</v>
          </cell>
          <cell r="E617">
            <v>15.72</v>
          </cell>
          <cell r="F617">
            <v>1.738638069627596</v>
          </cell>
          <cell r="G617">
            <v>1.4371565546180156</v>
          </cell>
          <cell r="H617">
            <v>1.9578</v>
          </cell>
        </row>
        <row r="618">
          <cell r="B618">
            <v>37314</v>
          </cell>
          <cell r="C618">
            <v>37312</v>
          </cell>
          <cell r="D618">
            <v>613</v>
          </cell>
          <cell r="E618">
            <v>15.72</v>
          </cell>
          <cell r="F618">
            <v>1.738638069627596</v>
          </cell>
          <cell r="G618">
            <v>1.4379894529839736</v>
          </cell>
          <cell r="H618">
            <v>1.9578</v>
          </cell>
        </row>
        <row r="619">
          <cell r="B619">
            <v>37315</v>
          </cell>
          <cell r="C619">
            <v>37313</v>
          </cell>
          <cell r="D619">
            <v>614</v>
          </cell>
          <cell r="E619">
            <v>15.72</v>
          </cell>
          <cell r="F619">
            <v>1.738638069627596</v>
          </cell>
          <cell r="G619">
            <v>1.4388228340528673</v>
          </cell>
          <cell r="H619">
            <v>1.9578</v>
          </cell>
        </row>
        <row r="620">
          <cell r="B620">
            <v>37316</v>
          </cell>
          <cell r="C620">
            <v>37314</v>
          </cell>
          <cell r="D620">
            <v>615</v>
          </cell>
          <cell r="E620">
            <v>15.72</v>
          </cell>
          <cell r="F620">
            <v>1.738638069627596</v>
          </cell>
          <cell r="G620">
            <v>1.4396566981044452</v>
          </cell>
          <cell r="H620">
            <v>1.9578</v>
          </cell>
        </row>
        <row r="621">
          <cell r="B621">
            <v>37317</v>
          </cell>
          <cell r="C621">
            <v>37315</v>
          </cell>
          <cell r="D621">
            <v>616</v>
          </cell>
          <cell r="E621">
            <v>15.72</v>
          </cell>
          <cell r="F621">
            <v>1.738638069627596</v>
          </cell>
          <cell r="G621">
            <v>1.4404910454186182</v>
          </cell>
          <cell r="H621">
            <v>1.9578</v>
          </cell>
        </row>
        <row r="622">
          <cell r="B622">
            <v>37318</v>
          </cell>
          <cell r="C622">
            <v>37316</v>
          </cell>
          <cell r="D622">
            <v>617</v>
          </cell>
          <cell r="E622">
            <v>15.72</v>
          </cell>
          <cell r="F622">
            <v>1.738638069627596</v>
          </cell>
          <cell r="G622">
            <v>1.4413258762754591</v>
          </cell>
          <cell r="H622">
            <v>1.9578</v>
          </cell>
        </row>
        <row r="623">
          <cell r="B623">
            <v>37319</v>
          </cell>
          <cell r="C623">
            <v>37317</v>
          </cell>
          <cell r="D623">
            <v>618</v>
          </cell>
          <cell r="E623">
            <v>15.72</v>
          </cell>
          <cell r="F623">
            <v>1.738638069627596</v>
          </cell>
          <cell r="G623">
            <v>1.442161190955203</v>
          </cell>
          <cell r="H623">
            <v>1.9578</v>
          </cell>
        </row>
        <row r="624">
          <cell r="B624">
            <v>37320</v>
          </cell>
          <cell r="C624">
            <v>37318</v>
          </cell>
          <cell r="D624">
            <v>619</v>
          </cell>
          <cell r="E624">
            <v>15.72</v>
          </cell>
          <cell r="F624">
            <v>1.738638069627596</v>
          </cell>
          <cell r="G624">
            <v>1.4429969897382477</v>
          </cell>
          <cell r="H624">
            <v>1.9578</v>
          </cell>
        </row>
        <row r="625">
          <cell r="B625">
            <v>37321</v>
          </cell>
          <cell r="C625">
            <v>37319</v>
          </cell>
          <cell r="D625">
            <v>620</v>
          </cell>
          <cell r="E625">
            <v>15.72</v>
          </cell>
          <cell r="F625">
            <v>1.738638069627596</v>
          </cell>
          <cell r="G625">
            <v>1.4438332729051533</v>
          </cell>
          <cell r="H625">
            <v>1.9578</v>
          </cell>
        </row>
        <row r="626">
          <cell r="B626">
            <v>37322</v>
          </cell>
          <cell r="C626">
            <v>37320</v>
          </cell>
          <cell r="D626">
            <v>621</v>
          </cell>
          <cell r="E626">
            <v>15.72</v>
          </cell>
          <cell r="F626">
            <v>1.738638069627596</v>
          </cell>
          <cell r="G626">
            <v>1.4446700407366426</v>
          </cell>
          <cell r="H626">
            <v>1.9578</v>
          </cell>
        </row>
        <row r="627">
          <cell r="B627">
            <v>37323</v>
          </cell>
          <cell r="C627">
            <v>37321</v>
          </cell>
          <cell r="D627">
            <v>622</v>
          </cell>
          <cell r="E627">
            <v>15.72</v>
          </cell>
          <cell r="F627">
            <v>1.738638069627596</v>
          </cell>
          <cell r="G627">
            <v>1.4455072935136011</v>
          </cell>
          <cell r="H627">
            <v>1.9578</v>
          </cell>
        </row>
        <row r="628">
          <cell r="B628">
            <v>37324</v>
          </cell>
          <cell r="C628">
            <v>37322</v>
          </cell>
          <cell r="D628">
            <v>623</v>
          </cell>
          <cell r="E628">
            <v>15.72</v>
          </cell>
          <cell r="F628">
            <v>1.738638069627596</v>
          </cell>
          <cell r="G628">
            <v>1.4463450315170767</v>
          </cell>
          <cell r="H628">
            <v>1.9578</v>
          </cell>
        </row>
        <row r="629">
          <cell r="B629">
            <v>37325</v>
          </cell>
          <cell r="C629">
            <v>37323</v>
          </cell>
          <cell r="D629">
            <v>624</v>
          </cell>
          <cell r="E629">
            <v>15.72</v>
          </cell>
          <cell r="F629">
            <v>1.738638069627596</v>
          </cell>
          <cell r="G629">
            <v>1.4471832550282808</v>
          </cell>
          <cell r="H629">
            <v>1.9578</v>
          </cell>
        </row>
        <row r="630">
          <cell r="B630">
            <v>37326</v>
          </cell>
          <cell r="C630">
            <v>37324</v>
          </cell>
          <cell r="D630">
            <v>625</v>
          </cell>
          <cell r="E630">
            <v>15.72</v>
          </cell>
          <cell r="F630">
            <v>1.738638069627596</v>
          </cell>
          <cell r="G630">
            <v>1.4480219643285874</v>
          </cell>
          <cell r="H630">
            <v>1.9578</v>
          </cell>
        </row>
        <row r="631">
          <cell r="B631">
            <v>37327</v>
          </cell>
          <cell r="C631">
            <v>37325</v>
          </cell>
          <cell r="D631">
            <v>626</v>
          </cell>
          <cell r="E631">
            <v>15.72</v>
          </cell>
          <cell r="F631">
            <v>1.738638069627596</v>
          </cell>
          <cell r="G631">
            <v>1.4488611596995336</v>
          </cell>
          <cell r="H631">
            <v>1.9578</v>
          </cell>
        </row>
        <row r="632">
          <cell r="B632">
            <v>37328</v>
          </cell>
          <cell r="C632">
            <v>37326</v>
          </cell>
          <cell r="D632">
            <v>627</v>
          </cell>
          <cell r="E632">
            <v>15.72</v>
          </cell>
          <cell r="F632">
            <v>1.738638069627596</v>
          </cell>
          <cell r="G632">
            <v>1.4497008414228196</v>
          </cell>
          <cell r="H632">
            <v>1.9578</v>
          </cell>
        </row>
        <row r="633">
          <cell r="B633">
            <v>37329</v>
          </cell>
          <cell r="C633">
            <v>37327</v>
          </cell>
          <cell r="D633">
            <v>628</v>
          </cell>
          <cell r="E633">
            <v>15.72</v>
          </cell>
          <cell r="F633">
            <v>1.738638069627596</v>
          </cell>
          <cell r="G633">
            <v>1.4505410097803093</v>
          </cell>
          <cell r="H633">
            <v>1.9578</v>
          </cell>
        </row>
        <row r="634">
          <cell r="B634">
            <v>37330</v>
          </cell>
          <cell r="C634">
            <v>37328</v>
          </cell>
          <cell r="D634">
            <v>629</v>
          </cell>
          <cell r="E634">
            <v>15.72</v>
          </cell>
          <cell r="F634">
            <v>1.738638069627596</v>
          </cell>
          <cell r="G634">
            <v>1.4513816650540294</v>
          </cell>
          <cell r="H634">
            <v>1.9578</v>
          </cell>
        </row>
        <row r="635">
          <cell r="B635">
            <v>37331</v>
          </cell>
          <cell r="C635">
            <v>37329</v>
          </cell>
          <cell r="D635">
            <v>630</v>
          </cell>
          <cell r="E635">
            <v>15.72</v>
          </cell>
          <cell r="F635">
            <v>1.738638069627596</v>
          </cell>
          <cell r="G635">
            <v>1.4522228075261703</v>
          </cell>
          <cell r="H635">
            <v>1.9578</v>
          </cell>
        </row>
        <row r="636">
          <cell r="B636">
            <v>37332</v>
          </cell>
          <cell r="C636">
            <v>37330</v>
          </cell>
          <cell r="D636">
            <v>631</v>
          </cell>
          <cell r="E636">
            <v>15.72</v>
          </cell>
          <cell r="F636">
            <v>1.738638069627596</v>
          </cell>
          <cell r="G636">
            <v>1.4530644374790858</v>
          </cell>
          <cell r="H636">
            <v>1.9578</v>
          </cell>
        </row>
        <row r="637">
          <cell r="B637">
            <v>37333</v>
          </cell>
          <cell r="C637">
            <v>37331</v>
          </cell>
          <cell r="D637">
            <v>632</v>
          </cell>
          <cell r="E637">
            <v>15.72</v>
          </cell>
          <cell r="F637">
            <v>1.738638069627596</v>
          </cell>
          <cell r="G637">
            <v>1.4539065551952934</v>
          </cell>
          <cell r="H637">
            <v>1.9578</v>
          </cell>
        </row>
        <row r="638">
          <cell r="B638">
            <v>37334</v>
          </cell>
          <cell r="C638">
            <v>37332</v>
          </cell>
          <cell r="D638">
            <v>633</v>
          </cell>
          <cell r="E638">
            <v>15.72</v>
          </cell>
          <cell r="F638">
            <v>1.738638069627596</v>
          </cell>
          <cell r="G638">
            <v>1.4547491609574748</v>
          </cell>
          <cell r="H638">
            <v>1.9578</v>
          </cell>
        </row>
        <row r="639">
          <cell r="B639">
            <v>37335</v>
          </cell>
          <cell r="C639">
            <v>37333</v>
          </cell>
          <cell r="D639">
            <v>634</v>
          </cell>
          <cell r="E639">
            <v>15.72</v>
          </cell>
          <cell r="F639">
            <v>1.738638069627596</v>
          </cell>
          <cell r="G639">
            <v>1.4555922550484746</v>
          </cell>
          <cell r="H639">
            <v>1.9578</v>
          </cell>
        </row>
        <row r="640">
          <cell r="B640">
            <v>37336</v>
          </cell>
          <cell r="C640">
            <v>37334</v>
          </cell>
          <cell r="D640">
            <v>635</v>
          </cell>
          <cell r="E640">
            <v>15.72</v>
          </cell>
          <cell r="F640">
            <v>1.738638069627596</v>
          </cell>
          <cell r="G640">
            <v>1.456435837751302</v>
          </cell>
          <cell r="H640">
            <v>1.9578</v>
          </cell>
        </row>
        <row r="641">
          <cell r="B641">
            <v>37337</v>
          </cell>
          <cell r="C641">
            <v>37335</v>
          </cell>
          <cell r="D641">
            <v>636</v>
          </cell>
          <cell r="E641">
            <v>15.72</v>
          </cell>
          <cell r="F641">
            <v>1.738638069627596</v>
          </cell>
          <cell r="G641">
            <v>1.4572799093491302</v>
          </cell>
          <cell r="H641">
            <v>1.9578</v>
          </cell>
        </row>
        <row r="642">
          <cell r="B642">
            <v>37338</v>
          </cell>
          <cell r="C642">
            <v>37336</v>
          </cell>
          <cell r="D642">
            <v>637</v>
          </cell>
          <cell r="E642">
            <v>15.72</v>
          </cell>
          <cell r="F642">
            <v>1.738638069627596</v>
          </cell>
          <cell r="G642">
            <v>1.4581244701252962</v>
          </cell>
          <cell r="H642">
            <v>1.9578</v>
          </cell>
        </row>
        <row r="643">
          <cell r="B643">
            <v>37339</v>
          </cell>
          <cell r="C643">
            <v>37337</v>
          </cell>
          <cell r="D643">
            <v>638</v>
          </cell>
          <cell r="E643">
            <v>15.72</v>
          </cell>
          <cell r="F643">
            <v>1.738638069627596</v>
          </cell>
          <cell r="G643">
            <v>1.4589695203633013</v>
          </cell>
          <cell r="H643">
            <v>1.9578</v>
          </cell>
        </row>
        <row r="644">
          <cell r="B644">
            <v>37340</v>
          </cell>
          <cell r="C644">
            <v>37338</v>
          </cell>
          <cell r="D644">
            <v>639</v>
          </cell>
          <cell r="E644">
            <v>15.72</v>
          </cell>
          <cell r="F644">
            <v>1.738638069627596</v>
          </cell>
          <cell r="G644">
            <v>1.4598150603468112</v>
          </cell>
          <cell r="H644">
            <v>1.9578</v>
          </cell>
        </row>
        <row r="645">
          <cell r="B645">
            <v>37341</v>
          </cell>
          <cell r="C645">
            <v>37339</v>
          </cell>
          <cell r="D645">
            <v>640</v>
          </cell>
          <cell r="E645">
            <v>15.72</v>
          </cell>
          <cell r="F645">
            <v>1.738638069627596</v>
          </cell>
          <cell r="G645">
            <v>1.4606610903596562</v>
          </cell>
          <cell r="H645">
            <v>1.9578</v>
          </cell>
        </row>
        <row r="646">
          <cell r="B646">
            <v>37342</v>
          </cell>
          <cell r="C646">
            <v>37340</v>
          </cell>
          <cell r="D646">
            <v>641</v>
          </cell>
          <cell r="E646">
            <v>15.72</v>
          </cell>
          <cell r="F646">
            <v>1.738638069627596</v>
          </cell>
          <cell r="G646">
            <v>1.4615076106858305</v>
          </cell>
          <cell r="H646">
            <v>1.9578</v>
          </cell>
        </row>
        <row r="647">
          <cell r="B647">
            <v>37343</v>
          </cell>
          <cell r="C647">
            <v>37341</v>
          </cell>
          <cell r="D647">
            <v>642</v>
          </cell>
          <cell r="E647">
            <v>15.72</v>
          </cell>
          <cell r="F647">
            <v>1.738638069627596</v>
          </cell>
          <cell r="G647">
            <v>1.4623546216094934</v>
          </cell>
          <cell r="H647">
            <v>1.9578</v>
          </cell>
        </row>
        <row r="648">
          <cell r="B648">
            <v>37344</v>
          </cell>
          <cell r="C648">
            <v>37342</v>
          </cell>
          <cell r="D648">
            <v>643</v>
          </cell>
          <cell r="E648">
            <v>15.72</v>
          </cell>
          <cell r="F648">
            <v>1.738638069627596</v>
          </cell>
          <cell r="G648">
            <v>1.4632021234149688</v>
          </cell>
          <cell r="H648">
            <v>1.9578</v>
          </cell>
        </row>
        <row r="649">
          <cell r="B649">
            <v>37345</v>
          </cell>
          <cell r="C649">
            <v>37343</v>
          </cell>
          <cell r="D649">
            <v>644</v>
          </cell>
          <cell r="E649">
            <v>15.72</v>
          </cell>
          <cell r="F649">
            <v>1.738638069627596</v>
          </cell>
          <cell r="G649">
            <v>1.4640501163867452</v>
          </cell>
          <cell r="H649">
            <v>1.9578</v>
          </cell>
        </row>
        <row r="650">
          <cell r="B650">
            <v>37346</v>
          </cell>
          <cell r="C650">
            <v>37344</v>
          </cell>
          <cell r="D650">
            <v>645</v>
          </cell>
          <cell r="E650">
            <v>15.72</v>
          </cell>
          <cell r="F650">
            <v>1.738638069627596</v>
          </cell>
          <cell r="G650">
            <v>1.4648986008094762</v>
          </cell>
          <cell r="H650">
            <v>1.9578</v>
          </cell>
        </row>
        <row r="651">
          <cell r="B651">
            <v>37347</v>
          </cell>
          <cell r="C651">
            <v>37345</v>
          </cell>
          <cell r="D651">
            <v>646</v>
          </cell>
          <cell r="E651">
            <v>15.72</v>
          </cell>
          <cell r="F651">
            <v>1.738638069627596</v>
          </cell>
          <cell r="G651">
            <v>1.46574757696798</v>
          </cell>
          <cell r="H651">
            <v>1.9578</v>
          </cell>
        </row>
        <row r="652">
          <cell r="B652">
            <v>37348</v>
          </cell>
          <cell r="C652">
            <v>37346</v>
          </cell>
          <cell r="D652">
            <v>647</v>
          </cell>
          <cell r="E652">
            <v>15.72</v>
          </cell>
          <cell r="F652">
            <v>1.738638069627596</v>
          </cell>
          <cell r="G652">
            <v>1.4665970451472403</v>
          </cell>
          <cell r="H652">
            <v>1.9578</v>
          </cell>
        </row>
        <row r="653">
          <cell r="B653">
            <v>37349</v>
          </cell>
          <cell r="C653">
            <v>37347</v>
          </cell>
          <cell r="D653">
            <v>648</v>
          </cell>
          <cell r="E653">
            <v>15.72</v>
          </cell>
          <cell r="F653">
            <v>1.738638069627596</v>
          </cell>
          <cell r="G653">
            <v>1.4674470056324058</v>
          </cell>
          <cell r="H653">
            <v>1.9578</v>
          </cell>
        </row>
        <row r="654">
          <cell r="B654">
            <v>37350</v>
          </cell>
          <cell r="C654">
            <v>37348</v>
          </cell>
          <cell r="D654">
            <v>649</v>
          </cell>
          <cell r="E654">
            <v>15.72</v>
          </cell>
          <cell r="F654">
            <v>1.738638069627596</v>
          </cell>
          <cell r="G654">
            <v>1.4682974587087902</v>
          </cell>
          <cell r="H654">
            <v>1.9578</v>
          </cell>
        </row>
        <row r="655">
          <cell r="B655">
            <v>37351</v>
          </cell>
          <cell r="C655">
            <v>37349</v>
          </cell>
          <cell r="D655">
            <v>650</v>
          </cell>
          <cell r="E655">
            <v>15.72</v>
          </cell>
          <cell r="F655">
            <v>1.738638069627596</v>
          </cell>
          <cell r="G655">
            <v>1.469148404661873</v>
          </cell>
          <cell r="H655">
            <v>1.9578</v>
          </cell>
        </row>
        <row r="656">
          <cell r="B656">
            <v>37352</v>
          </cell>
          <cell r="C656">
            <v>37350</v>
          </cell>
          <cell r="D656">
            <v>651</v>
          </cell>
          <cell r="E656">
            <v>15.72</v>
          </cell>
          <cell r="F656">
            <v>1.738638069627596</v>
          </cell>
          <cell r="G656">
            <v>1.469999843777299</v>
          </cell>
          <cell r="H656">
            <v>1.9578</v>
          </cell>
        </row>
        <row r="657">
          <cell r="B657">
            <v>37353</v>
          </cell>
          <cell r="C657">
            <v>37351</v>
          </cell>
          <cell r="D657">
            <v>652</v>
          </cell>
          <cell r="E657">
            <v>15.72</v>
          </cell>
          <cell r="F657">
            <v>1.738638069627596</v>
          </cell>
          <cell r="G657">
            <v>1.4708517763408782</v>
          </cell>
          <cell r="H657">
            <v>1.9578</v>
          </cell>
        </row>
        <row r="658">
          <cell r="B658">
            <v>37354</v>
          </cell>
          <cell r="C658">
            <v>37352</v>
          </cell>
          <cell r="D658">
            <v>653</v>
          </cell>
          <cell r="E658">
            <v>15.72</v>
          </cell>
          <cell r="F658">
            <v>1.738638069627596</v>
          </cell>
          <cell r="G658">
            <v>1.4717042026385867</v>
          </cell>
          <cell r="H658">
            <v>1.9578</v>
          </cell>
        </row>
        <row r="659">
          <cell r="B659">
            <v>37355</v>
          </cell>
          <cell r="C659">
            <v>37353</v>
          </cell>
          <cell r="D659">
            <v>654</v>
          </cell>
          <cell r="E659">
            <v>15.72</v>
          </cell>
          <cell r="F659">
            <v>1.738638069627596</v>
          </cell>
          <cell r="G659">
            <v>1.4725571229565662</v>
          </cell>
          <cell r="H659">
            <v>1.9578</v>
          </cell>
        </row>
        <row r="660">
          <cell r="B660">
            <v>37356</v>
          </cell>
          <cell r="C660">
            <v>37354</v>
          </cell>
          <cell r="D660">
            <v>655</v>
          </cell>
          <cell r="E660">
            <v>15.72</v>
          </cell>
          <cell r="F660">
            <v>1.738638069627596</v>
          </cell>
          <cell r="G660">
            <v>1.4734105375811239</v>
          </cell>
          <cell r="H660">
            <v>1.9578</v>
          </cell>
        </row>
        <row r="661">
          <cell r="B661">
            <v>37357</v>
          </cell>
          <cell r="C661">
            <v>37355</v>
          </cell>
          <cell r="D661">
            <v>656</v>
          </cell>
          <cell r="E661">
            <v>15.72</v>
          </cell>
          <cell r="F661">
            <v>1.738638069627596</v>
          </cell>
          <cell r="G661">
            <v>1.4742644467987336</v>
          </cell>
          <cell r="H661">
            <v>1.9578</v>
          </cell>
        </row>
        <row r="662">
          <cell r="B662">
            <v>37358</v>
          </cell>
          <cell r="C662">
            <v>37356</v>
          </cell>
          <cell r="D662">
            <v>657</v>
          </cell>
          <cell r="E662">
            <v>15.72</v>
          </cell>
          <cell r="F662">
            <v>1.738638069627596</v>
          </cell>
          <cell r="G662">
            <v>1.4751188508960345</v>
          </cell>
          <cell r="H662">
            <v>1.9578</v>
          </cell>
        </row>
        <row r="663">
          <cell r="B663">
            <v>37359</v>
          </cell>
          <cell r="C663">
            <v>37357</v>
          </cell>
          <cell r="D663">
            <v>658</v>
          </cell>
          <cell r="E663">
            <v>15.72</v>
          </cell>
          <cell r="F663">
            <v>1.738638069627596</v>
          </cell>
          <cell r="G663">
            <v>1.4759737501598322</v>
          </cell>
          <cell r="H663">
            <v>1.9578</v>
          </cell>
        </row>
        <row r="664">
          <cell r="B664">
            <v>37360</v>
          </cell>
          <cell r="C664">
            <v>37358</v>
          </cell>
          <cell r="D664">
            <v>659</v>
          </cell>
          <cell r="E664">
            <v>15.72</v>
          </cell>
          <cell r="F664">
            <v>1.738638069627596</v>
          </cell>
          <cell r="G664">
            <v>1.4768291448770985</v>
          </cell>
          <cell r="H664">
            <v>1.9578</v>
          </cell>
        </row>
        <row r="665">
          <cell r="B665">
            <v>37361</v>
          </cell>
          <cell r="C665">
            <v>37359</v>
          </cell>
          <cell r="D665">
            <v>660</v>
          </cell>
          <cell r="E665">
            <v>15.72</v>
          </cell>
          <cell r="F665">
            <v>1.738638069627596</v>
          </cell>
          <cell r="G665">
            <v>1.4776850353349715</v>
          </cell>
          <cell r="H665">
            <v>1.9578</v>
          </cell>
        </row>
        <row r="666">
          <cell r="B666">
            <v>37362</v>
          </cell>
          <cell r="C666">
            <v>37360</v>
          </cell>
          <cell r="D666">
            <v>661</v>
          </cell>
          <cell r="E666">
            <v>15.72</v>
          </cell>
          <cell r="F666">
            <v>1.738638069627596</v>
          </cell>
          <cell r="G666">
            <v>1.4785414218207558</v>
          </cell>
          <cell r="H666">
            <v>1.9578</v>
          </cell>
        </row>
        <row r="667">
          <cell r="B667">
            <v>37363</v>
          </cell>
          <cell r="C667">
            <v>37361</v>
          </cell>
          <cell r="D667">
            <v>662</v>
          </cell>
          <cell r="E667">
            <v>15.72</v>
          </cell>
          <cell r="F667">
            <v>1.738638069627596</v>
          </cell>
          <cell r="G667">
            <v>1.4793983046219221</v>
          </cell>
          <cell r="H667">
            <v>1.9578</v>
          </cell>
        </row>
        <row r="668">
          <cell r="B668">
            <v>37364</v>
          </cell>
          <cell r="C668">
            <v>37362</v>
          </cell>
          <cell r="D668">
            <v>663</v>
          </cell>
          <cell r="E668">
            <v>15.72</v>
          </cell>
          <cell r="F668">
            <v>1.738638069627596</v>
          </cell>
          <cell r="G668">
            <v>1.4802556840261083</v>
          </cell>
          <cell r="H668">
            <v>1.9578</v>
          </cell>
        </row>
        <row r="669">
          <cell r="B669">
            <v>37365</v>
          </cell>
          <cell r="C669">
            <v>37363</v>
          </cell>
          <cell r="D669">
            <v>664</v>
          </cell>
          <cell r="E669">
            <v>15.72</v>
          </cell>
          <cell r="F669">
            <v>1.738638069627596</v>
          </cell>
          <cell r="G669">
            <v>1.4811135603211185</v>
          </cell>
          <cell r="H669">
            <v>1.9578</v>
          </cell>
        </row>
        <row r="670">
          <cell r="B670">
            <v>37366</v>
          </cell>
          <cell r="C670">
            <v>37364</v>
          </cell>
          <cell r="D670">
            <v>665</v>
          </cell>
          <cell r="E670">
            <v>15.72</v>
          </cell>
          <cell r="F670">
            <v>1.738638069627596</v>
          </cell>
          <cell r="G670">
            <v>1.4819719337949238</v>
          </cell>
          <cell r="H670">
            <v>1.9578</v>
          </cell>
        </row>
        <row r="671">
          <cell r="B671">
            <v>37367</v>
          </cell>
          <cell r="C671">
            <v>37365</v>
          </cell>
          <cell r="D671">
            <v>666</v>
          </cell>
          <cell r="E671">
            <v>15.72</v>
          </cell>
          <cell r="F671">
            <v>1.738638069627596</v>
          </cell>
          <cell r="G671">
            <v>1.4828308047356622</v>
          </cell>
          <cell r="H671">
            <v>1.9578</v>
          </cell>
        </row>
        <row r="672">
          <cell r="B672">
            <v>37368</v>
          </cell>
          <cell r="C672">
            <v>37366</v>
          </cell>
          <cell r="D672">
            <v>667</v>
          </cell>
          <cell r="E672">
            <v>15.72</v>
          </cell>
          <cell r="F672">
            <v>1.738638069627596</v>
          </cell>
          <cell r="G672">
            <v>1.4836901734316388</v>
          </cell>
          <cell r="H672">
            <v>1.9578</v>
          </cell>
        </row>
        <row r="673">
          <cell r="B673">
            <v>37369</v>
          </cell>
          <cell r="C673">
            <v>37367</v>
          </cell>
          <cell r="D673">
            <v>668</v>
          </cell>
          <cell r="E673">
            <v>15.72</v>
          </cell>
          <cell r="F673">
            <v>1.738638069627596</v>
          </cell>
          <cell r="G673">
            <v>1.4845500401713256</v>
          </cell>
          <cell r="H673">
            <v>1.9578</v>
          </cell>
        </row>
        <row r="674">
          <cell r="B674">
            <v>37370</v>
          </cell>
          <cell r="C674">
            <v>37368</v>
          </cell>
          <cell r="D674">
            <v>669</v>
          </cell>
          <cell r="E674">
            <v>15.72</v>
          </cell>
          <cell r="F674">
            <v>1.738638069627596</v>
          </cell>
          <cell r="G674">
            <v>1.4854104052433619</v>
          </cell>
          <cell r="H674">
            <v>1.9578</v>
          </cell>
        </row>
        <row r="675">
          <cell r="B675">
            <v>37371</v>
          </cell>
          <cell r="C675">
            <v>37369</v>
          </cell>
          <cell r="D675">
            <v>670</v>
          </cell>
          <cell r="E675">
            <v>15.72</v>
          </cell>
          <cell r="F675">
            <v>1.738638069627596</v>
          </cell>
          <cell r="G675">
            <v>1.4862712689365543</v>
          </cell>
          <cell r="H675">
            <v>1.9578</v>
          </cell>
        </row>
        <row r="676">
          <cell r="B676">
            <v>37372</v>
          </cell>
          <cell r="C676">
            <v>37370</v>
          </cell>
          <cell r="D676">
            <v>671</v>
          </cell>
          <cell r="E676">
            <v>15.72</v>
          </cell>
          <cell r="F676">
            <v>1.738638069627596</v>
          </cell>
          <cell r="G676">
            <v>1.4871326315398765</v>
          </cell>
          <cell r="H676">
            <v>1.9578</v>
          </cell>
        </row>
        <row r="677">
          <cell r="B677">
            <v>37373</v>
          </cell>
          <cell r="C677">
            <v>37371</v>
          </cell>
          <cell r="D677">
            <v>672</v>
          </cell>
          <cell r="E677">
            <v>15.72</v>
          </cell>
          <cell r="F677">
            <v>1.738638069627596</v>
          </cell>
          <cell r="G677">
            <v>1.48799449334247</v>
          </cell>
          <cell r="H677">
            <v>1.9578</v>
          </cell>
        </row>
        <row r="678">
          <cell r="B678">
            <v>37374</v>
          </cell>
          <cell r="C678">
            <v>37372</v>
          </cell>
          <cell r="D678">
            <v>673</v>
          </cell>
          <cell r="E678">
            <v>15.72</v>
          </cell>
          <cell r="F678">
            <v>1.738638069627596</v>
          </cell>
          <cell r="G678">
            <v>1.4888568546336438</v>
          </cell>
          <cell r="H678">
            <v>1.9578</v>
          </cell>
        </row>
        <row r="679">
          <cell r="B679">
            <v>37375</v>
          </cell>
          <cell r="C679">
            <v>37373</v>
          </cell>
          <cell r="D679">
            <v>674</v>
          </cell>
          <cell r="E679">
            <v>15.72</v>
          </cell>
          <cell r="F679">
            <v>1.738638069627596</v>
          </cell>
          <cell r="G679">
            <v>1.4897197157028745</v>
          </cell>
          <cell r="H679">
            <v>1.9578</v>
          </cell>
        </row>
        <row r="680">
          <cell r="B680">
            <v>37376</v>
          </cell>
          <cell r="C680">
            <v>37374</v>
          </cell>
          <cell r="D680">
            <v>675</v>
          </cell>
          <cell r="E680">
            <v>15.72</v>
          </cell>
          <cell r="F680">
            <v>1.738638069627596</v>
          </cell>
          <cell r="G680">
            <v>1.4905830768398065</v>
          </cell>
          <cell r="H680">
            <v>1.9578</v>
          </cell>
        </row>
        <row r="681">
          <cell r="B681">
            <v>37377</v>
          </cell>
          <cell r="C681">
            <v>37375</v>
          </cell>
          <cell r="D681">
            <v>676</v>
          </cell>
          <cell r="E681">
            <v>15.72</v>
          </cell>
          <cell r="F681">
            <v>1.738638069627596</v>
          </cell>
          <cell r="G681">
            <v>1.4914469383342519</v>
          </cell>
          <cell r="H681">
            <v>1.9578</v>
          </cell>
        </row>
        <row r="682">
          <cell r="B682">
            <v>37378</v>
          </cell>
          <cell r="C682">
            <v>37376</v>
          </cell>
          <cell r="D682">
            <v>677</v>
          </cell>
          <cell r="E682">
            <v>15.72</v>
          </cell>
          <cell r="F682">
            <v>1.738638069627596</v>
          </cell>
          <cell r="G682">
            <v>1.492311300476191</v>
          </cell>
          <cell r="H682">
            <v>1.9578</v>
          </cell>
        </row>
        <row r="683">
          <cell r="B683">
            <v>37379</v>
          </cell>
          <cell r="C683">
            <v>37377</v>
          </cell>
          <cell r="D683">
            <v>678</v>
          </cell>
          <cell r="E683">
            <v>15.72</v>
          </cell>
          <cell r="F683">
            <v>1.738638069627596</v>
          </cell>
          <cell r="G683">
            <v>1.4931761635557721</v>
          </cell>
          <cell r="H683">
            <v>1.9578</v>
          </cell>
        </row>
        <row r="684">
          <cell r="B684">
            <v>37380</v>
          </cell>
          <cell r="C684">
            <v>37378</v>
          </cell>
          <cell r="D684">
            <v>679</v>
          </cell>
          <cell r="E684">
            <v>15.72</v>
          </cell>
          <cell r="F684">
            <v>1.738638069627596</v>
          </cell>
          <cell r="G684">
            <v>1.4940415278633117</v>
          </cell>
          <cell r="H684">
            <v>1.9578</v>
          </cell>
        </row>
        <row r="685">
          <cell r="B685">
            <v>37381</v>
          </cell>
          <cell r="C685">
            <v>37379</v>
          </cell>
          <cell r="D685">
            <v>680</v>
          </cell>
          <cell r="E685">
            <v>15.72</v>
          </cell>
          <cell r="F685">
            <v>1.738638069627596</v>
          </cell>
          <cell r="G685">
            <v>1.4949073936892943</v>
          </cell>
          <cell r="H685">
            <v>1.9578</v>
          </cell>
        </row>
        <row r="686">
          <cell r="B686">
            <v>37382</v>
          </cell>
          <cell r="C686">
            <v>37380</v>
          </cell>
          <cell r="D686">
            <v>681</v>
          </cell>
          <cell r="E686">
            <v>15.72</v>
          </cell>
          <cell r="F686">
            <v>1.738638069627596</v>
          </cell>
          <cell r="G686">
            <v>1.4957737613243729</v>
          </cell>
          <cell r="H686">
            <v>1.9578</v>
          </cell>
        </row>
        <row r="687">
          <cell r="B687">
            <v>37383</v>
          </cell>
          <cell r="C687">
            <v>37381</v>
          </cell>
          <cell r="D687">
            <v>682</v>
          </cell>
          <cell r="E687">
            <v>15.72</v>
          </cell>
          <cell r="F687">
            <v>1.738638069627596</v>
          </cell>
          <cell r="G687">
            <v>1.4966406310593692</v>
          </cell>
          <cell r="H687">
            <v>1.9578</v>
          </cell>
        </row>
        <row r="688">
          <cell r="B688">
            <v>37384</v>
          </cell>
          <cell r="C688">
            <v>37382</v>
          </cell>
          <cell r="D688">
            <v>683</v>
          </cell>
          <cell r="E688">
            <v>15.72</v>
          </cell>
          <cell r="F688">
            <v>1.738638069627596</v>
          </cell>
          <cell r="G688">
            <v>1.497508003185273</v>
          </cell>
          <cell r="H688">
            <v>1.9578</v>
          </cell>
        </row>
        <row r="689">
          <cell r="B689">
            <v>37385</v>
          </cell>
          <cell r="C689">
            <v>37383</v>
          </cell>
          <cell r="D689">
            <v>684</v>
          </cell>
          <cell r="E689">
            <v>15.72</v>
          </cell>
          <cell r="F689">
            <v>1.738638069627596</v>
          </cell>
          <cell r="G689">
            <v>1.498375877993243</v>
          </cell>
          <cell r="H689">
            <v>1.9578</v>
          </cell>
        </row>
        <row r="690">
          <cell r="B690">
            <v>37386</v>
          </cell>
          <cell r="C690">
            <v>37384</v>
          </cell>
          <cell r="D690">
            <v>685</v>
          </cell>
          <cell r="E690">
            <v>15.72</v>
          </cell>
          <cell r="F690">
            <v>1.738638069627596</v>
          </cell>
          <cell r="G690">
            <v>1.4992442557746066</v>
          </cell>
          <cell r="H690">
            <v>1.9578</v>
          </cell>
        </row>
        <row r="691">
          <cell r="B691">
            <v>37387</v>
          </cell>
          <cell r="C691">
            <v>37385</v>
          </cell>
          <cell r="D691">
            <v>686</v>
          </cell>
          <cell r="E691">
            <v>15.72</v>
          </cell>
          <cell r="F691">
            <v>1.738638069627596</v>
          </cell>
          <cell r="G691">
            <v>1.50011313682086</v>
          </cell>
          <cell r="H691">
            <v>1.9578</v>
          </cell>
        </row>
        <row r="692">
          <cell r="B692">
            <v>37388</v>
          </cell>
          <cell r="C692">
            <v>37386</v>
          </cell>
          <cell r="D692">
            <v>687</v>
          </cell>
          <cell r="E692">
            <v>15.72</v>
          </cell>
          <cell r="F692">
            <v>1.738638069627596</v>
          </cell>
          <cell r="G692">
            <v>1.5009825214236685</v>
          </cell>
          <cell r="H692">
            <v>1.9578</v>
          </cell>
        </row>
        <row r="693">
          <cell r="B693">
            <v>37389</v>
          </cell>
          <cell r="C693">
            <v>37387</v>
          </cell>
          <cell r="D693">
            <v>688</v>
          </cell>
          <cell r="E693">
            <v>15.72</v>
          </cell>
          <cell r="F693">
            <v>1.738638069627596</v>
          </cell>
          <cell r="G693">
            <v>1.501852409874866</v>
          </cell>
          <cell r="H693">
            <v>1.9578</v>
          </cell>
        </row>
        <row r="694">
          <cell r="B694">
            <v>37390</v>
          </cell>
          <cell r="C694">
            <v>37388</v>
          </cell>
          <cell r="D694">
            <v>689</v>
          </cell>
          <cell r="E694">
            <v>15.72</v>
          </cell>
          <cell r="F694">
            <v>1.738638069627596</v>
          </cell>
          <cell r="G694">
            <v>1.5027228024664561</v>
          </cell>
          <cell r="H694">
            <v>1.9578</v>
          </cell>
        </row>
        <row r="695">
          <cell r="B695">
            <v>37391</v>
          </cell>
          <cell r="C695">
            <v>37389</v>
          </cell>
          <cell r="D695">
            <v>690</v>
          </cell>
          <cell r="E695">
            <v>15.72</v>
          </cell>
          <cell r="F695">
            <v>1.738638069627596</v>
          </cell>
          <cell r="G695">
            <v>1.5035936994906114</v>
          </cell>
          <cell r="H695">
            <v>1.9578</v>
          </cell>
        </row>
        <row r="696">
          <cell r="B696">
            <v>37392</v>
          </cell>
          <cell r="C696">
            <v>37390</v>
          </cell>
          <cell r="D696">
            <v>691</v>
          </cell>
          <cell r="E696">
            <v>15.72</v>
          </cell>
          <cell r="F696">
            <v>1.738638069627596</v>
          </cell>
          <cell r="G696">
            <v>1.5044651012396735</v>
          </cell>
          <cell r="H696">
            <v>1.9578</v>
          </cell>
        </row>
        <row r="697">
          <cell r="B697">
            <v>37393</v>
          </cell>
          <cell r="C697">
            <v>37391</v>
          </cell>
          <cell r="D697">
            <v>692</v>
          </cell>
          <cell r="E697">
            <v>15.72</v>
          </cell>
          <cell r="F697">
            <v>1.738638069627596</v>
          </cell>
          <cell r="G697">
            <v>1.5053370080061539</v>
          </cell>
          <cell r="H697">
            <v>1.9578</v>
          </cell>
        </row>
        <row r="698">
          <cell r="B698">
            <v>37394</v>
          </cell>
          <cell r="C698">
            <v>37392</v>
          </cell>
          <cell r="D698">
            <v>693</v>
          </cell>
          <cell r="E698">
            <v>15.72</v>
          </cell>
          <cell r="F698">
            <v>1.738638069627596</v>
          </cell>
          <cell r="G698">
            <v>1.5062094200827334</v>
          </cell>
          <cell r="H698">
            <v>1.9578</v>
          </cell>
        </row>
        <row r="699">
          <cell r="B699">
            <v>37395</v>
          </cell>
          <cell r="C699">
            <v>37393</v>
          </cell>
          <cell r="D699">
            <v>694</v>
          </cell>
          <cell r="E699">
            <v>15.72</v>
          </cell>
          <cell r="F699">
            <v>1.738638069627596</v>
          </cell>
          <cell r="G699">
            <v>1.5070823377622626</v>
          </cell>
          <cell r="H699">
            <v>1.9578</v>
          </cell>
        </row>
        <row r="700">
          <cell r="B700">
            <v>37396</v>
          </cell>
          <cell r="C700">
            <v>37394</v>
          </cell>
          <cell r="D700">
            <v>695</v>
          </cell>
          <cell r="E700">
            <v>15.72</v>
          </cell>
          <cell r="F700">
            <v>1.738638069627596</v>
          </cell>
          <cell r="G700">
            <v>1.5079557613377617</v>
          </cell>
          <cell r="H700">
            <v>1.9578</v>
          </cell>
        </row>
        <row r="701">
          <cell r="B701">
            <v>37397</v>
          </cell>
          <cell r="C701">
            <v>37395</v>
          </cell>
          <cell r="D701">
            <v>696</v>
          </cell>
          <cell r="E701">
            <v>15.72</v>
          </cell>
          <cell r="F701">
            <v>1.738638069627596</v>
          </cell>
          <cell r="G701">
            <v>1.5088296911024204</v>
          </cell>
          <cell r="H701">
            <v>1.9578</v>
          </cell>
        </row>
        <row r="702">
          <cell r="B702">
            <v>37398</v>
          </cell>
          <cell r="C702">
            <v>37396</v>
          </cell>
          <cell r="D702">
            <v>697</v>
          </cell>
          <cell r="E702">
            <v>15.72</v>
          </cell>
          <cell r="F702">
            <v>1.738638069627596</v>
          </cell>
          <cell r="G702">
            <v>1.5097041273495988</v>
          </cell>
          <cell r="H702">
            <v>1.9578</v>
          </cell>
        </row>
        <row r="703">
          <cell r="B703">
            <v>37399</v>
          </cell>
          <cell r="C703">
            <v>37397</v>
          </cell>
          <cell r="D703">
            <v>698</v>
          </cell>
          <cell r="E703">
            <v>15.72</v>
          </cell>
          <cell r="F703">
            <v>1.738638069627596</v>
          </cell>
          <cell r="G703">
            <v>1.5105790703728268</v>
          </cell>
          <cell r="H703">
            <v>1.9578</v>
          </cell>
        </row>
        <row r="704">
          <cell r="B704">
            <v>37400</v>
          </cell>
          <cell r="C704">
            <v>37398</v>
          </cell>
          <cell r="D704">
            <v>699</v>
          </cell>
          <cell r="E704">
            <v>15.72</v>
          </cell>
          <cell r="F704">
            <v>1.738638069627596</v>
          </cell>
          <cell r="G704">
            <v>1.5114545204658043</v>
          </cell>
          <cell r="H704">
            <v>1.9578</v>
          </cell>
        </row>
        <row r="705">
          <cell r="B705">
            <v>37401</v>
          </cell>
          <cell r="C705">
            <v>37399</v>
          </cell>
          <cell r="D705">
            <v>700</v>
          </cell>
          <cell r="E705">
            <v>15.72</v>
          </cell>
          <cell r="F705">
            <v>1.738638069627596</v>
          </cell>
          <cell r="G705">
            <v>1.5123304779224018</v>
          </cell>
          <cell r="H705">
            <v>1.9578</v>
          </cell>
        </row>
        <row r="706">
          <cell r="B706">
            <v>37402</v>
          </cell>
          <cell r="C706">
            <v>37400</v>
          </cell>
          <cell r="D706">
            <v>701</v>
          </cell>
          <cell r="E706">
            <v>15.72</v>
          </cell>
          <cell r="F706">
            <v>1.738638069627596</v>
          </cell>
          <cell r="G706">
            <v>1.5132069430366599</v>
          </cell>
          <cell r="H706">
            <v>1.9578</v>
          </cell>
        </row>
        <row r="707">
          <cell r="B707">
            <v>37403</v>
          </cell>
          <cell r="C707">
            <v>37401</v>
          </cell>
          <cell r="D707">
            <v>702</v>
          </cell>
          <cell r="E707">
            <v>15.72</v>
          </cell>
          <cell r="F707">
            <v>1.738638069627596</v>
          </cell>
          <cell r="G707">
            <v>1.5140839161027895</v>
          </cell>
          <cell r="H707">
            <v>1.9578</v>
          </cell>
        </row>
        <row r="708">
          <cell r="B708">
            <v>37404</v>
          </cell>
          <cell r="C708">
            <v>37402</v>
          </cell>
          <cell r="D708">
            <v>703</v>
          </cell>
          <cell r="E708">
            <v>15.72</v>
          </cell>
          <cell r="F708">
            <v>1.738638069627596</v>
          </cell>
          <cell r="G708">
            <v>1.5149613974151719</v>
          </cell>
          <cell r="H708">
            <v>1.9578</v>
          </cell>
        </row>
        <row r="709">
          <cell r="B709">
            <v>37405</v>
          </cell>
          <cell r="C709">
            <v>37403</v>
          </cell>
          <cell r="D709">
            <v>704</v>
          </cell>
          <cell r="E709">
            <v>15.72</v>
          </cell>
          <cell r="F709">
            <v>1.738638069627596</v>
          </cell>
          <cell r="G709">
            <v>1.5158393872683593</v>
          </cell>
          <cell r="H709">
            <v>1.9578</v>
          </cell>
        </row>
        <row r="710">
          <cell r="B710">
            <v>37406</v>
          </cell>
          <cell r="C710">
            <v>37404</v>
          </cell>
          <cell r="D710">
            <v>705</v>
          </cell>
          <cell r="E710">
            <v>15.72</v>
          </cell>
          <cell r="F710">
            <v>1.738638069627596</v>
          </cell>
          <cell r="G710">
            <v>1.5167178859570745</v>
          </cell>
          <cell r="H710">
            <v>1.9578</v>
          </cell>
        </row>
        <row r="711">
          <cell r="B711">
            <v>37407</v>
          </cell>
          <cell r="C711">
            <v>37405</v>
          </cell>
          <cell r="D711">
            <v>706</v>
          </cell>
          <cell r="E711">
            <v>15.72</v>
          </cell>
          <cell r="F711">
            <v>1.738638069627596</v>
          </cell>
          <cell r="G711">
            <v>1.5175968937762112</v>
          </cell>
          <cell r="H711">
            <v>1.9578</v>
          </cell>
        </row>
        <row r="712">
          <cell r="B712">
            <v>37408</v>
          </cell>
          <cell r="C712">
            <v>37406</v>
          </cell>
          <cell r="D712">
            <v>707</v>
          </cell>
          <cell r="E712">
            <v>15.72</v>
          </cell>
          <cell r="F712">
            <v>1.738638069627596</v>
          </cell>
          <cell r="G712">
            <v>1.5184764110208337</v>
          </cell>
          <cell r="H712">
            <v>1.9578</v>
          </cell>
        </row>
        <row r="713">
          <cell r="B713">
            <v>37409</v>
          </cell>
          <cell r="C713">
            <v>37407</v>
          </cell>
          <cell r="D713">
            <v>708</v>
          </cell>
          <cell r="E713">
            <v>15.72</v>
          </cell>
          <cell r="F713">
            <v>1.738638069627596</v>
          </cell>
          <cell r="G713">
            <v>1.5193564379861779</v>
          </cell>
          <cell r="H713">
            <v>1.9578</v>
          </cell>
        </row>
        <row r="714">
          <cell r="B714">
            <v>37410</v>
          </cell>
          <cell r="C714">
            <v>37408</v>
          </cell>
          <cell r="D714">
            <v>709</v>
          </cell>
          <cell r="E714">
            <v>15.72</v>
          </cell>
          <cell r="F714">
            <v>1.738638069627596</v>
          </cell>
          <cell r="G714">
            <v>1.5202369749676501</v>
          </cell>
          <cell r="H714">
            <v>1.9578</v>
          </cell>
        </row>
        <row r="715">
          <cell r="B715">
            <v>37411</v>
          </cell>
          <cell r="C715">
            <v>37409</v>
          </cell>
          <cell r="D715">
            <v>710</v>
          </cell>
          <cell r="E715">
            <v>15.72</v>
          </cell>
          <cell r="F715">
            <v>1.738638069627596</v>
          </cell>
          <cell r="G715">
            <v>1.5211180222608283</v>
          </cell>
          <cell r="H715">
            <v>1.9578</v>
          </cell>
        </row>
        <row r="716">
          <cell r="B716">
            <v>37412</v>
          </cell>
          <cell r="C716">
            <v>37410</v>
          </cell>
          <cell r="D716">
            <v>711</v>
          </cell>
          <cell r="E716">
            <v>15.72</v>
          </cell>
          <cell r="F716">
            <v>1.738638069627596</v>
          </cell>
          <cell r="G716">
            <v>1.5219995801614614</v>
          </cell>
          <cell r="H716">
            <v>1.9578</v>
          </cell>
        </row>
        <row r="717">
          <cell r="B717">
            <v>37413</v>
          </cell>
          <cell r="C717">
            <v>37411</v>
          </cell>
          <cell r="D717">
            <v>712</v>
          </cell>
          <cell r="E717">
            <v>15.72</v>
          </cell>
          <cell r="F717">
            <v>1.738638069627596</v>
          </cell>
          <cell r="G717">
            <v>1.52288164896547</v>
          </cell>
          <cell r="H717">
            <v>1.9578</v>
          </cell>
        </row>
        <row r="718">
          <cell r="B718">
            <v>37414</v>
          </cell>
          <cell r="C718">
            <v>37412</v>
          </cell>
          <cell r="D718">
            <v>713</v>
          </cell>
          <cell r="E718">
            <v>15.72</v>
          </cell>
          <cell r="F718">
            <v>1.738638069627596</v>
          </cell>
          <cell r="G718">
            <v>1.5237642289689461</v>
          </cell>
          <cell r="H718">
            <v>1.9578</v>
          </cell>
        </row>
        <row r="719">
          <cell r="B719">
            <v>37415</v>
          </cell>
          <cell r="C719">
            <v>37413</v>
          </cell>
          <cell r="D719">
            <v>714</v>
          </cell>
          <cell r="E719">
            <v>15.72</v>
          </cell>
          <cell r="F719">
            <v>1.738638069627596</v>
          </cell>
          <cell r="G719">
            <v>1.5246473204681534</v>
          </cell>
          <cell r="H719">
            <v>1.9578</v>
          </cell>
        </row>
        <row r="720">
          <cell r="B720">
            <v>37416</v>
          </cell>
          <cell r="C720">
            <v>37414</v>
          </cell>
          <cell r="D720">
            <v>715</v>
          </cell>
          <cell r="E720">
            <v>15.72</v>
          </cell>
          <cell r="F720">
            <v>1.738638069627596</v>
          </cell>
          <cell r="G720">
            <v>1.5255309237595274</v>
          </cell>
          <cell r="H720">
            <v>1.9578</v>
          </cell>
        </row>
        <row r="721">
          <cell r="B721">
            <v>37417</v>
          </cell>
          <cell r="C721">
            <v>37415</v>
          </cell>
          <cell r="D721">
            <v>716</v>
          </cell>
          <cell r="E721">
            <v>15.72</v>
          </cell>
          <cell r="F721">
            <v>1.738638069627596</v>
          </cell>
          <cell r="G721">
            <v>1.5264150391396749</v>
          </cell>
          <cell r="H721">
            <v>1.9578</v>
          </cell>
        </row>
        <row r="722">
          <cell r="B722">
            <v>37418</v>
          </cell>
          <cell r="C722">
            <v>37416</v>
          </cell>
          <cell r="D722">
            <v>717</v>
          </cell>
          <cell r="E722">
            <v>15.72</v>
          </cell>
          <cell r="F722">
            <v>1.738638069627596</v>
          </cell>
          <cell r="G722">
            <v>1.5272996669053751</v>
          </cell>
          <cell r="H722">
            <v>1.9578</v>
          </cell>
        </row>
        <row r="723">
          <cell r="B723">
            <v>37419</v>
          </cell>
          <cell r="C723">
            <v>37417</v>
          </cell>
          <cell r="D723">
            <v>718</v>
          </cell>
          <cell r="E723">
            <v>15.72</v>
          </cell>
          <cell r="F723">
            <v>1.738638069627596</v>
          </cell>
          <cell r="G723">
            <v>1.5281848073535789</v>
          </cell>
          <cell r="H723">
            <v>1.9578</v>
          </cell>
        </row>
        <row r="724">
          <cell r="B724">
            <v>37420</v>
          </cell>
          <cell r="C724">
            <v>37418</v>
          </cell>
          <cell r="D724">
            <v>719</v>
          </cell>
          <cell r="E724">
            <v>15.72</v>
          </cell>
          <cell r="F724">
            <v>1.738638069627596</v>
          </cell>
          <cell r="G724">
            <v>1.5290704607814094</v>
          </cell>
          <cell r="H724">
            <v>1.9578</v>
          </cell>
        </row>
        <row r="725">
          <cell r="B725">
            <v>37421</v>
          </cell>
          <cell r="C725">
            <v>37419</v>
          </cell>
          <cell r="D725">
            <v>720</v>
          </cell>
          <cell r="E725">
            <v>15.72</v>
          </cell>
          <cell r="F725">
            <v>1.738638069627596</v>
          </cell>
          <cell r="G725">
            <v>1.529956627486162</v>
          </cell>
          <cell r="H725">
            <v>1.9578</v>
          </cell>
        </row>
        <row r="726">
          <cell r="B726">
            <v>37422</v>
          </cell>
          <cell r="C726">
            <v>37420</v>
          </cell>
          <cell r="D726">
            <v>721</v>
          </cell>
          <cell r="E726">
            <v>15.72</v>
          </cell>
          <cell r="F726">
            <v>1.738638069627596</v>
          </cell>
          <cell r="G726">
            <v>1.5308433077653041</v>
          </cell>
          <cell r="H726">
            <v>1.9578</v>
          </cell>
        </row>
        <row r="727">
          <cell r="B727">
            <v>37423</v>
          </cell>
          <cell r="C727">
            <v>37421</v>
          </cell>
          <cell r="D727">
            <v>722</v>
          </cell>
          <cell r="E727">
            <v>15.72</v>
          </cell>
          <cell r="F727">
            <v>1.738638069627596</v>
          </cell>
          <cell r="G727">
            <v>1.531730501916476</v>
          </cell>
          <cell r="H727">
            <v>1.9578</v>
          </cell>
        </row>
        <row r="728">
          <cell r="B728">
            <v>37424</v>
          </cell>
          <cell r="C728">
            <v>37422</v>
          </cell>
          <cell r="D728">
            <v>723</v>
          </cell>
          <cell r="E728">
            <v>15.72</v>
          </cell>
          <cell r="F728">
            <v>1.738638069627596</v>
          </cell>
          <cell r="G728">
            <v>1.5326182102374899</v>
          </cell>
          <cell r="H728">
            <v>1.9578</v>
          </cell>
        </row>
        <row r="729">
          <cell r="B729">
            <v>37425</v>
          </cell>
          <cell r="C729">
            <v>37423</v>
          </cell>
          <cell r="D729">
            <v>724</v>
          </cell>
          <cell r="E729">
            <v>15.72</v>
          </cell>
          <cell r="F729">
            <v>1.738638069627596</v>
          </cell>
          <cell r="G729">
            <v>1.5335064330263311</v>
          </cell>
          <cell r="H729">
            <v>1.9578</v>
          </cell>
        </row>
        <row r="730">
          <cell r="B730">
            <v>37426</v>
          </cell>
          <cell r="C730">
            <v>37424</v>
          </cell>
          <cell r="D730">
            <v>725</v>
          </cell>
          <cell r="E730">
            <v>15.72</v>
          </cell>
          <cell r="F730">
            <v>1.738638069627596</v>
          </cell>
          <cell r="G730">
            <v>1.5343951705811572</v>
          </cell>
          <cell r="H730">
            <v>1.9578</v>
          </cell>
        </row>
        <row r="731">
          <cell r="B731">
            <v>37427</v>
          </cell>
          <cell r="C731">
            <v>37425</v>
          </cell>
          <cell r="D731">
            <v>726</v>
          </cell>
          <cell r="E731">
            <v>15.72</v>
          </cell>
          <cell r="F731">
            <v>1.738638069627596</v>
          </cell>
          <cell r="G731">
            <v>1.5352844232002989</v>
          </cell>
          <cell r="H731">
            <v>1.9578</v>
          </cell>
        </row>
        <row r="732">
          <cell r="B732">
            <v>37428</v>
          </cell>
          <cell r="C732">
            <v>37426</v>
          </cell>
          <cell r="D732">
            <v>727</v>
          </cell>
          <cell r="E732">
            <v>15.72</v>
          </cell>
          <cell r="F732">
            <v>1.738638069627596</v>
          </cell>
          <cell r="G732">
            <v>1.5361741911822597</v>
          </cell>
          <cell r="H732">
            <v>1.9578</v>
          </cell>
        </row>
        <row r="733">
          <cell r="B733">
            <v>37429</v>
          </cell>
          <cell r="C733">
            <v>37427</v>
          </cell>
          <cell r="D733">
            <v>728</v>
          </cell>
          <cell r="E733">
            <v>15.72</v>
          </cell>
          <cell r="F733">
            <v>1.738638069627596</v>
          </cell>
          <cell r="G733">
            <v>1.5370644748257161</v>
          </cell>
          <cell r="H733">
            <v>1.9578</v>
          </cell>
        </row>
        <row r="734">
          <cell r="B734">
            <v>37430</v>
          </cell>
          <cell r="C734">
            <v>37428</v>
          </cell>
          <cell r="D734">
            <v>729</v>
          </cell>
          <cell r="E734">
            <v>15.72</v>
          </cell>
          <cell r="F734">
            <v>1.738638069627596</v>
          </cell>
          <cell r="G734">
            <v>1.5379552744295175</v>
          </cell>
          <cell r="H734">
            <v>1.9578</v>
          </cell>
        </row>
        <row r="735">
          <cell r="B735">
            <v>37431</v>
          </cell>
          <cell r="C735">
            <v>37429</v>
          </cell>
          <cell r="D735">
            <v>730</v>
          </cell>
          <cell r="E735">
            <v>15.72</v>
          </cell>
          <cell r="F735">
            <v>1.738638069627596</v>
          </cell>
          <cell r="G735">
            <v>1.5388465902926867</v>
          </cell>
          <cell r="H735">
            <v>1.9578</v>
          </cell>
        </row>
        <row r="736">
          <cell r="B736">
            <v>37432</v>
          </cell>
          <cell r="C736">
            <v>37430</v>
          </cell>
          <cell r="D736">
            <v>731</v>
          </cell>
          <cell r="E736">
            <v>15.72</v>
          </cell>
          <cell r="F736">
            <v>1.738638069627596</v>
          </cell>
          <cell r="G736">
            <v>1.5397384227144197</v>
          </cell>
          <cell r="H736">
            <v>1.9578</v>
          </cell>
        </row>
        <row r="737">
          <cell r="B737">
            <v>37433</v>
          </cell>
          <cell r="C737">
            <v>37431</v>
          </cell>
          <cell r="D737">
            <v>732</v>
          </cell>
          <cell r="E737">
            <v>15.72</v>
          </cell>
          <cell r="F737">
            <v>1.738638069627596</v>
          </cell>
          <cell r="G737">
            <v>1.5406307719940864</v>
          </cell>
          <cell r="H737">
            <v>1.9578</v>
          </cell>
        </row>
        <row r="738">
          <cell r="B738">
            <v>37434</v>
          </cell>
          <cell r="C738">
            <v>37432</v>
          </cell>
          <cell r="D738">
            <v>733</v>
          </cell>
          <cell r="E738">
            <v>15.72</v>
          </cell>
          <cell r="F738">
            <v>1.738638069627596</v>
          </cell>
          <cell r="G738">
            <v>1.5415236384312292</v>
          </cell>
          <cell r="H738">
            <v>1.9578</v>
          </cell>
        </row>
        <row r="739">
          <cell r="B739">
            <v>37435</v>
          </cell>
          <cell r="C739">
            <v>37433</v>
          </cell>
          <cell r="D739">
            <v>734</v>
          </cell>
          <cell r="E739">
            <v>15.72</v>
          </cell>
          <cell r="F739">
            <v>1.738638069627596</v>
          </cell>
          <cell r="G739">
            <v>1.5424170223255649</v>
          </cell>
          <cell r="H739">
            <v>1.9578</v>
          </cell>
        </row>
        <row r="740">
          <cell r="B740">
            <v>37436</v>
          </cell>
          <cell r="C740">
            <v>37434</v>
          </cell>
          <cell r="D740">
            <v>735</v>
          </cell>
          <cell r="E740">
            <v>15.72</v>
          </cell>
          <cell r="F740">
            <v>1.738638069627596</v>
          </cell>
          <cell r="G740">
            <v>1.5433109239769838</v>
          </cell>
          <cell r="H740">
            <v>1.9578</v>
          </cell>
        </row>
        <row r="741">
          <cell r="B741">
            <v>37437</v>
          </cell>
          <cell r="C741">
            <v>37435</v>
          </cell>
          <cell r="D741">
            <v>736</v>
          </cell>
          <cell r="E741">
            <v>15.72</v>
          </cell>
          <cell r="F741">
            <v>1.738638069627596</v>
          </cell>
          <cell r="G741">
            <v>1.5442053436855498</v>
          </cell>
          <cell r="H741">
            <v>1.9578</v>
          </cell>
        </row>
        <row r="742">
          <cell r="B742">
            <v>37438</v>
          </cell>
          <cell r="C742">
            <v>37436</v>
          </cell>
          <cell r="D742">
            <v>737</v>
          </cell>
          <cell r="E742">
            <v>15.72</v>
          </cell>
          <cell r="F742">
            <v>1.738638069627596</v>
          </cell>
          <cell r="G742">
            <v>1.5451002817515012</v>
          </cell>
          <cell r="H742">
            <v>1.9578</v>
          </cell>
        </row>
        <row r="743">
          <cell r="B743">
            <v>37439</v>
          </cell>
          <cell r="C743">
            <v>37437</v>
          </cell>
          <cell r="D743">
            <v>738</v>
          </cell>
          <cell r="E743">
            <v>15.72</v>
          </cell>
          <cell r="F743">
            <v>1.738638069627596</v>
          </cell>
          <cell r="G743">
            <v>1.5459957384752496</v>
          </cell>
          <cell r="H743">
            <v>1.9578</v>
          </cell>
        </row>
        <row r="744">
          <cell r="B744">
            <v>37440</v>
          </cell>
          <cell r="C744">
            <v>37438</v>
          </cell>
          <cell r="D744">
            <v>739</v>
          </cell>
          <cell r="E744">
            <v>15.72</v>
          </cell>
          <cell r="F744">
            <v>1.738638069627596</v>
          </cell>
          <cell r="G744">
            <v>1.5468917141573812</v>
          </cell>
          <cell r="H744">
            <v>1.9578</v>
          </cell>
        </row>
        <row r="745">
          <cell r="B745">
            <v>37441</v>
          </cell>
          <cell r="C745">
            <v>37439</v>
          </cell>
          <cell r="D745">
            <v>740</v>
          </cell>
          <cell r="E745">
            <v>15.72</v>
          </cell>
          <cell r="F745">
            <v>1.738638069627596</v>
          </cell>
          <cell r="G745">
            <v>1.5477882090986563</v>
          </cell>
          <cell r="H745">
            <v>1.9578</v>
          </cell>
        </row>
        <row r="746">
          <cell r="B746">
            <v>37442</v>
          </cell>
          <cell r="C746">
            <v>37440</v>
          </cell>
          <cell r="D746">
            <v>741</v>
          </cell>
          <cell r="E746">
            <v>15.72</v>
          </cell>
          <cell r="F746">
            <v>1.738638069627596</v>
          </cell>
          <cell r="G746">
            <v>1.5486852236000095</v>
          </cell>
          <cell r="H746">
            <v>1.9578</v>
          </cell>
        </row>
        <row r="747">
          <cell r="B747">
            <v>37443</v>
          </cell>
          <cell r="C747">
            <v>37441</v>
          </cell>
          <cell r="D747">
            <v>742</v>
          </cell>
          <cell r="E747">
            <v>15.72</v>
          </cell>
          <cell r="F747">
            <v>1.738638069627596</v>
          </cell>
          <cell r="G747">
            <v>1.5495827579625496</v>
          </cell>
          <cell r="H747">
            <v>1.9578</v>
          </cell>
        </row>
        <row r="748">
          <cell r="B748">
            <v>37444</v>
          </cell>
          <cell r="C748">
            <v>37442</v>
          </cell>
          <cell r="D748">
            <v>743</v>
          </cell>
          <cell r="E748">
            <v>15.72</v>
          </cell>
          <cell r="F748">
            <v>1.738638069627596</v>
          </cell>
          <cell r="G748">
            <v>1.5504808124875604</v>
          </cell>
          <cell r="H748">
            <v>1.9578</v>
          </cell>
        </row>
        <row r="749">
          <cell r="B749">
            <v>37445</v>
          </cell>
          <cell r="C749">
            <v>37443</v>
          </cell>
          <cell r="D749">
            <v>744</v>
          </cell>
          <cell r="E749">
            <v>15.72</v>
          </cell>
          <cell r="F749">
            <v>1.738638069627596</v>
          </cell>
          <cell r="G749">
            <v>1.5513793874764998</v>
          </cell>
          <cell r="H749">
            <v>1.9578</v>
          </cell>
        </row>
        <row r="750">
          <cell r="B750">
            <v>37446</v>
          </cell>
          <cell r="C750">
            <v>37444</v>
          </cell>
          <cell r="D750">
            <v>745</v>
          </cell>
          <cell r="E750">
            <v>15.72</v>
          </cell>
          <cell r="F750">
            <v>1.738638069627596</v>
          </cell>
          <cell r="G750">
            <v>1.5522784832310006</v>
          </cell>
          <cell r="H750">
            <v>1.9578</v>
          </cell>
        </row>
        <row r="751">
          <cell r="B751">
            <v>37447</v>
          </cell>
          <cell r="C751">
            <v>37445</v>
          </cell>
          <cell r="D751">
            <v>746</v>
          </cell>
          <cell r="E751">
            <v>15.72</v>
          </cell>
          <cell r="F751">
            <v>1.738638069627596</v>
          </cell>
          <cell r="G751">
            <v>1.5531781000528704</v>
          </cell>
          <cell r="H751">
            <v>1.9578</v>
          </cell>
        </row>
        <row r="752">
          <cell r="B752">
            <v>37448</v>
          </cell>
          <cell r="C752">
            <v>37446</v>
          </cell>
          <cell r="D752">
            <v>747</v>
          </cell>
          <cell r="E752">
            <v>15.72</v>
          </cell>
          <cell r="F752">
            <v>1.738638069627596</v>
          </cell>
          <cell r="G752">
            <v>1.5540782382440916</v>
          </cell>
          <cell r="H752">
            <v>1.9578</v>
          </cell>
        </row>
        <row r="753">
          <cell r="B753">
            <v>37449</v>
          </cell>
          <cell r="C753">
            <v>37447</v>
          </cell>
          <cell r="D753">
            <v>748</v>
          </cell>
          <cell r="E753">
            <v>15.72</v>
          </cell>
          <cell r="F753">
            <v>1.738638069627596</v>
          </cell>
          <cell r="G753">
            <v>1.554978898106822</v>
          </cell>
          <cell r="H753">
            <v>1.9578</v>
          </cell>
        </row>
        <row r="754">
          <cell r="B754">
            <v>37450</v>
          </cell>
          <cell r="C754">
            <v>37448</v>
          </cell>
          <cell r="D754">
            <v>749</v>
          </cell>
          <cell r="E754">
            <v>15.72</v>
          </cell>
          <cell r="F754">
            <v>1.738638069627596</v>
          </cell>
          <cell r="G754">
            <v>1.5558800799433941</v>
          </cell>
          <cell r="H754">
            <v>1.9578</v>
          </cell>
        </row>
        <row r="755">
          <cell r="B755">
            <v>37451</v>
          </cell>
          <cell r="C755">
            <v>37449</v>
          </cell>
          <cell r="D755">
            <v>750</v>
          </cell>
          <cell r="E755">
            <v>15.72</v>
          </cell>
          <cell r="F755">
            <v>1.738638069627596</v>
          </cell>
          <cell r="G755">
            <v>1.5567817840563156</v>
          </cell>
          <cell r="H755">
            <v>1.9578</v>
          </cell>
        </row>
        <row r="756">
          <cell r="B756">
            <v>37452</v>
          </cell>
          <cell r="C756">
            <v>37450</v>
          </cell>
          <cell r="D756">
            <v>751</v>
          </cell>
          <cell r="E756">
            <v>15.72</v>
          </cell>
          <cell r="F756">
            <v>1.738638069627596</v>
          </cell>
          <cell r="G756">
            <v>1.5576840107482699</v>
          </cell>
          <cell r="H756">
            <v>1.9578</v>
          </cell>
        </row>
        <row r="757">
          <cell r="B757">
            <v>37453</v>
          </cell>
          <cell r="C757">
            <v>37451</v>
          </cell>
          <cell r="D757">
            <v>752</v>
          </cell>
          <cell r="E757">
            <v>15.72</v>
          </cell>
          <cell r="F757">
            <v>1.738638069627596</v>
          </cell>
          <cell r="G757">
            <v>1.5585867603221155</v>
          </cell>
          <cell r="H757">
            <v>1.9578</v>
          </cell>
        </row>
        <row r="758">
          <cell r="B758">
            <v>37454</v>
          </cell>
          <cell r="C758">
            <v>37452</v>
          </cell>
          <cell r="D758">
            <v>753</v>
          </cell>
          <cell r="E758">
            <v>15.72</v>
          </cell>
          <cell r="F758">
            <v>1.738638069627596</v>
          </cell>
          <cell r="G758">
            <v>1.5594900330808867</v>
          </cell>
          <cell r="H758">
            <v>1.9578</v>
          </cell>
        </row>
        <row r="759">
          <cell r="B759">
            <v>37455</v>
          </cell>
          <cell r="C759">
            <v>37453</v>
          </cell>
          <cell r="D759">
            <v>754</v>
          </cell>
          <cell r="E759">
            <v>15.72</v>
          </cell>
          <cell r="F759">
            <v>1.738638069627596</v>
          </cell>
          <cell r="G759">
            <v>1.5603938293277932</v>
          </cell>
          <cell r="H759">
            <v>1.9578</v>
          </cell>
        </row>
        <row r="760">
          <cell r="B760">
            <v>37456</v>
          </cell>
          <cell r="C760">
            <v>37454</v>
          </cell>
          <cell r="D760">
            <v>755</v>
          </cell>
          <cell r="E760">
            <v>15.72</v>
          </cell>
          <cell r="F760">
            <v>1.738638069627596</v>
          </cell>
          <cell r="G760">
            <v>1.5612981493662204</v>
          </cell>
          <cell r="H760">
            <v>1.9578</v>
          </cell>
        </row>
        <row r="761">
          <cell r="B761">
            <v>37457</v>
          </cell>
          <cell r="C761">
            <v>37455</v>
          </cell>
          <cell r="D761">
            <v>756</v>
          </cell>
          <cell r="E761">
            <v>15.72</v>
          </cell>
          <cell r="F761">
            <v>1.738638069627596</v>
          </cell>
          <cell r="G761">
            <v>1.5622029934997295</v>
          </cell>
          <cell r="H761">
            <v>1.9578</v>
          </cell>
        </row>
        <row r="762">
          <cell r="B762">
            <v>37458</v>
          </cell>
          <cell r="C762">
            <v>37456</v>
          </cell>
          <cell r="D762">
            <v>757</v>
          </cell>
          <cell r="E762">
            <v>15.72</v>
          </cell>
          <cell r="F762">
            <v>1.738638069627596</v>
          </cell>
          <cell r="G762">
            <v>1.5631083620320578</v>
          </cell>
          <cell r="H762">
            <v>1.9578</v>
          </cell>
        </row>
        <row r="763">
          <cell r="B763">
            <v>37459</v>
          </cell>
          <cell r="C763">
            <v>37457</v>
          </cell>
          <cell r="D763">
            <v>758</v>
          </cell>
          <cell r="E763">
            <v>15.72</v>
          </cell>
          <cell r="F763">
            <v>1.738638069627596</v>
          </cell>
          <cell r="G763">
            <v>1.5640142552671186</v>
          </cell>
          <cell r="H763">
            <v>1.9578</v>
          </cell>
        </row>
        <row r="764">
          <cell r="B764">
            <v>37460</v>
          </cell>
          <cell r="C764">
            <v>37458</v>
          </cell>
          <cell r="D764">
            <v>759</v>
          </cell>
          <cell r="E764">
            <v>15.72</v>
          </cell>
          <cell r="F764">
            <v>1.738638069627596</v>
          </cell>
          <cell r="G764">
            <v>1.5649206735090011</v>
          </cell>
          <cell r="H764">
            <v>1.9578</v>
          </cell>
        </row>
        <row r="765">
          <cell r="B765">
            <v>37461</v>
          </cell>
          <cell r="C765">
            <v>37459</v>
          </cell>
          <cell r="D765">
            <v>760</v>
          </cell>
          <cell r="E765">
            <v>15.72</v>
          </cell>
          <cell r="F765">
            <v>1.738638069627596</v>
          </cell>
          <cell r="G765">
            <v>1.5658276170619712</v>
          </cell>
          <cell r="H765">
            <v>1.9578</v>
          </cell>
        </row>
        <row r="766">
          <cell r="B766">
            <v>37462</v>
          </cell>
          <cell r="C766">
            <v>37460</v>
          </cell>
          <cell r="D766">
            <v>761</v>
          </cell>
          <cell r="E766">
            <v>15.72</v>
          </cell>
          <cell r="F766">
            <v>1.738638069627596</v>
          </cell>
          <cell r="G766">
            <v>1.5667350862304705</v>
          </cell>
          <cell r="H766">
            <v>1.9578</v>
          </cell>
        </row>
        <row r="767">
          <cell r="B767">
            <v>37463</v>
          </cell>
          <cell r="C767">
            <v>37461</v>
          </cell>
          <cell r="D767">
            <v>762</v>
          </cell>
          <cell r="E767">
            <v>15.72</v>
          </cell>
          <cell r="F767">
            <v>1.738638069627596</v>
          </cell>
          <cell r="G767">
            <v>1.5676430813191178</v>
          </cell>
          <cell r="H767">
            <v>1.9578</v>
          </cell>
        </row>
        <row r="768">
          <cell r="B768">
            <v>37464</v>
          </cell>
          <cell r="C768">
            <v>37462</v>
          </cell>
          <cell r="D768">
            <v>763</v>
          </cell>
          <cell r="E768">
            <v>15.72</v>
          </cell>
          <cell r="F768">
            <v>1.738638069627596</v>
          </cell>
          <cell r="G768">
            <v>1.5685516026327078</v>
          </cell>
          <cell r="H768">
            <v>1.9578</v>
          </cell>
        </row>
        <row r="769">
          <cell r="B769">
            <v>37465</v>
          </cell>
          <cell r="C769">
            <v>37463</v>
          </cell>
          <cell r="D769">
            <v>764</v>
          </cell>
          <cell r="E769">
            <v>15.72</v>
          </cell>
          <cell r="F769">
            <v>1.738638069627596</v>
          </cell>
          <cell r="G769">
            <v>1.5694606504762119</v>
          </cell>
          <cell r="H769">
            <v>1.9578</v>
          </cell>
        </row>
        <row r="770">
          <cell r="B770">
            <v>37466</v>
          </cell>
          <cell r="C770">
            <v>37464</v>
          </cell>
          <cell r="D770">
            <v>765</v>
          </cell>
          <cell r="E770">
            <v>15.72</v>
          </cell>
          <cell r="F770">
            <v>1.738638069627596</v>
          </cell>
          <cell r="G770">
            <v>1.5703702251547786</v>
          </cell>
          <cell r="H770">
            <v>1.9578</v>
          </cell>
        </row>
        <row r="771">
          <cell r="B771">
            <v>37467</v>
          </cell>
          <cell r="C771">
            <v>37465</v>
          </cell>
          <cell r="D771">
            <v>766</v>
          </cell>
          <cell r="E771">
            <v>15.72</v>
          </cell>
          <cell r="F771">
            <v>1.738638069627596</v>
          </cell>
          <cell r="G771">
            <v>1.5712803269737332</v>
          </cell>
          <cell r="H771">
            <v>1.9578</v>
          </cell>
        </row>
        <row r="772">
          <cell r="B772">
            <v>37468</v>
          </cell>
          <cell r="C772">
            <v>37466</v>
          </cell>
          <cell r="D772">
            <v>767</v>
          </cell>
          <cell r="E772">
            <v>15.72</v>
          </cell>
          <cell r="F772">
            <v>1.738638069627596</v>
          </cell>
          <cell r="G772">
            <v>1.5721909562385776</v>
          </cell>
          <cell r="H772">
            <v>1.9578</v>
          </cell>
        </row>
        <row r="773">
          <cell r="B773">
            <v>37469</v>
          </cell>
          <cell r="C773">
            <v>37467</v>
          </cell>
          <cell r="D773">
            <v>768</v>
          </cell>
          <cell r="E773">
            <v>15.72</v>
          </cell>
          <cell r="F773">
            <v>1.738638069627596</v>
          </cell>
          <cell r="G773">
            <v>1.5731021132549912</v>
          </cell>
          <cell r="H773">
            <v>1.9578</v>
          </cell>
        </row>
        <row r="774">
          <cell r="B774">
            <v>37470</v>
          </cell>
          <cell r="C774">
            <v>37468</v>
          </cell>
          <cell r="D774">
            <v>769</v>
          </cell>
          <cell r="E774">
            <v>15.72</v>
          </cell>
          <cell r="F774">
            <v>1.738638069627596</v>
          </cell>
          <cell r="G774">
            <v>1.57401379832883</v>
          </cell>
          <cell r="H774">
            <v>1.9578</v>
          </cell>
        </row>
        <row r="775">
          <cell r="B775">
            <v>37471</v>
          </cell>
          <cell r="C775">
            <v>37469</v>
          </cell>
          <cell r="D775">
            <v>770</v>
          </cell>
          <cell r="E775">
            <v>15.72</v>
          </cell>
          <cell r="F775">
            <v>1.738638069627596</v>
          </cell>
          <cell r="G775">
            <v>1.5749260117661279</v>
          </cell>
          <cell r="H775">
            <v>1.9578</v>
          </cell>
        </row>
        <row r="776">
          <cell r="B776">
            <v>37472</v>
          </cell>
          <cell r="C776">
            <v>37470</v>
          </cell>
          <cell r="D776">
            <v>771</v>
          </cell>
          <cell r="E776">
            <v>15.72</v>
          </cell>
          <cell r="F776">
            <v>1.738638069627596</v>
          </cell>
          <cell r="G776">
            <v>1.5758387538730956</v>
          </cell>
          <cell r="H776">
            <v>1.9578</v>
          </cell>
        </row>
        <row r="777">
          <cell r="B777">
            <v>37473</v>
          </cell>
          <cell r="C777">
            <v>37471</v>
          </cell>
          <cell r="D777">
            <v>772</v>
          </cell>
          <cell r="E777">
            <v>15.72</v>
          </cell>
          <cell r="F777">
            <v>1.738638069627596</v>
          </cell>
          <cell r="G777">
            <v>1.5767520249561218</v>
          </cell>
          <cell r="H777">
            <v>1.9578</v>
          </cell>
        </row>
        <row r="778">
          <cell r="B778">
            <v>37474</v>
          </cell>
          <cell r="C778">
            <v>37472</v>
          </cell>
          <cell r="D778">
            <v>773</v>
          </cell>
          <cell r="E778">
            <v>15.72</v>
          </cell>
          <cell r="F778">
            <v>1.738638069627596</v>
          </cell>
          <cell r="G778">
            <v>1.5776658253217721</v>
          </cell>
          <cell r="H778">
            <v>1.9578</v>
          </cell>
        </row>
        <row r="779">
          <cell r="B779">
            <v>37475</v>
          </cell>
          <cell r="C779">
            <v>37473</v>
          </cell>
          <cell r="D779">
            <v>774</v>
          </cell>
          <cell r="E779">
            <v>15.72</v>
          </cell>
          <cell r="F779">
            <v>1.738638069627596</v>
          </cell>
          <cell r="G779">
            <v>1.5785801552767904</v>
          </cell>
          <cell r="H779">
            <v>1.9578</v>
          </cell>
        </row>
        <row r="780">
          <cell r="B780">
            <v>37476</v>
          </cell>
          <cell r="C780">
            <v>37474</v>
          </cell>
          <cell r="D780">
            <v>775</v>
          </cell>
          <cell r="E780">
            <v>15.72</v>
          </cell>
          <cell r="F780">
            <v>1.738638069627596</v>
          </cell>
          <cell r="G780">
            <v>1.579495015128098</v>
          </cell>
          <cell r="H780">
            <v>1.9578</v>
          </cell>
        </row>
        <row r="781">
          <cell r="B781">
            <v>37477</v>
          </cell>
          <cell r="C781">
            <v>37475</v>
          </cell>
          <cell r="D781">
            <v>776</v>
          </cell>
          <cell r="E781">
            <v>15.72</v>
          </cell>
          <cell r="F781">
            <v>1.738638069627596</v>
          </cell>
          <cell r="G781">
            <v>1.5804104051827943</v>
          </cell>
          <cell r="H781">
            <v>1.9578</v>
          </cell>
        </row>
        <row r="782">
          <cell r="B782">
            <v>37478</v>
          </cell>
          <cell r="C782">
            <v>37476</v>
          </cell>
          <cell r="D782">
            <v>777</v>
          </cell>
          <cell r="E782">
            <v>15.72</v>
          </cell>
          <cell r="F782">
            <v>1.738638069627596</v>
          </cell>
          <cell r="G782">
            <v>1.5813263257481565</v>
          </cell>
          <cell r="H782">
            <v>1.9578</v>
          </cell>
        </row>
        <row r="783">
          <cell r="B783">
            <v>37479</v>
          </cell>
          <cell r="C783">
            <v>37477</v>
          </cell>
          <cell r="D783">
            <v>778</v>
          </cell>
          <cell r="E783">
            <v>15.72</v>
          </cell>
          <cell r="F783">
            <v>1.738638069627596</v>
          </cell>
          <cell r="G783">
            <v>1.5822427771316399</v>
          </cell>
          <cell r="H783">
            <v>1.9578</v>
          </cell>
        </row>
        <row r="784">
          <cell r="B784">
            <v>37480</v>
          </cell>
          <cell r="C784">
            <v>37478</v>
          </cell>
          <cell r="D784">
            <v>779</v>
          </cell>
          <cell r="E784">
            <v>15.72</v>
          </cell>
          <cell r="F784">
            <v>1.738638069627596</v>
          </cell>
          <cell r="G784">
            <v>1.583159759640878</v>
          </cell>
          <cell r="H784">
            <v>1.9578</v>
          </cell>
        </row>
        <row r="785">
          <cell r="B785">
            <v>37481</v>
          </cell>
          <cell r="C785">
            <v>37479</v>
          </cell>
          <cell r="D785">
            <v>780</v>
          </cell>
          <cell r="E785">
            <v>15.72</v>
          </cell>
          <cell r="F785">
            <v>1.738638069627596</v>
          </cell>
          <cell r="G785">
            <v>1.5840772735836826</v>
          </cell>
          <cell r="H785">
            <v>1.9578</v>
          </cell>
        </row>
        <row r="786">
          <cell r="B786">
            <v>37482</v>
          </cell>
          <cell r="C786">
            <v>37480</v>
          </cell>
          <cell r="D786">
            <v>781</v>
          </cell>
          <cell r="E786">
            <v>15.72</v>
          </cell>
          <cell r="F786">
            <v>1.738638069627596</v>
          </cell>
          <cell r="G786">
            <v>1.5849953192680442</v>
          </cell>
          <cell r="H786">
            <v>1.9578</v>
          </cell>
        </row>
        <row r="787">
          <cell r="B787">
            <v>37483</v>
          </cell>
          <cell r="C787">
            <v>37481</v>
          </cell>
          <cell r="D787">
            <v>782</v>
          </cell>
          <cell r="E787">
            <v>15.72</v>
          </cell>
          <cell r="F787">
            <v>1.738638069627596</v>
          </cell>
          <cell r="G787">
            <v>1.5859138970021311</v>
          </cell>
          <cell r="H787">
            <v>1.9578</v>
          </cell>
        </row>
        <row r="788">
          <cell r="B788">
            <v>37484</v>
          </cell>
          <cell r="C788">
            <v>37482</v>
          </cell>
          <cell r="D788">
            <v>783</v>
          </cell>
          <cell r="E788">
            <v>15.72</v>
          </cell>
          <cell r="F788">
            <v>1.738638069627596</v>
          </cell>
          <cell r="G788">
            <v>1.5868330070942909</v>
          </cell>
          <cell r="H788">
            <v>1.9578</v>
          </cell>
        </row>
        <row r="789">
          <cell r="B789">
            <v>37485</v>
          </cell>
          <cell r="C789">
            <v>37483</v>
          </cell>
          <cell r="D789">
            <v>784</v>
          </cell>
          <cell r="E789">
            <v>15.72</v>
          </cell>
          <cell r="F789">
            <v>1.738638069627596</v>
          </cell>
          <cell r="G789">
            <v>1.5877526498530494</v>
          </cell>
          <cell r="H789">
            <v>1.9578</v>
          </cell>
        </row>
        <row r="790">
          <cell r="B790">
            <v>37486</v>
          </cell>
          <cell r="C790">
            <v>37484</v>
          </cell>
          <cell r="D790">
            <v>785</v>
          </cell>
          <cell r="E790">
            <v>15.72</v>
          </cell>
          <cell r="F790">
            <v>1.738638069627596</v>
          </cell>
          <cell r="G790">
            <v>1.5886728255871116</v>
          </cell>
          <cell r="H790">
            <v>1.9578</v>
          </cell>
        </row>
        <row r="791">
          <cell r="B791">
            <v>37487</v>
          </cell>
          <cell r="C791">
            <v>37485</v>
          </cell>
          <cell r="D791">
            <v>786</v>
          </cell>
          <cell r="E791">
            <v>15.72</v>
          </cell>
          <cell r="F791">
            <v>1.738638069627596</v>
          </cell>
          <cell r="G791">
            <v>1.5895935346053611</v>
          </cell>
          <cell r="H791">
            <v>1.9578</v>
          </cell>
        </row>
        <row r="792">
          <cell r="B792">
            <v>37488</v>
          </cell>
          <cell r="C792">
            <v>37486</v>
          </cell>
          <cell r="D792">
            <v>787</v>
          </cell>
          <cell r="E792">
            <v>15.72</v>
          </cell>
          <cell r="F792">
            <v>1.738638069627596</v>
          </cell>
          <cell r="G792">
            <v>1.5905147772168606</v>
          </cell>
          <cell r="H792">
            <v>1.9578</v>
          </cell>
        </row>
        <row r="793">
          <cell r="B793">
            <v>37489</v>
          </cell>
          <cell r="C793">
            <v>37487</v>
          </cell>
          <cell r="D793">
            <v>788</v>
          </cell>
          <cell r="E793">
            <v>15.72</v>
          </cell>
          <cell r="F793">
            <v>1.738638069627596</v>
          </cell>
          <cell r="G793">
            <v>1.5914365537308521</v>
          </cell>
          <cell r="H793">
            <v>1.9578</v>
          </cell>
        </row>
        <row r="794">
          <cell r="B794">
            <v>37490</v>
          </cell>
          <cell r="C794">
            <v>37488</v>
          </cell>
          <cell r="D794">
            <v>789</v>
          </cell>
          <cell r="E794">
            <v>15.72</v>
          </cell>
          <cell r="F794">
            <v>1.738638069627596</v>
          </cell>
          <cell r="G794">
            <v>1.5923588644567566</v>
          </cell>
          <cell r="H794">
            <v>1.9578</v>
          </cell>
        </row>
        <row r="795">
          <cell r="B795">
            <v>37491</v>
          </cell>
          <cell r="C795">
            <v>37489</v>
          </cell>
          <cell r="D795">
            <v>790</v>
          </cell>
          <cell r="E795">
            <v>15.72</v>
          </cell>
          <cell r="F795">
            <v>1.738638069627596</v>
          </cell>
          <cell r="G795">
            <v>1.5932817097041745</v>
          </cell>
          <cell r="H795">
            <v>1.9578</v>
          </cell>
        </row>
        <row r="796">
          <cell r="B796">
            <v>37492</v>
          </cell>
          <cell r="C796">
            <v>37490</v>
          </cell>
          <cell r="D796">
            <v>791</v>
          </cell>
          <cell r="E796">
            <v>15.72</v>
          </cell>
          <cell r="F796">
            <v>1.738638069627596</v>
          </cell>
          <cell r="G796">
            <v>1.5942050897828854</v>
          </cell>
          <cell r="H796">
            <v>1.9578</v>
          </cell>
        </row>
        <row r="797">
          <cell r="B797">
            <v>37493</v>
          </cell>
          <cell r="C797">
            <v>37491</v>
          </cell>
          <cell r="D797">
            <v>792</v>
          </cell>
          <cell r="E797">
            <v>15.72</v>
          </cell>
          <cell r="F797">
            <v>1.738638069627596</v>
          </cell>
          <cell r="G797">
            <v>1.595129005002849</v>
          </cell>
          <cell r="H797">
            <v>1.9578</v>
          </cell>
        </row>
        <row r="798">
          <cell r="B798">
            <v>37494</v>
          </cell>
          <cell r="C798">
            <v>37492</v>
          </cell>
          <cell r="D798">
            <v>793</v>
          </cell>
          <cell r="E798">
            <v>15.72</v>
          </cell>
          <cell r="F798">
            <v>1.738638069627596</v>
          </cell>
          <cell r="G798">
            <v>1.5960534556742041</v>
          </cell>
          <cell r="H798">
            <v>1.9578</v>
          </cell>
        </row>
        <row r="799">
          <cell r="B799">
            <v>37495</v>
          </cell>
          <cell r="C799">
            <v>37493</v>
          </cell>
          <cell r="D799">
            <v>794</v>
          </cell>
          <cell r="E799">
            <v>15.72</v>
          </cell>
          <cell r="F799">
            <v>1.738638069627596</v>
          </cell>
          <cell r="G799">
            <v>1.5969784421072695</v>
          </cell>
          <cell r="H799">
            <v>1.9578</v>
          </cell>
        </row>
        <row r="800">
          <cell r="B800">
            <v>37496</v>
          </cell>
          <cell r="C800">
            <v>37494</v>
          </cell>
          <cell r="D800">
            <v>795</v>
          </cell>
          <cell r="E800">
            <v>15.72</v>
          </cell>
          <cell r="F800">
            <v>1.738638069627596</v>
          </cell>
          <cell r="G800">
            <v>1.5979039646125435</v>
          </cell>
          <cell r="H800">
            <v>1.9578</v>
          </cell>
        </row>
        <row r="801">
          <cell r="B801">
            <v>37497</v>
          </cell>
          <cell r="C801">
            <v>37495</v>
          </cell>
          <cell r="D801">
            <v>796</v>
          </cell>
          <cell r="E801">
            <v>15.72</v>
          </cell>
          <cell r="F801">
            <v>1.738638069627596</v>
          </cell>
          <cell r="G801">
            <v>1.5988300235007049</v>
          </cell>
          <cell r="H801">
            <v>1.9578</v>
          </cell>
        </row>
        <row r="802">
          <cell r="B802">
            <v>37498</v>
          </cell>
          <cell r="C802">
            <v>37496</v>
          </cell>
          <cell r="D802">
            <v>797</v>
          </cell>
          <cell r="E802">
            <v>15.72</v>
          </cell>
          <cell r="F802">
            <v>1.738638069627596</v>
          </cell>
          <cell r="G802">
            <v>1.5997566190826122</v>
          </cell>
          <cell r="H802">
            <v>1.9578</v>
          </cell>
        </row>
        <row r="803">
          <cell r="B803">
            <v>37499</v>
          </cell>
          <cell r="C803">
            <v>37497</v>
          </cell>
          <cell r="D803">
            <v>798</v>
          </cell>
          <cell r="E803">
            <v>15.72</v>
          </cell>
          <cell r="F803">
            <v>1.738638069627596</v>
          </cell>
          <cell r="G803">
            <v>1.6006837516693042</v>
          </cell>
          <cell r="H803">
            <v>1.9578</v>
          </cell>
        </row>
        <row r="804">
          <cell r="B804">
            <v>37500</v>
          </cell>
          <cell r="C804">
            <v>37498</v>
          </cell>
          <cell r="D804">
            <v>799</v>
          </cell>
          <cell r="E804">
            <v>15.72</v>
          </cell>
          <cell r="F804">
            <v>1.738638069627596</v>
          </cell>
          <cell r="G804">
            <v>1.6016114215719996</v>
          </cell>
          <cell r="H804">
            <v>1.9578</v>
          </cell>
        </row>
        <row r="805">
          <cell r="B805">
            <v>37501</v>
          </cell>
          <cell r="C805">
            <v>37499</v>
          </cell>
          <cell r="D805">
            <v>800</v>
          </cell>
          <cell r="E805">
            <v>15.72</v>
          </cell>
          <cell r="F805">
            <v>1.738638069627596</v>
          </cell>
          <cell r="G805">
            <v>1.6025396291020981</v>
          </cell>
          <cell r="H805">
            <v>1.9578</v>
          </cell>
        </row>
        <row r="806">
          <cell r="B806">
            <v>37502</v>
          </cell>
          <cell r="C806">
            <v>37500</v>
          </cell>
          <cell r="D806">
            <v>801</v>
          </cell>
          <cell r="E806">
            <v>15.72</v>
          </cell>
          <cell r="F806">
            <v>1.738638069627596</v>
          </cell>
          <cell r="G806">
            <v>1.6034683745711793</v>
          </cell>
          <cell r="H806">
            <v>1.9578</v>
          </cell>
        </row>
        <row r="807">
          <cell r="B807">
            <v>37503</v>
          </cell>
          <cell r="C807">
            <v>37501</v>
          </cell>
          <cell r="D807">
            <v>802</v>
          </cell>
          <cell r="E807">
            <v>15.72</v>
          </cell>
          <cell r="F807">
            <v>1.738638069627596</v>
          </cell>
          <cell r="G807">
            <v>1.6043976582910038</v>
          </cell>
          <cell r="H807">
            <v>1.9578</v>
          </cell>
        </row>
        <row r="808">
          <cell r="B808">
            <v>37504</v>
          </cell>
          <cell r="C808">
            <v>37502</v>
          </cell>
          <cell r="D808">
            <v>803</v>
          </cell>
          <cell r="E808">
            <v>15.72</v>
          </cell>
          <cell r="F808">
            <v>1.738638069627596</v>
          </cell>
          <cell r="G808">
            <v>1.6053274805735125</v>
          </cell>
          <cell r="H808">
            <v>1.9578</v>
          </cell>
        </row>
        <row r="809">
          <cell r="B809">
            <v>37505</v>
          </cell>
          <cell r="C809">
            <v>37503</v>
          </cell>
          <cell r="D809">
            <v>804</v>
          </cell>
          <cell r="E809">
            <v>15.72</v>
          </cell>
          <cell r="F809">
            <v>1.738638069627596</v>
          </cell>
          <cell r="G809">
            <v>1.6062578417308273</v>
          </cell>
          <cell r="H809">
            <v>1.9578</v>
          </cell>
        </row>
        <row r="810">
          <cell r="B810">
            <v>37506</v>
          </cell>
          <cell r="C810">
            <v>37504</v>
          </cell>
          <cell r="D810">
            <v>805</v>
          </cell>
          <cell r="E810">
            <v>15.72</v>
          </cell>
          <cell r="F810">
            <v>1.738638069627596</v>
          </cell>
          <cell r="G810">
            <v>1.6071887420752511</v>
          </cell>
          <cell r="H810">
            <v>1.9578</v>
          </cell>
        </row>
        <row r="811">
          <cell r="B811">
            <v>37507</v>
          </cell>
          <cell r="C811">
            <v>37505</v>
          </cell>
          <cell r="D811">
            <v>806</v>
          </cell>
          <cell r="E811">
            <v>15.72</v>
          </cell>
          <cell r="F811">
            <v>1.738638069627596</v>
          </cell>
          <cell r="G811">
            <v>1.6081201819192674</v>
          </cell>
          <cell r="H811">
            <v>1.9578</v>
          </cell>
        </row>
        <row r="812">
          <cell r="B812">
            <v>37508</v>
          </cell>
          <cell r="C812">
            <v>37506</v>
          </cell>
          <cell r="D812">
            <v>807</v>
          </cell>
          <cell r="E812">
            <v>15.72</v>
          </cell>
          <cell r="F812">
            <v>1.738638069627596</v>
          </cell>
          <cell r="G812">
            <v>1.6090521615755411</v>
          </cell>
          <cell r="H812">
            <v>1.9578</v>
          </cell>
        </row>
        <row r="813">
          <cell r="B813">
            <v>37509</v>
          </cell>
          <cell r="C813">
            <v>37507</v>
          </cell>
          <cell r="D813">
            <v>808</v>
          </cell>
          <cell r="E813">
            <v>15.72</v>
          </cell>
          <cell r="F813">
            <v>1.738638069627596</v>
          </cell>
          <cell r="G813">
            <v>1.6099846813569183</v>
          </cell>
          <cell r="H813">
            <v>1.9578</v>
          </cell>
        </row>
        <row r="814">
          <cell r="B814">
            <v>37510</v>
          </cell>
          <cell r="C814">
            <v>37508</v>
          </cell>
          <cell r="D814">
            <v>809</v>
          </cell>
          <cell r="E814">
            <v>15.72</v>
          </cell>
          <cell r="F814">
            <v>1.738638069627596</v>
          </cell>
          <cell r="G814">
            <v>1.6109177415764264</v>
          </cell>
          <cell r="H814">
            <v>1.9578</v>
          </cell>
        </row>
        <row r="815">
          <cell r="B815">
            <v>37511</v>
          </cell>
          <cell r="C815">
            <v>37509</v>
          </cell>
          <cell r="D815">
            <v>810</v>
          </cell>
          <cell r="E815">
            <v>15.72</v>
          </cell>
          <cell r="F815">
            <v>1.738638069627596</v>
          </cell>
          <cell r="G815">
            <v>1.6118513425472742</v>
          </cell>
          <cell r="H815">
            <v>1.9578</v>
          </cell>
        </row>
        <row r="816">
          <cell r="B816">
            <v>37512</v>
          </cell>
          <cell r="C816">
            <v>37510</v>
          </cell>
          <cell r="D816">
            <v>811</v>
          </cell>
          <cell r="E816">
            <v>15.72</v>
          </cell>
          <cell r="F816">
            <v>1.738638069627596</v>
          </cell>
          <cell r="G816">
            <v>1.612785484582852</v>
          </cell>
          <cell r="H816">
            <v>1.9578</v>
          </cell>
        </row>
        <row r="817">
          <cell r="B817">
            <v>37513</v>
          </cell>
          <cell r="C817">
            <v>37511</v>
          </cell>
          <cell r="D817">
            <v>812</v>
          </cell>
          <cell r="E817">
            <v>15.72</v>
          </cell>
          <cell r="F817">
            <v>1.738638069627596</v>
          </cell>
          <cell r="G817">
            <v>1.6137201679967315</v>
          </cell>
          <cell r="H817">
            <v>1.9578</v>
          </cell>
        </row>
        <row r="818">
          <cell r="B818">
            <v>37514</v>
          </cell>
          <cell r="C818">
            <v>37512</v>
          </cell>
          <cell r="D818">
            <v>813</v>
          </cell>
          <cell r="E818">
            <v>15.72</v>
          </cell>
          <cell r="F818">
            <v>1.738638069627596</v>
          </cell>
          <cell r="G818">
            <v>1.6146553931026664</v>
          </cell>
          <cell r="H818">
            <v>1.9578</v>
          </cell>
        </row>
        <row r="819">
          <cell r="B819">
            <v>37515</v>
          </cell>
          <cell r="C819">
            <v>37513</v>
          </cell>
          <cell r="D819">
            <v>814</v>
          </cell>
          <cell r="E819">
            <v>15.72</v>
          </cell>
          <cell r="F819">
            <v>1.738638069627596</v>
          </cell>
          <cell r="G819">
            <v>1.6155911602145923</v>
          </cell>
          <cell r="H819">
            <v>1.9578</v>
          </cell>
        </row>
        <row r="820">
          <cell r="B820">
            <v>37516</v>
          </cell>
          <cell r="C820">
            <v>37514</v>
          </cell>
          <cell r="D820">
            <v>815</v>
          </cell>
          <cell r="E820">
            <v>15.72</v>
          </cell>
          <cell r="F820">
            <v>1.738638069627596</v>
          </cell>
          <cell r="G820">
            <v>1.6165274696466265</v>
          </cell>
          <cell r="H820">
            <v>1.9578</v>
          </cell>
        </row>
        <row r="821">
          <cell r="B821">
            <v>37517</v>
          </cell>
          <cell r="C821">
            <v>37515</v>
          </cell>
          <cell r="D821">
            <v>816</v>
          </cell>
          <cell r="E821">
            <v>15.72</v>
          </cell>
          <cell r="F821">
            <v>1.738638069627596</v>
          </cell>
          <cell r="G821">
            <v>1.6174643217130686</v>
          </cell>
          <cell r="H821">
            <v>1.9578</v>
          </cell>
        </row>
        <row r="822">
          <cell r="B822">
            <v>37518</v>
          </cell>
          <cell r="C822">
            <v>37516</v>
          </cell>
          <cell r="D822">
            <v>817</v>
          </cell>
          <cell r="E822">
            <v>15.72</v>
          </cell>
          <cell r="F822">
            <v>1.738638069627596</v>
          </cell>
          <cell r="G822">
            <v>1.6184017167284002</v>
          </cell>
          <cell r="H822">
            <v>1.9578</v>
          </cell>
        </row>
        <row r="823">
          <cell r="B823">
            <v>37519</v>
          </cell>
          <cell r="C823">
            <v>37517</v>
          </cell>
          <cell r="D823">
            <v>818</v>
          </cell>
          <cell r="E823">
            <v>15.72</v>
          </cell>
          <cell r="F823">
            <v>1.738638069627596</v>
          </cell>
          <cell r="G823">
            <v>1.6193396550072849</v>
          </cell>
          <cell r="H823">
            <v>1.9578</v>
          </cell>
        </row>
        <row r="824">
          <cell r="B824">
            <v>37520</v>
          </cell>
          <cell r="C824">
            <v>37518</v>
          </cell>
          <cell r="D824">
            <v>819</v>
          </cell>
          <cell r="E824">
            <v>15.72</v>
          </cell>
          <cell r="F824">
            <v>1.738638069627596</v>
          </cell>
          <cell r="G824">
            <v>1.6202781368645693</v>
          </cell>
          <cell r="H824">
            <v>1.9578</v>
          </cell>
        </row>
        <row r="825">
          <cell r="B825">
            <v>37521</v>
          </cell>
          <cell r="C825">
            <v>37519</v>
          </cell>
          <cell r="D825">
            <v>820</v>
          </cell>
          <cell r="E825">
            <v>15.72</v>
          </cell>
          <cell r="F825">
            <v>1.738638069627596</v>
          </cell>
          <cell r="G825">
            <v>1.621217162615282</v>
          </cell>
          <cell r="H825">
            <v>1.9578</v>
          </cell>
        </row>
        <row r="826">
          <cell r="B826">
            <v>37522</v>
          </cell>
          <cell r="C826">
            <v>37520</v>
          </cell>
          <cell r="D826">
            <v>821</v>
          </cell>
          <cell r="E826">
            <v>15.72</v>
          </cell>
          <cell r="F826">
            <v>1.738638069627596</v>
          </cell>
          <cell r="G826">
            <v>1.6221567325746342</v>
          </cell>
          <cell r="H826">
            <v>1.9578</v>
          </cell>
        </row>
        <row r="827">
          <cell r="B827">
            <v>37523</v>
          </cell>
          <cell r="C827">
            <v>37521</v>
          </cell>
          <cell r="D827">
            <v>822</v>
          </cell>
          <cell r="E827">
            <v>15.72</v>
          </cell>
          <cell r="F827">
            <v>1.738638069627596</v>
          </cell>
          <cell r="G827">
            <v>1.6230968470580198</v>
          </cell>
          <cell r="H827">
            <v>1.9578</v>
          </cell>
        </row>
        <row r="828">
          <cell r="B828">
            <v>37524</v>
          </cell>
          <cell r="C828">
            <v>37522</v>
          </cell>
          <cell r="D828">
            <v>823</v>
          </cell>
          <cell r="E828">
            <v>15.72</v>
          </cell>
          <cell r="F828">
            <v>1.738638069627596</v>
          </cell>
          <cell r="G828">
            <v>1.6240375063810157</v>
          </cell>
          <cell r="H828">
            <v>1.9578</v>
          </cell>
        </row>
        <row r="829">
          <cell r="B829">
            <v>37525</v>
          </cell>
          <cell r="C829">
            <v>37523</v>
          </cell>
          <cell r="D829">
            <v>824</v>
          </cell>
          <cell r="E829">
            <v>15.72</v>
          </cell>
          <cell r="F829">
            <v>1.738638069627596</v>
          </cell>
          <cell r="G829">
            <v>1.6249787108593814</v>
          </cell>
          <cell r="H829">
            <v>1.9578</v>
          </cell>
        </row>
        <row r="830">
          <cell r="B830">
            <v>37526</v>
          </cell>
          <cell r="C830">
            <v>37524</v>
          </cell>
          <cell r="D830">
            <v>825</v>
          </cell>
          <cell r="E830">
            <v>15.72</v>
          </cell>
          <cell r="F830">
            <v>1.738638069627596</v>
          </cell>
          <cell r="G830">
            <v>1.6259204608090596</v>
          </cell>
          <cell r="H830">
            <v>1.9578</v>
          </cell>
        </row>
        <row r="831">
          <cell r="B831">
            <v>37527</v>
          </cell>
          <cell r="C831">
            <v>37525</v>
          </cell>
          <cell r="D831">
            <v>826</v>
          </cell>
          <cell r="E831">
            <v>15.72</v>
          </cell>
          <cell r="F831">
            <v>1.738638069627596</v>
          </cell>
          <cell r="G831">
            <v>1.626862756546176</v>
          </cell>
          <cell r="H831">
            <v>1.9578</v>
          </cell>
        </row>
        <row r="832">
          <cell r="B832">
            <v>37528</v>
          </cell>
          <cell r="C832">
            <v>37526</v>
          </cell>
          <cell r="D832">
            <v>827</v>
          </cell>
          <cell r="E832">
            <v>15.72</v>
          </cell>
          <cell r="F832">
            <v>1.738638069627596</v>
          </cell>
          <cell r="G832">
            <v>1.6278055983870394</v>
          </cell>
          <cell r="H832">
            <v>1.9578</v>
          </cell>
        </row>
        <row r="833">
          <cell r="B833">
            <v>37529</v>
          </cell>
          <cell r="C833">
            <v>37527</v>
          </cell>
          <cell r="D833">
            <v>828</v>
          </cell>
          <cell r="E833">
            <v>15.72</v>
          </cell>
          <cell r="F833">
            <v>1.738638069627596</v>
          </cell>
          <cell r="G833">
            <v>1.6287489866481424</v>
          </cell>
          <cell r="H833">
            <v>1.9578</v>
          </cell>
        </row>
        <row r="834">
          <cell r="B834">
            <v>37530</v>
          </cell>
          <cell r="C834">
            <v>37528</v>
          </cell>
          <cell r="D834">
            <v>829</v>
          </cell>
          <cell r="E834">
            <v>15.72</v>
          </cell>
          <cell r="F834">
            <v>1.738638069627596</v>
          </cell>
          <cell r="G834">
            <v>1.6296929216461604</v>
          </cell>
          <cell r="H834">
            <v>1.9578</v>
          </cell>
        </row>
        <row r="835">
          <cell r="B835">
            <v>37531</v>
          </cell>
          <cell r="C835">
            <v>37529</v>
          </cell>
          <cell r="D835">
            <v>830</v>
          </cell>
          <cell r="E835">
            <v>15.72</v>
          </cell>
          <cell r="F835">
            <v>1.738638069627596</v>
          </cell>
          <cell r="G835">
            <v>1.6306374036979527</v>
          </cell>
          <cell r="H835">
            <v>1.9578</v>
          </cell>
        </row>
        <row r="836">
          <cell r="B836">
            <v>37532</v>
          </cell>
          <cell r="C836">
            <v>37530</v>
          </cell>
          <cell r="D836">
            <v>831</v>
          </cell>
          <cell r="E836">
            <v>15.72</v>
          </cell>
          <cell r="F836">
            <v>1.738638069627596</v>
          </cell>
          <cell r="G836">
            <v>1.6315824331205619</v>
          </cell>
          <cell r="H836">
            <v>1.9578</v>
          </cell>
        </row>
        <row r="837">
          <cell r="B837">
            <v>37533</v>
          </cell>
          <cell r="C837">
            <v>37531</v>
          </cell>
          <cell r="D837">
            <v>832</v>
          </cell>
          <cell r="E837">
            <v>15.72</v>
          </cell>
          <cell r="F837">
            <v>1.738638069627596</v>
          </cell>
          <cell r="G837">
            <v>1.632528010231215</v>
          </cell>
          <cell r="H837">
            <v>1.9578</v>
          </cell>
        </row>
        <row r="838">
          <cell r="B838">
            <v>37534</v>
          </cell>
          <cell r="C838">
            <v>37532</v>
          </cell>
          <cell r="D838">
            <v>833</v>
          </cell>
          <cell r="E838">
            <v>15.72</v>
          </cell>
          <cell r="F838">
            <v>1.738638069627596</v>
          </cell>
          <cell r="G838">
            <v>1.6334741353473221</v>
          </cell>
          <cell r="H838">
            <v>1.9578</v>
          </cell>
        </row>
        <row r="839">
          <cell r="B839">
            <v>37535</v>
          </cell>
          <cell r="C839">
            <v>37533</v>
          </cell>
          <cell r="D839">
            <v>834</v>
          </cell>
          <cell r="E839">
            <v>15.72</v>
          </cell>
          <cell r="F839">
            <v>1.738638069627596</v>
          </cell>
          <cell r="G839">
            <v>1.6344208087864778</v>
          </cell>
          <cell r="H839">
            <v>1.9578</v>
          </cell>
        </row>
        <row r="840">
          <cell r="B840">
            <v>37536</v>
          </cell>
          <cell r="C840">
            <v>37534</v>
          </cell>
          <cell r="D840">
            <v>835</v>
          </cell>
          <cell r="E840">
            <v>15.72</v>
          </cell>
          <cell r="F840">
            <v>1.738638069627596</v>
          </cell>
          <cell r="G840">
            <v>1.6353680308664604</v>
          </cell>
          <cell r="H840">
            <v>1.9578</v>
          </cell>
        </row>
        <row r="841">
          <cell r="B841">
            <v>37537</v>
          </cell>
          <cell r="C841">
            <v>37535</v>
          </cell>
          <cell r="D841">
            <v>836</v>
          </cell>
          <cell r="E841">
            <v>15.72</v>
          </cell>
          <cell r="F841">
            <v>1.738638069627596</v>
          </cell>
          <cell r="G841">
            <v>1.6363158019052326</v>
          </cell>
          <cell r="H841">
            <v>1.9578</v>
          </cell>
        </row>
        <row r="842">
          <cell r="B842">
            <v>37538</v>
          </cell>
          <cell r="C842">
            <v>37536</v>
          </cell>
          <cell r="D842">
            <v>837</v>
          </cell>
          <cell r="E842">
            <v>15.72</v>
          </cell>
          <cell r="F842">
            <v>1.738638069627596</v>
          </cell>
          <cell r="G842">
            <v>1.6372641222209412</v>
          </cell>
          <cell r="H842">
            <v>1.9578</v>
          </cell>
        </row>
        <row r="843">
          <cell r="B843">
            <v>37539</v>
          </cell>
          <cell r="C843">
            <v>37537</v>
          </cell>
          <cell r="D843">
            <v>838</v>
          </cell>
          <cell r="E843">
            <v>15.72</v>
          </cell>
          <cell r="F843">
            <v>1.738638069627596</v>
          </cell>
          <cell r="G843">
            <v>1.6382129921319175</v>
          </cell>
          <cell r="H843">
            <v>1.9578</v>
          </cell>
        </row>
        <row r="844">
          <cell r="B844">
            <v>37540</v>
          </cell>
          <cell r="C844">
            <v>37538</v>
          </cell>
          <cell r="D844">
            <v>839</v>
          </cell>
          <cell r="E844">
            <v>15.72</v>
          </cell>
          <cell r="F844">
            <v>1.738638069627596</v>
          </cell>
          <cell r="G844">
            <v>1.6391624119566772</v>
          </cell>
          <cell r="H844">
            <v>1.9578</v>
          </cell>
        </row>
        <row r="845">
          <cell r="B845">
            <v>37541</v>
          </cell>
          <cell r="C845">
            <v>37539</v>
          </cell>
          <cell r="D845">
            <v>840</v>
          </cell>
          <cell r="E845">
            <v>15.72</v>
          </cell>
          <cell r="F845">
            <v>1.738638069627596</v>
          </cell>
          <cell r="G845">
            <v>1.6401123820139207</v>
          </cell>
          <cell r="H845">
            <v>1.9578</v>
          </cell>
        </row>
        <row r="846">
          <cell r="B846">
            <v>37542</v>
          </cell>
          <cell r="C846">
            <v>37540</v>
          </cell>
          <cell r="D846">
            <v>841</v>
          </cell>
          <cell r="E846">
            <v>15.72</v>
          </cell>
          <cell r="F846">
            <v>1.738638069627596</v>
          </cell>
          <cell r="G846">
            <v>1.641062902622533</v>
          </cell>
          <cell r="H846">
            <v>1.9578</v>
          </cell>
        </row>
        <row r="847">
          <cell r="B847">
            <v>37543</v>
          </cell>
          <cell r="C847">
            <v>37541</v>
          </cell>
          <cell r="D847">
            <v>842</v>
          </cell>
          <cell r="E847">
            <v>15.72</v>
          </cell>
          <cell r="F847">
            <v>1.738638069627596</v>
          </cell>
          <cell r="G847">
            <v>1.642013974101584</v>
          </cell>
          <cell r="H847">
            <v>1.9578</v>
          </cell>
        </row>
        <row r="848">
          <cell r="B848">
            <v>37544</v>
          </cell>
          <cell r="C848">
            <v>37542</v>
          </cell>
          <cell r="D848">
            <v>843</v>
          </cell>
          <cell r="E848">
            <v>15.72</v>
          </cell>
          <cell r="F848">
            <v>1.738638069627596</v>
          </cell>
          <cell r="G848">
            <v>1.6429655967703285</v>
          </cell>
          <cell r="H848">
            <v>1.9578</v>
          </cell>
        </row>
        <row r="849">
          <cell r="B849">
            <v>37545</v>
          </cell>
          <cell r="C849">
            <v>37543</v>
          </cell>
          <cell r="D849">
            <v>844</v>
          </cell>
          <cell r="E849">
            <v>15.72</v>
          </cell>
          <cell r="F849">
            <v>1.738638069627596</v>
          </cell>
          <cell r="G849">
            <v>1.6439177709482062</v>
          </cell>
          <cell r="H849">
            <v>1.9578</v>
          </cell>
        </row>
        <row r="850">
          <cell r="B850">
            <v>37546</v>
          </cell>
          <cell r="C850">
            <v>37544</v>
          </cell>
          <cell r="D850">
            <v>845</v>
          </cell>
          <cell r="E850">
            <v>15.72</v>
          </cell>
          <cell r="F850">
            <v>1.738638069627596</v>
          </cell>
          <cell r="G850">
            <v>1.6448704969548422</v>
          </cell>
          <cell r="H850">
            <v>1.9578</v>
          </cell>
        </row>
        <row r="851">
          <cell r="B851">
            <v>37547</v>
          </cell>
          <cell r="C851">
            <v>37545</v>
          </cell>
          <cell r="D851">
            <v>846</v>
          </cell>
          <cell r="E851">
            <v>15.72</v>
          </cell>
          <cell r="F851">
            <v>1.738638069627596</v>
          </cell>
          <cell r="G851">
            <v>1.6458237751100466</v>
          </cell>
          <cell r="H851">
            <v>1.9578</v>
          </cell>
        </row>
        <row r="852">
          <cell r="B852">
            <v>37548</v>
          </cell>
          <cell r="C852">
            <v>37546</v>
          </cell>
          <cell r="D852">
            <v>847</v>
          </cell>
          <cell r="E852">
            <v>15.72</v>
          </cell>
          <cell r="F852">
            <v>1.738638069627596</v>
          </cell>
          <cell r="G852">
            <v>1.6467776057338148</v>
          </cell>
          <cell r="H852">
            <v>1.9578</v>
          </cell>
        </row>
        <row r="853">
          <cell r="B853">
            <v>37549</v>
          </cell>
          <cell r="C853">
            <v>37547</v>
          </cell>
          <cell r="D853">
            <v>848</v>
          </cell>
          <cell r="E853">
            <v>15.72</v>
          </cell>
          <cell r="F853">
            <v>1.738638069627596</v>
          </cell>
          <cell r="G853">
            <v>1.6477319891463278</v>
          </cell>
          <cell r="H853">
            <v>1.9578</v>
          </cell>
        </row>
        <row r="854">
          <cell r="B854">
            <v>37550</v>
          </cell>
          <cell r="C854">
            <v>37548</v>
          </cell>
          <cell r="D854">
            <v>849</v>
          </cell>
          <cell r="E854">
            <v>15.72</v>
          </cell>
          <cell r="F854">
            <v>1.738638069627596</v>
          </cell>
          <cell r="G854">
            <v>1.6486869256679522</v>
          </cell>
          <cell r="H854">
            <v>1.9578</v>
          </cell>
        </row>
        <row r="855">
          <cell r="B855">
            <v>37551</v>
          </cell>
          <cell r="C855">
            <v>37549</v>
          </cell>
          <cell r="D855">
            <v>850</v>
          </cell>
          <cell r="E855">
            <v>15.72</v>
          </cell>
          <cell r="F855">
            <v>1.738638069627596</v>
          </cell>
          <cell r="G855">
            <v>1.64964241561924</v>
          </cell>
          <cell r="H855">
            <v>1.9578</v>
          </cell>
        </row>
        <row r="856">
          <cell r="B856">
            <v>37552</v>
          </cell>
          <cell r="C856">
            <v>37550</v>
          </cell>
          <cell r="D856">
            <v>851</v>
          </cell>
          <cell r="E856">
            <v>15.72</v>
          </cell>
          <cell r="F856">
            <v>1.738638069627596</v>
          </cell>
          <cell r="G856">
            <v>1.6505984593209293</v>
          </cell>
          <cell r="H856">
            <v>1.9578</v>
          </cell>
        </row>
        <row r="857">
          <cell r="B857">
            <v>37553</v>
          </cell>
          <cell r="C857">
            <v>37551</v>
          </cell>
          <cell r="D857">
            <v>852</v>
          </cell>
          <cell r="E857">
            <v>15.72</v>
          </cell>
          <cell r="F857">
            <v>1.738638069627596</v>
          </cell>
          <cell r="G857">
            <v>1.6515550570939439</v>
          </cell>
          <cell r="H857">
            <v>1.9578</v>
          </cell>
        </row>
        <row r="858">
          <cell r="B858">
            <v>37554</v>
          </cell>
          <cell r="C858">
            <v>37552</v>
          </cell>
          <cell r="D858">
            <v>853</v>
          </cell>
          <cell r="E858">
            <v>15.72</v>
          </cell>
          <cell r="F858">
            <v>1.738638069627596</v>
          </cell>
          <cell r="G858">
            <v>1.6525122092593938</v>
          </cell>
          <cell r="H858">
            <v>1.9578</v>
          </cell>
        </row>
        <row r="859">
          <cell r="B859">
            <v>37555</v>
          </cell>
          <cell r="C859">
            <v>37553</v>
          </cell>
          <cell r="D859">
            <v>854</v>
          </cell>
          <cell r="E859">
            <v>15.72</v>
          </cell>
          <cell r="F859">
            <v>1.738638069627596</v>
          </cell>
          <cell r="G859">
            <v>1.6534699161385746</v>
          </cell>
          <cell r="H859">
            <v>1.9578</v>
          </cell>
        </row>
        <row r="860">
          <cell r="B860">
            <v>37556</v>
          </cell>
          <cell r="C860">
            <v>37554</v>
          </cell>
          <cell r="D860">
            <v>855</v>
          </cell>
          <cell r="E860">
            <v>15.72</v>
          </cell>
          <cell r="F860">
            <v>1.738638069627596</v>
          </cell>
          <cell r="G860">
            <v>1.6544281780529688</v>
          </cell>
          <cell r="H860">
            <v>1.9578</v>
          </cell>
        </row>
        <row r="861">
          <cell r="B861">
            <v>37557</v>
          </cell>
          <cell r="C861">
            <v>37555</v>
          </cell>
          <cell r="D861">
            <v>856</v>
          </cell>
          <cell r="E861">
            <v>15.72</v>
          </cell>
          <cell r="F861">
            <v>1.738638069627596</v>
          </cell>
          <cell r="G861">
            <v>1.6553869953242446</v>
          </cell>
          <cell r="H861">
            <v>1.9578</v>
          </cell>
        </row>
        <row r="862">
          <cell r="B862">
            <v>37558</v>
          </cell>
          <cell r="C862">
            <v>37556</v>
          </cell>
          <cell r="D862">
            <v>857</v>
          </cell>
          <cell r="E862">
            <v>15.72</v>
          </cell>
          <cell r="F862">
            <v>1.738638069627596</v>
          </cell>
          <cell r="G862">
            <v>1.656346368274257</v>
          </cell>
          <cell r="H862">
            <v>1.9578</v>
          </cell>
        </row>
        <row r="863">
          <cell r="B863">
            <v>37559</v>
          </cell>
          <cell r="C863">
            <v>37557</v>
          </cell>
          <cell r="D863">
            <v>858</v>
          </cell>
          <cell r="E863">
            <v>15.72</v>
          </cell>
          <cell r="F863">
            <v>1.738638069627596</v>
          </cell>
          <cell r="G863">
            <v>1.6573062972250474</v>
          </cell>
          <cell r="H863">
            <v>1.9578</v>
          </cell>
        </row>
        <row r="864">
          <cell r="B864">
            <v>37560</v>
          </cell>
          <cell r="C864">
            <v>37558</v>
          </cell>
          <cell r="D864">
            <v>859</v>
          </cell>
          <cell r="E864">
            <v>15.72</v>
          </cell>
          <cell r="F864">
            <v>1.738638069627596</v>
          </cell>
          <cell r="G864">
            <v>1.6582667824988437</v>
          </cell>
          <cell r="H864">
            <v>1.9578</v>
          </cell>
        </row>
        <row r="865">
          <cell r="B865">
            <v>37561</v>
          </cell>
          <cell r="C865">
            <v>37559</v>
          </cell>
          <cell r="D865">
            <v>860</v>
          </cell>
          <cell r="E865">
            <v>15.72</v>
          </cell>
          <cell r="F865">
            <v>1.738638069627596</v>
          </cell>
          <cell r="G865">
            <v>1.6592278244180609</v>
          </cell>
          <cell r="H865">
            <v>1.9578</v>
          </cell>
        </row>
        <row r="866">
          <cell r="B866">
            <v>37562</v>
          </cell>
          <cell r="C866">
            <v>37560</v>
          </cell>
          <cell r="D866">
            <v>861</v>
          </cell>
          <cell r="E866">
            <v>15.72</v>
          </cell>
          <cell r="F866">
            <v>1.738638069627596</v>
          </cell>
          <cell r="G866">
            <v>1.6601894233053005</v>
          </cell>
          <cell r="H866">
            <v>1.9578</v>
          </cell>
        </row>
        <row r="867">
          <cell r="B867">
            <v>37563</v>
          </cell>
          <cell r="C867">
            <v>37561</v>
          </cell>
          <cell r="D867">
            <v>862</v>
          </cell>
          <cell r="E867">
            <v>15.72</v>
          </cell>
          <cell r="F867">
            <v>1.738638069627596</v>
          </cell>
          <cell r="G867">
            <v>1.6611515794833511</v>
          </cell>
          <cell r="H867">
            <v>1.9578</v>
          </cell>
        </row>
        <row r="868">
          <cell r="B868">
            <v>37564</v>
          </cell>
          <cell r="C868">
            <v>37562</v>
          </cell>
          <cell r="D868">
            <v>863</v>
          </cell>
          <cell r="E868">
            <v>15.72</v>
          </cell>
          <cell r="F868">
            <v>1.738638069627596</v>
          </cell>
          <cell r="G868">
            <v>1.6621142932751884</v>
          </cell>
          <cell r="H868">
            <v>1.9578</v>
          </cell>
        </row>
        <row r="869">
          <cell r="B869">
            <v>37565</v>
          </cell>
          <cell r="C869">
            <v>37563</v>
          </cell>
          <cell r="D869">
            <v>864</v>
          </cell>
          <cell r="E869">
            <v>15.72</v>
          </cell>
          <cell r="F869">
            <v>1.738638069627596</v>
          </cell>
          <cell r="G869">
            <v>1.6630775650039753</v>
          </cell>
          <cell r="H869">
            <v>1.9578</v>
          </cell>
        </row>
        <row r="870">
          <cell r="B870">
            <v>37566</v>
          </cell>
          <cell r="C870">
            <v>37564</v>
          </cell>
          <cell r="D870">
            <v>865</v>
          </cell>
          <cell r="E870">
            <v>15.72</v>
          </cell>
          <cell r="F870">
            <v>1.738638069627596</v>
          </cell>
          <cell r="G870">
            <v>1.6640413949930617</v>
          </cell>
          <cell r="H870">
            <v>1.9578</v>
          </cell>
        </row>
        <row r="871">
          <cell r="B871">
            <v>37567</v>
          </cell>
          <cell r="C871">
            <v>37565</v>
          </cell>
          <cell r="D871">
            <v>866</v>
          </cell>
          <cell r="E871">
            <v>15.72</v>
          </cell>
          <cell r="F871">
            <v>1.738638069627596</v>
          </cell>
          <cell r="G871">
            <v>1.6650057835659855</v>
          </cell>
          <cell r="H871">
            <v>1.9578</v>
          </cell>
        </row>
        <row r="872">
          <cell r="B872">
            <v>37568</v>
          </cell>
          <cell r="C872">
            <v>37566</v>
          </cell>
          <cell r="D872">
            <v>867</v>
          </cell>
          <cell r="E872">
            <v>15.72</v>
          </cell>
          <cell r="F872">
            <v>1.738638069627596</v>
          </cell>
          <cell r="G872">
            <v>1.6659707310464715</v>
          </cell>
          <cell r="H872">
            <v>1.9578</v>
          </cell>
        </row>
        <row r="873">
          <cell r="B873">
            <v>37569</v>
          </cell>
          <cell r="C873">
            <v>37567</v>
          </cell>
          <cell r="D873">
            <v>868</v>
          </cell>
          <cell r="E873">
            <v>15.72</v>
          </cell>
          <cell r="F873">
            <v>1.738638069627596</v>
          </cell>
          <cell r="G873">
            <v>1.6669362377584325</v>
          </cell>
          <cell r="H873">
            <v>1.9578</v>
          </cell>
        </row>
        <row r="874">
          <cell r="B874">
            <v>37570</v>
          </cell>
          <cell r="C874">
            <v>37568</v>
          </cell>
          <cell r="D874">
            <v>869</v>
          </cell>
          <cell r="E874">
            <v>15.72</v>
          </cell>
          <cell r="F874">
            <v>1.738638069627596</v>
          </cell>
          <cell r="G874">
            <v>1.6679023040259686</v>
          </cell>
          <cell r="H874">
            <v>1.9578</v>
          </cell>
        </row>
        <row r="875">
          <cell r="B875">
            <v>37571</v>
          </cell>
          <cell r="C875">
            <v>37569</v>
          </cell>
          <cell r="D875">
            <v>870</v>
          </cell>
          <cell r="E875">
            <v>15.72</v>
          </cell>
          <cell r="F875">
            <v>1.738638069627596</v>
          </cell>
          <cell r="G875">
            <v>1.6688689301733683</v>
          </cell>
          <cell r="H875">
            <v>1.9578</v>
          </cell>
        </row>
        <row r="876">
          <cell r="B876">
            <v>37572</v>
          </cell>
          <cell r="C876">
            <v>37570</v>
          </cell>
          <cell r="D876">
            <v>871</v>
          </cell>
          <cell r="E876">
            <v>15.72</v>
          </cell>
          <cell r="F876">
            <v>1.738638069627596</v>
          </cell>
          <cell r="G876">
            <v>1.6698361165251077</v>
          </cell>
          <cell r="H876">
            <v>1.9578</v>
          </cell>
        </row>
        <row r="877">
          <cell r="B877">
            <v>37573</v>
          </cell>
          <cell r="C877">
            <v>37571</v>
          </cell>
          <cell r="D877">
            <v>872</v>
          </cell>
          <cell r="E877">
            <v>15.72</v>
          </cell>
          <cell r="F877">
            <v>1.738638069627596</v>
          </cell>
          <cell r="G877">
            <v>1.6708038634058509</v>
          </cell>
          <cell r="H877">
            <v>1.9578</v>
          </cell>
        </row>
        <row r="878">
          <cell r="B878">
            <v>37574</v>
          </cell>
          <cell r="C878">
            <v>37572</v>
          </cell>
          <cell r="D878">
            <v>873</v>
          </cell>
          <cell r="E878">
            <v>15.72</v>
          </cell>
          <cell r="F878">
            <v>1.738638069627596</v>
          </cell>
          <cell r="G878">
            <v>1.6717721711404503</v>
          </cell>
          <cell r="H878">
            <v>1.9578</v>
          </cell>
        </row>
        <row r="879">
          <cell r="B879">
            <v>37575</v>
          </cell>
          <cell r="C879">
            <v>37573</v>
          </cell>
          <cell r="D879">
            <v>874</v>
          </cell>
          <cell r="E879">
            <v>15.72</v>
          </cell>
          <cell r="F879">
            <v>1.738638069627596</v>
          </cell>
          <cell r="G879">
            <v>1.6727410400539466</v>
          </cell>
          <cell r="H879">
            <v>1.9578</v>
          </cell>
        </row>
        <row r="880">
          <cell r="B880">
            <v>37576</v>
          </cell>
          <cell r="C880">
            <v>37574</v>
          </cell>
          <cell r="D880">
            <v>875</v>
          </cell>
          <cell r="E880">
            <v>15.72</v>
          </cell>
          <cell r="F880">
            <v>1.738638069627596</v>
          </cell>
          <cell r="G880">
            <v>1.6737104704715686</v>
          </cell>
          <cell r="H880">
            <v>1.9578</v>
          </cell>
        </row>
        <row r="881">
          <cell r="B881">
            <v>37577</v>
          </cell>
          <cell r="C881">
            <v>37575</v>
          </cell>
          <cell r="D881">
            <v>876</v>
          </cell>
          <cell r="E881">
            <v>15.72</v>
          </cell>
          <cell r="F881">
            <v>1.738638069627596</v>
          </cell>
          <cell r="G881">
            <v>1.6746804627187339</v>
          </cell>
          <cell r="H881">
            <v>1.9578</v>
          </cell>
        </row>
        <row r="882">
          <cell r="B882">
            <v>37578</v>
          </cell>
          <cell r="C882">
            <v>37576</v>
          </cell>
          <cell r="D882">
            <v>877</v>
          </cell>
          <cell r="E882">
            <v>15.72</v>
          </cell>
          <cell r="F882">
            <v>1.738638069627596</v>
          </cell>
          <cell r="G882">
            <v>1.6756510171210488</v>
          </cell>
          <cell r="H882">
            <v>1.9578</v>
          </cell>
        </row>
        <row r="883">
          <cell r="B883">
            <v>37579</v>
          </cell>
          <cell r="C883">
            <v>37577</v>
          </cell>
          <cell r="D883">
            <v>878</v>
          </cell>
          <cell r="E883">
            <v>15.72</v>
          </cell>
          <cell r="F883">
            <v>1.738638069627596</v>
          </cell>
          <cell r="G883">
            <v>1.6766221340043077</v>
          </cell>
          <cell r="H883">
            <v>1.9578</v>
          </cell>
        </row>
        <row r="884">
          <cell r="B884">
            <v>37580</v>
          </cell>
          <cell r="C884">
            <v>37578</v>
          </cell>
          <cell r="D884">
            <v>879</v>
          </cell>
          <cell r="E884">
            <v>15.72</v>
          </cell>
          <cell r="F884">
            <v>1.738638069627596</v>
          </cell>
          <cell r="G884">
            <v>1.6775938136944943</v>
          </cell>
          <cell r="H884">
            <v>1.9578</v>
          </cell>
        </row>
        <row r="885">
          <cell r="B885">
            <v>37581</v>
          </cell>
          <cell r="C885">
            <v>37579</v>
          </cell>
          <cell r="D885">
            <v>880</v>
          </cell>
          <cell r="E885">
            <v>15.72</v>
          </cell>
          <cell r="F885">
            <v>1.738638069627596</v>
          </cell>
          <cell r="G885">
            <v>1.6785660565177813</v>
          </cell>
          <cell r="H885">
            <v>1.9578</v>
          </cell>
        </row>
        <row r="886">
          <cell r="B886">
            <v>37582</v>
          </cell>
          <cell r="C886">
            <v>37580</v>
          </cell>
          <cell r="D886">
            <v>881</v>
          </cell>
          <cell r="E886">
            <v>15.72</v>
          </cell>
          <cell r="F886">
            <v>1.738638069627596</v>
          </cell>
          <cell r="G886">
            <v>1.6795388628005301</v>
          </cell>
          <cell r="H886">
            <v>1.9578</v>
          </cell>
        </row>
        <row r="887">
          <cell r="B887">
            <v>37583</v>
          </cell>
          <cell r="C887">
            <v>37581</v>
          </cell>
          <cell r="D887">
            <v>882</v>
          </cell>
          <cell r="E887">
            <v>15.72</v>
          </cell>
          <cell r="F887">
            <v>1.738638069627596</v>
          </cell>
          <cell r="G887">
            <v>1.6805122328692914</v>
          </cell>
          <cell r="H887">
            <v>1.9578</v>
          </cell>
        </row>
        <row r="888">
          <cell r="B888">
            <v>37584</v>
          </cell>
          <cell r="C888">
            <v>37582</v>
          </cell>
          <cell r="D888">
            <v>883</v>
          </cell>
          <cell r="E888">
            <v>15.72</v>
          </cell>
          <cell r="F888">
            <v>1.738638069627596</v>
          </cell>
          <cell r="G888">
            <v>1.6814861670508052</v>
          </cell>
          <cell r="H888">
            <v>1.9578</v>
          </cell>
        </row>
        <row r="889">
          <cell r="B889">
            <v>37585</v>
          </cell>
          <cell r="C889">
            <v>37583</v>
          </cell>
          <cell r="D889">
            <v>884</v>
          </cell>
          <cell r="E889">
            <v>15.72</v>
          </cell>
          <cell r="F889">
            <v>1.738638069627596</v>
          </cell>
          <cell r="G889">
            <v>1.6824606656720007</v>
          </cell>
          <cell r="H889">
            <v>1.9578</v>
          </cell>
        </row>
        <row r="890">
          <cell r="B890">
            <v>37586</v>
          </cell>
          <cell r="C890">
            <v>37584</v>
          </cell>
          <cell r="D890">
            <v>885</v>
          </cell>
          <cell r="E890">
            <v>15.72</v>
          </cell>
          <cell r="F890">
            <v>1.738638069627596</v>
          </cell>
          <cell r="G890">
            <v>1.6834357290599968</v>
          </cell>
          <cell r="H890">
            <v>1.9578</v>
          </cell>
        </row>
        <row r="891">
          <cell r="B891">
            <v>37587</v>
          </cell>
          <cell r="C891">
            <v>37585</v>
          </cell>
          <cell r="D891">
            <v>886</v>
          </cell>
          <cell r="E891">
            <v>15.72</v>
          </cell>
          <cell r="F891">
            <v>1.738638069627596</v>
          </cell>
          <cell r="G891">
            <v>1.6844113575421018</v>
          </cell>
          <cell r="H891">
            <v>1.9578</v>
          </cell>
        </row>
        <row r="892">
          <cell r="B892">
            <v>37588</v>
          </cell>
          <cell r="C892">
            <v>37586</v>
          </cell>
          <cell r="D892">
            <v>887</v>
          </cell>
          <cell r="E892">
            <v>15.72</v>
          </cell>
          <cell r="F892">
            <v>1.738638069627596</v>
          </cell>
          <cell r="G892">
            <v>1.6853875514458136</v>
          </cell>
          <cell r="H892">
            <v>1.9578</v>
          </cell>
        </row>
        <row r="893">
          <cell r="B893">
            <v>37589</v>
          </cell>
          <cell r="C893">
            <v>37587</v>
          </cell>
          <cell r="D893">
            <v>888</v>
          </cell>
          <cell r="E893">
            <v>15.72</v>
          </cell>
          <cell r="F893">
            <v>1.738638069627596</v>
          </cell>
          <cell r="G893">
            <v>1.6863643110988205</v>
          </cell>
          <cell r="H893">
            <v>1.9578</v>
          </cell>
        </row>
        <row r="894">
          <cell r="B894">
            <v>37590</v>
          </cell>
          <cell r="C894">
            <v>37588</v>
          </cell>
          <cell r="D894">
            <v>889</v>
          </cell>
          <cell r="E894">
            <v>15.72</v>
          </cell>
          <cell r="F894">
            <v>1.738638069627596</v>
          </cell>
          <cell r="G894">
            <v>1.6873416368289997</v>
          </cell>
          <cell r="H894">
            <v>1.9578</v>
          </cell>
        </row>
        <row r="895">
          <cell r="B895">
            <v>37591</v>
          </cell>
          <cell r="C895">
            <v>37589</v>
          </cell>
          <cell r="D895">
            <v>890</v>
          </cell>
          <cell r="E895">
            <v>15.72</v>
          </cell>
          <cell r="F895">
            <v>1.738638069627596</v>
          </cell>
          <cell r="G895">
            <v>1.6883195289644193</v>
          </cell>
          <cell r="H895">
            <v>1.9578</v>
          </cell>
        </row>
        <row r="896">
          <cell r="B896">
            <v>37592</v>
          </cell>
          <cell r="C896">
            <v>37590</v>
          </cell>
          <cell r="D896">
            <v>891</v>
          </cell>
          <cell r="E896">
            <v>15.72</v>
          </cell>
          <cell r="F896">
            <v>1.738638069627596</v>
          </cell>
          <cell r="G896">
            <v>1.689297987833337</v>
          </cell>
          <cell r="H896">
            <v>1.9578</v>
          </cell>
        </row>
        <row r="897">
          <cell r="B897">
            <v>37593</v>
          </cell>
          <cell r="C897">
            <v>37591</v>
          </cell>
          <cell r="D897">
            <v>892</v>
          </cell>
          <cell r="E897">
            <v>15.72</v>
          </cell>
          <cell r="F897">
            <v>1.738638069627596</v>
          </cell>
          <cell r="G897">
            <v>1.6902770137642011</v>
          </cell>
          <cell r="H897">
            <v>1.9578</v>
          </cell>
        </row>
        <row r="898">
          <cell r="B898">
            <v>37594</v>
          </cell>
          <cell r="C898">
            <v>37592</v>
          </cell>
          <cell r="D898">
            <v>893</v>
          </cell>
          <cell r="E898">
            <v>15.72</v>
          </cell>
          <cell r="F898">
            <v>1.738638069627596</v>
          </cell>
          <cell r="G898">
            <v>1.6912566070856501</v>
          </cell>
          <cell r="H898">
            <v>1.9578</v>
          </cell>
        </row>
        <row r="899">
          <cell r="B899">
            <v>37595</v>
          </cell>
          <cell r="C899">
            <v>37593</v>
          </cell>
          <cell r="D899">
            <v>894</v>
          </cell>
          <cell r="E899">
            <v>15.72</v>
          </cell>
          <cell r="F899">
            <v>1.738638069627596</v>
          </cell>
          <cell r="G899">
            <v>1.6922367681265129</v>
          </cell>
          <cell r="H899">
            <v>1.9578</v>
          </cell>
        </row>
        <row r="900">
          <cell r="B900">
            <v>37596</v>
          </cell>
          <cell r="C900">
            <v>37594</v>
          </cell>
          <cell r="D900">
            <v>895</v>
          </cell>
          <cell r="E900">
            <v>15.72</v>
          </cell>
          <cell r="F900">
            <v>1.738638069627596</v>
          </cell>
          <cell r="G900">
            <v>1.6932174972158089</v>
          </cell>
          <cell r="H900">
            <v>1.9578</v>
          </cell>
        </row>
        <row r="901">
          <cell r="B901">
            <v>37597</v>
          </cell>
          <cell r="C901">
            <v>37595</v>
          </cell>
          <cell r="D901">
            <v>896</v>
          </cell>
          <cell r="E901">
            <v>15.72</v>
          </cell>
          <cell r="F901">
            <v>1.738638069627596</v>
          </cell>
          <cell r="G901">
            <v>1.6941987946827486</v>
          </cell>
          <cell r="H901">
            <v>1.9578</v>
          </cell>
        </row>
        <row r="902">
          <cell r="B902">
            <v>37598</v>
          </cell>
          <cell r="C902">
            <v>37596</v>
          </cell>
          <cell r="D902">
            <v>897</v>
          </cell>
          <cell r="E902">
            <v>15.72</v>
          </cell>
          <cell r="F902">
            <v>1.738638069627596</v>
          </cell>
          <cell r="G902">
            <v>1.6951806608567328</v>
          </cell>
          <cell r="H902">
            <v>1.9578</v>
          </cell>
        </row>
        <row r="903">
          <cell r="B903">
            <v>37599</v>
          </cell>
          <cell r="C903">
            <v>37597</v>
          </cell>
          <cell r="D903">
            <v>898</v>
          </cell>
          <cell r="E903">
            <v>15.72</v>
          </cell>
          <cell r="F903">
            <v>1.738638069627596</v>
          </cell>
          <cell r="G903">
            <v>1.6961630960673535</v>
          </cell>
          <cell r="H903">
            <v>1.9578</v>
          </cell>
        </row>
        <row r="904">
          <cell r="B904">
            <v>37600</v>
          </cell>
          <cell r="C904">
            <v>37598</v>
          </cell>
          <cell r="D904">
            <v>899</v>
          </cell>
          <cell r="E904">
            <v>15.72</v>
          </cell>
          <cell r="F904">
            <v>1.738638069627596</v>
          </cell>
          <cell r="G904">
            <v>1.6971461006443935</v>
          </cell>
          <cell r="H904">
            <v>1.9578</v>
          </cell>
        </row>
        <row r="905">
          <cell r="B905">
            <v>37601</v>
          </cell>
          <cell r="C905">
            <v>37599</v>
          </cell>
          <cell r="D905">
            <v>900</v>
          </cell>
          <cell r="E905">
            <v>15.72</v>
          </cell>
          <cell r="F905">
            <v>1.738638069627596</v>
          </cell>
          <cell r="G905">
            <v>1.698129674917827</v>
          </cell>
          <cell r="H905">
            <v>1.9578</v>
          </cell>
        </row>
        <row r="906">
          <cell r="B906">
            <v>37602</v>
          </cell>
          <cell r="C906">
            <v>37600</v>
          </cell>
          <cell r="D906">
            <v>901</v>
          </cell>
          <cell r="E906">
            <v>15.72</v>
          </cell>
          <cell r="F906">
            <v>1.738638069627596</v>
          </cell>
          <cell r="G906">
            <v>1.699113819217819</v>
          </cell>
          <cell r="H906">
            <v>1.9578</v>
          </cell>
        </row>
        <row r="907">
          <cell r="B907">
            <v>37603</v>
          </cell>
          <cell r="C907">
            <v>37601</v>
          </cell>
          <cell r="D907">
            <v>902</v>
          </cell>
          <cell r="E907">
            <v>15.72</v>
          </cell>
          <cell r="F907">
            <v>1.738638069627596</v>
          </cell>
          <cell r="G907">
            <v>1.7000985338747265</v>
          </cell>
          <cell r="H907">
            <v>1.9578</v>
          </cell>
        </row>
        <row r="908">
          <cell r="B908">
            <v>37604</v>
          </cell>
          <cell r="C908">
            <v>37602</v>
          </cell>
          <cell r="D908">
            <v>903</v>
          </cell>
          <cell r="E908">
            <v>15.72</v>
          </cell>
          <cell r="F908">
            <v>1.738638069627596</v>
          </cell>
          <cell r="G908">
            <v>1.7010838192190973</v>
          </cell>
          <cell r="H908">
            <v>1.9578</v>
          </cell>
        </row>
        <row r="909">
          <cell r="B909">
            <v>37605</v>
          </cell>
          <cell r="C909">
            <v>37603</v>
          </cell>
          <cell r="D909">
            <v>904</v>
          </cell>
          <cell r="E909">
            <v>15.72</v>
          </cell>
          <cell r="F909">
            <v>1.738638069627596</v>
          </cell>
          <cell r="G909">
            <v>1.7020696755816713</v>
          </cell>
          <cell r="H909">
            <v>1.9578</v>
          </cell>
        </row>
        <row r="910">
          <cell r="B910">
            <v>37606</v>
          </cell>
          <cell r="C910">
            <v>37604</v>
          </cell>
          <cell r="D910">
            <v>905</v>
          </cell>
          <cell r="E910">
            <v>15.72</v>
          </cell>
          <cell r="F910">
            <v>1.738638069627596</v>
          </cell>
          <cell r="G910">
            <v>1.7030561032933798</v>
          </cell>
          <cell r="H910">
            <v>1.9578</v>
          </cell>
        </row>
        <row r="911">
          <cell r="B911">
            <v>37607</v>
          </cell>
          <cell r="C911">
            <v>37605</v>
          </cell>
          <cell r="D911">
            <v>906</v>
          </cell>
          <cell r="E911">
            <v>15.72</v>
          </cell>
          <cell r="F911">
            <v>1.738638069627596</v>
          </cell>
          <cell r="G911">
            <v>1.7040431026853455</v>
          </cell>
          <cell r="H911">
            <v>1.9578</v>
          </cell>
        </row>
        <row r="912">
          <cell r="B912">
            <v>37608</v>
          </cell>
          <cell r="C912">
            <v>37606</v>
          </cell>
          <cell r="D912">
            <v>907</v>
          </cell>
          <cell r="E912">
            <v>15.72</v>
          </cell>
          <cell r="F912">
            <v>1.738638069627596</v>
          </cell>
          <cell r="G912">
            <v>1.7050306740888839</v>
          </cell>
          <cell r="H912">
            <v>1.9578</v>
          </cell>
        </row>
        <row r="913">
          <cell r="B913">
            <v>37609</v>
          </cell>
          <cell r="C913">
            <v>37607</v>
          </cell>
          <cell r="D913">
            <v>908</v>
          </cell>
          <cell r="E913">
            <v>15.72</v>
          </cell>
          <cell r="F913">
            <v>1.738638069627596</v>
          </cell>
          <cell r="G913">
            <v>1.7060188178355018</v>
          </cell>
          <cell r="H913">
            <v>1.9578</v>
          </cell>
        </row>
        <row r="914">
          <cell r="B914">
            <v>37610</v>
          </cell>
          <cell r="C914">
            <v>37608</v>
          </cell>
          <cell r="D914">
            <v>909</v>
          </cell>
          <cell r="E914">
            <v>15.72</v>
          </cell>
          <cell r="F914">
            <v>1.738638069627596</v>
          </cell>
          <cell r="G914">
            <v>1.7070075342568984</v>
          </cell>
          <cell r="H914">
            <v>1.9578</v>
          </cell>
        </row>
        <row r="915">
          <cell r="B915">
            <v>37611</v>
          </cell>
          <cell r="C915">
            <v>37609</v>
          </cell>
          <cell r="D915">
            <v>910</v>
          </cell>
          <cell r="E915">
            <v>15.72</v>
          </cell>
          <cell r="F915">
            <v>1.738638069627596</v>
          </cell>
          <cell r="G915">
            <v>1.7079968236849652</v>
          </cell>
          <cell r="H915">
            <v>1.9578</v>
          </cell>
        </row>
        <row r="916">
          <cell r="B916">
            <v>37612</v>
          </cell>
          <cell r="C916">
            <v>37610</v>
          </cell>
          <cell r="D916">
            <v>911</v>
          </cell>
          <cell r="E916">
            <v>15.72</v>
          </cell>
          <cell r="F916">
            <v>1.738638069627596</v>
          </cell>
          <cell r="G916">
            <v>1.7089866864517858</v>
          </cell>
          <cell r="H916">
            <v>1.9578</v>
          </cell>
        </row>
        <row r="917">
          <cell r="B917">
            <v>37613</v>
          </cell>
          <cell r="C917">
            <v>37611</v>
          </cell>
          <cell r="D917">
            <v>912</v>
          </cell>
          <cell r="E917">
            <v>15.72</v>
          </cell>
          <cell r="F917">
            <v>1.738638069627596</v>
          </cell>
          <cell r="G917">
            <v>1.7099771228896363</v>
          </cell>
          <cell r="H917">
            <v>1.9578</v>
          </cell>
        </row>
        <row r="918">
          <cell r="B918">
            <v>37614</v>
          </cell>
          <cell r="C918">
            <v>37612</v>
          </cell>
          <cell r="D918">
            <v>913</v>
          </cell>
          <cell r="E918">
            <v>15.72</v>
          </cell>
          <cell r="F918">
            <v>1.738638069627596</v>
          </cell>
          <cell r="G918">
            <v>1.7109681333309856</v>
          </cell>
          <cell r="H918">
            <v>1.9578</v>
          </cell>
        </row>
        <row r="919">
          <cell r="B919">
            <v>37615</v>
          </cell>
          <cell r="C919">
            <v>37613</v>
          </cell>
          <cell r="D919">
            <v>914</v>
          </cell>
          <cell r="E919">
            <v>15.72</v>
          </cell>
          <cell r="F919">
            <v>1.738638069627596</v>
          </cell>
          <cell r="G919">
            <v>1.7119597181084953</v>
          </cell>
          <cell r="H919">
            <v>1.9578</v>
          </cell>
        </row>
        <row r="920">
          <cell r="B920">
            <v>37616</v>
          </cell>
          <cell r="C920">
            <v>37614</v>
          </cell>
          <cell r="D920">
            <v>915</v>
          </cell>
          <cell r="E920">
            <v>15.72</v>
          </cell>
          <cell r="F920">
            <v>1.738638069627596</v>
          </cell>
          <cell r="G920">
            <v>1.7129518775550194</v>
          </cell>
          <cell r="H920">
            <v>1.9578</v>
          </cell>
        </row>
        <row r="921">
          <cell r="B921">
            <v>37617</v>
          </cell>
          <cell r="C921">
            <v>37615</v>
          </cell>
          <cell r="D921">
            <v>916</v>
          </cell>
          <cell r="E921">
            <v>15.72</v>
          </cell>
          <cell r="F921">
            <v>1.738638069627596</v>
          </cell>
          <cell r="G921">
            <v>1.7139446120036053</v>
          </cell>
          <cell r="H921">
            <v>1.9578</v>
          </cell>
        </row>
        <row r="922">
          <cell r="B922">
            <v>37618</v>
          </cell>
          <cell r="C922">
            <v>37616</v>
          </cell>
          <cell r="D922">
            <v>917</v>
          </cell>
          <cell r="E922">
            <v>15.72</v>
          </cell>
          <cell r="F922">
            <v>1.738638069627596</v>
          </cell>
          <cell r="G922">
            <v>1.7149379217874927</v>
          </cell>
          <cell r="H922">
            <v>1.9578</v>
          </cell>
        </row>
        <row r="923">
          <cell r="B923">
            <v>37619</v>
          </cell>
          <cell r="C923">
            <v>37617</v>
          </cell>
          <cell r="D923">
            <v>918</v>
          </cell>
          <cell r="E923">
            <v>15.72</v>
          </cell>
          <cell r="F923">
            <v>1.738638069627596</v>
          </cell>
          <cell r="G923">
            <v>1.7159318072401153</v>
          </cell>
          <cell r="H923">
            <v>1.9578</v>
          </cell>
        </row>
        <row r="924">
          <cell r="B924">
            <v>37620</v>
          </cell>
          <cell r="C924">
            <v>37618</v>
          </cell>
          <cell r="D924">
            <v>919</v>
          </cell>
          <cell r="E924">
            <v>15.72</v>
          </cell>
          <cell r="F924">
            <v>1.738638069627596</v>
          </cell>
          <cell r="G924">
            <v>1.7169262686950995</v>
          </cell>
          <cell r="H924">
            <v>1.9578</v>
          </cell>
        </row>
        <row r="925">
          <cell r="B925">
            <v>37621</v>
          </cell>
          <cell r="C925">
            <v>37619</v>
          </cell>
          <cell r="D925">
            <v>920</v>
          </cell>
          <cell r="E925">
            <v>15.72</v>
          </cell>
          <cell r="F925">
            <v>1.738638069627596</v>
          </cell>
          <cell r="G925">
            <v>1.7179213064862651</v>
          </cell>
          <cell r="H925">
            <v>1.9578</v>
          </cell>
        </row>
        <row r="926">
          <cell r="B926">
            <v>37622</v>
          </cell>
          <cell r="C926">
            <v>37620</v>
          </cell>
          <cell r="D926">
            <v>921</v>
          </cell>
          <cell r="E926">
            <v>15.72</v>
          </cell>
          <cell r="F926">
            <v>1.738638069627596</v>
          </cell>
          <cell r="G926">
            <v>1.7189169209476256</v>
          </cell>
          <cell r="H926">
            <v>1.9578</v>
          </cell>
        </row>
        <row r="927">
          <cell r="B927">
            <v>37623</v>
          </cell>
          <cell r="C927">
            <v>37621</v>
          </cell>
          <cell r="D927">
            <v>922</v>
          </cell>
          <cell r="E927">
            <v>15.72</v>
          </cell>
          <cell r="F927">
            <v>1.738638069627596</v>
          </cell>
          <cell r="G927">
            <v>1.7199131124133877</v>
          </cell>
          <cell r="H927">
            <v>1.9578</v>
          </cell>
        </row>
        <row r="928">
          <cell r="B928">
            <v>37624</v>
          </cell>
          <cell r="C928">
            <v>37622</v>
          </cell>
          <cell r="D928">
            <v>923</v>
          </cell>
          <cell r="E928">
            <v>15.72</v>
          </cell>
          <cell r="F928">
            <v>1.738638069627596</v>
          </cell>
          <cell r="G928">
            <v>1.7209098812179522</v>
          </cell>
          <cell r="H928">
            <v>1.9578</v>
          </cell>
        </row>
        <row r="929">
          <cell r="B929">
            <v>37625</v>
          </cell>
          <cell r="C929">
            <v>37623</v>
          </cell>
          <cell r="D929">
            <v>924</v>
          </cell>
          <cell r="E929">
            <v>15.72</v>
          </cell>
          <cell r="F929">
            <v>1.738638069627596</v>
          </cell>
          <cell r="G929">
            <v>1.7219072276959135</v>
          </cell>
          <cell r="H929">
            <v>1.9578</v>
          </cell>
        </row>
        <row r="930">
          <cell r="B930">
            <v>37626</v>
          </cell>
          <cell r="C930">
            <v>37624</v>
          </cell>
          <cell r="D930">
            <v>925</v>
          </cell>
          <cell r="E930">
            <v>15.72</v>
          </cell>
          <cell r="F930">
            <v>1.738638069627596</v>
          </cell>
          <cell r="G930">
            <v>1.72290515218206</v>
          </cell>
          <cell r="H930">
            <v>1.9578</v>
          </cell>
        </row>
        <row r="931">
          <cell r="B931">
            <v>37627</v>
          </cell>
          <cell r="C931">
            <v>37625</v>
          </cell>
          <cell r="D931">
            <v>926</v>
          </cell>
          <cell r="E931">
            <v>15.72</v>
          </cell>
          <cell r="F931">
            <v>1.738638069627596</v>
          </cell>
          <cell r="G931">
            <v>1.7239036550113738</v>
          </cell>
          <cell r="H931">
            <v>1.9578</v>
          </cell>
        </row>
        <row r="932">
          <cell r="B932">
            <v>37628</v>
          </cell>
          <cell r="C932">
            <v>37626</v>
          </cell>
          <cell r="D932">
            <v>927</v>
          </cell>
          <cell r="E932">
            <v>15.72</v>
          </cell>
          <cell r="F932">
            <v>1.738638069627596</v>
          </cell>
          <cell r="G932">
            <v>1.7249027365190315</v>
          </cell>
          <cell r="H932">
            <v>1.9578</v>
          </cell>
        </row>
        <row r="933">
          <cell r="B933">
            <v>37629</v>
          </cell>
          <cell r="C933">
            <v>37627</v>
          </cell>
          <cell r="D933">
            <v>928</v>
          </cell>
          <cell r="E933">
            <v>15.72</v>
          </cell>
          <cell r="F933">
            <v>1.738638069627596</v>
          </cell>
          <cell r="G933">
            <v>1.7259023970404037</v>
          </cell>
          <cell r="H933">
            <v>1.9578</v>
          </cell>
        </row>
        <row r="934">
          <cell r="B934">
            <v>37630</v>
          </cell>
          <cell r="C934">
            <v>37628</v>
          </cell>
          <cell r="D934">
            <v>929</v>
          </cell>
          <cell r="E934">
            <v>15.72</v>
          </cell>
          <cell r="F934">
            <v>1.738638069627596</v>
          </cell>
          <cell r="G934">
            <v>1.7269026369110556</v>
          </cell>
          <cell r="H934">
            <v>1.9578</v>
          </cell>
        </row>
        <row r="935">
          <cell r="B935">
            <v>37631</v>
          </cell>
          <cell r="C935">
            <v>37629</v>
          </cell>
          <cell r="D935">
            <v>930</v>
          </cell>
          <cell r="E935">
            <v>15.72</v>
          </cell>
          <cell r="F935">
            <v>1.738638069627596</v>
          </cell>
          <cell r="G935">
            <v>1.7279034564667468</v>
          </cell>
          <cell r="H935">
            <v>1.9578</v>
          </cell>
        </row>
        <row r="936">
          <cell r="B936">
            <v>37632</v>
          </cell>
          <cell r="C936">
            <v>37630</v>
          </cell>
          <cell r="D936">
            <v>931</v>
          </cell>
          <cell r="E936">
            <v>15.72</v>
          </cell>
          <cell r="F936">
            <v>1.738638069627596</v>
          </cell>
          <cell r="G936">
            <v>1.7289048560434315</v>
          </cell>
          <cell r="H936">
            <v>1.9578</v>
          </cell>
        </row>
        <row r="937">
          <cell r="B937">
            <v>37633</v>
          </cell>
          <cell r="C937">
            <v>37631</v>
          </cell>
          <cell r="D937">
            <v>932</v>
          </cell>
          <cell r="E937">
            <v>15.72</v>
          </cell>
          <cell r="F937">
            <v>1.738638069627596</v>
          </cell>
          <cell r="G937">
            <v>1.7299068359772585</v>
          </cell>
          <cell r="H937">
            <v>1.9578</v>
          </cell>
        </row>
        <row r="938">
          <cell r="B938">
            <v>37634</v>
          </cell>
          <cell r="C938">
            <v>37632</v>
          </cell>
          <cell r="D938">
            <v>933</v>
          </cell>
          <cell r="E938">
            <v>15.72</v>
          </cell>
          <cell r="F938">
            <v>1.738638069627596</v>
          </cell>
          <cell r="G938">
            <v>1.7309093966045714</v>
          </cell>
          <cell r="H938">
            <v>1.9578</v>
          </cell>
        </row>
        <row r="939">
          <cell r="B939">
            <v>37635</v>
          </cell>
          <cell r="C939">
            <v>37633</v>
          </cell>
          <cell r="D939">
            <v>934</v>
          </cell>
          <cell r="E939">
            <v>15.72</v>
          </cell>
          <cell r="F939">
            <v>1.738638069627596</v>
          </cell>
          <cell r="G939">
            <v>1.7319125382619089</v>
          </cell>
          <cell r="H939">
            <v>1.9578</v>
          </cell>
        </row>
        <row r="940">
          <cell r="B940">
            <v>37636</v>
          </cell>
          <cell r="C940">
            <v>37634</v>
          </cell>
          <cell r="D940">
            <v>935</v>
          </cell>
          <cell r="E940">
            <v>15.72</v>
          </cell>
          <cell r="F940">
            <v>1.738638069627596</v>
          </cell>
          <cell r="G940">
            <v>1.7329162612860047</v>
          </cell>
          <cell r="H940">
            <v>1.9578</v>
          </cell>
        </row>
        <row r="941">
          <cell r="B941">
            <v>37637</v>
          </cell>
          <cell r="C941">
            <v>37635</v>
          </cell>
          <cell r="D941">
            <v>936</v>
          </cell>
          <cell r="E941">
            <v>15.72</v>
          </cell>
          <cell r="F941">
            <v>1.738638069627596</v>
          </cell>
          <cell r="G941">
            <v>1.7339205660137875</v>
          </cell>
          <cell r="H941">
            <v>1.9578</v>
          </cell>
        </row>
        <row r="942">
          <cell r="B942">
            <v>37638</v>
          </cell>
          <cell r="C942">
            <v>37636</v>
          </cell>
          <cell r="D942">
            <v>937</v>
          </cell>
          <cell r="E942">
            <v>15.72</v>
          </cell>
          <cell r="F942">
            <v>1.738638069627596</v>
          </cell>
          <cell r="G942">
            <v>1.7349254527823814</v>
          </cell>
          <cell r="H942">
            <v>1.9578</v>
          </cell>
        </row>
        <row r="943">
          <cell r="B943">
            <v>37639</v>
          </cell>
          <cell r="C943">
            <v>37637</v>
          </cell>
          <cell r="D943">
            <v>938</v>
          </cell>
          <cell r="E943">
            <v>15.72</v>
          </cell>
          <cell r="F943">
            <v>1.738638069627596</v>
          </cell>
          <cell r="G943">
            <v>1.7359309219291059</v>
          </cell>
          <cell r="H943">
            <v>1.9578</v>
          </cell>
        </row>
        <row r="944">
          <cell r="B944">
            <v>37640</v>
          </cell>
          <cell r="C944">
            <v>37638</v>
          </cell>
          <cell r="D944">
            <v>939</v>
          </cell>
          <cell r="E944">
            <v>15.72</v>
          </cell>
          <cell r="F944">
            <v>1.738638069627596</v>
          </cell>
          <cell r="G944">
            <v>1.7369369737914757</v>
          </cell>
          <cell r="H944">
            <v>1.9578</v>
          </cell>
        </row>
        <row r="945">
          <cell r="B945">
            <v>37641</v>
          </cell>
          <cell r="C945">
            <v>37639</v>
          </cell>
          <cell r="D945">
            <v>940</v>
          </cell>
          <cell r="E945">
            <v>15.72</v>
          </cell>
          <cell r="F945">
            <v>1.738638069627596</v>
          </cell>
          <cell r="G945">
            <v>1.7379436087072015</v>
          </cell>
          <cell r="H945">
            <v>1.9578</v>
          </cell>
        </row>
        <row r="946">
          <cell r="B946">
            <v>37642</v>
          </cell>
          <cell r="C946">
            <v>37640</v>
          </cell>
          <cell r="D946">
            <v>941</v>
          </cell>
          <cell r="E946">
            <v>15.72</v>
          </cell>
          <cell r="F946">
            <v>1.738638069627596</v>
          </cell>
          <cell r="G946">
            <v>1.7389508270141896</v>
          </cell>
          <cell r="H946">
            <v>1.9578</v>
          </cell>
        </row>
        <row r="947">
          <cell r="B947">
            <v>37643</v>
          </cell>
          <cell r="C947">
            <v>37641</v>
          </cell>
          <cell r="D947">
            <v>942</v>
          </cell>
          <cell r="E947">
            <v>15.72</v>
          </cell>
          <cell r="F947">
            <v>1.738638069627596</v>
          </cell>
          <cell r="G947">
            <v>1.739958629050542</v>
          </cell>
          <cell r="H947">
            <v>1.9578</v>
          </cell>
        </row>
        <row r="948">
          <cell r="B948">
            <v>37644</v>
          </cell>
          <cell r="C948">
            <v>37642</v>
          </cell>
          <cell r="D948">
            <v>943</v>
          </cell>
          <cell r="E948">
            <v>15.72</v>
          </cell>
          <cell r="F948">
            <v>1.738638069627596</v>
          </cell>
          <cell r="G948">
            <v>1.7409670151545569</v>
          </cell>
          <cell r="H948">
            <v>1.9578</v>
          </cell>
        </row>
        <row r="949">
          <cell r="B949">
            <v>37645</v>
          </cell>
          <cell r="C949">
            <v>37643</v>
          </cell>
          <cell r="D949">
            <v>944</v>
          </cell>
          <cell r="E949">
            <v>15.72</v>
          </cell>
          <cell r="F949">
            <v>1.738638069627596</v>
          </cell>
          <cell r="G949">
            <v>1.7419759856647281</v>
          </cell>
          <cell r="H949">
            <v>1.9578</v>
          </cell>
        </row>
        <row r="950">
          <cell r="B950">
            <v>37646</v>
          </cell>
          <cell r="C950">
            <v>37644</v>
          </cell>
          <cell r="D950">
            <v>945</v>
          </cell>
          <cell r="E950">
            <v>15.72</v>
          </cell>
          <cell r="F950">
            <v>1.738638069627596</v>
          </cell>
          <cell r="G950">
            <v>1.7429855409197461</v>
          </cell>
          <cell r="H950">
            <v>1.9578</v>
          </cell>
        </row>
        <row r="951">
          <cell r="B951">
            <v>37647</v>
          </cell>
          <cell r="C951">
            <v>37645</v>
          </cell>
          <cell r="D951">
            <v>946</v>
          </cell>
          <cell r="E951">
            <v>15.72</v>
          </cell>
          <cell r="F951">
            <v>1.738638069627596</v>
          </cell>
          <cell r="G951">
            <v>1.7439956812584974</v>
          </cell>
          <cell r="H951">
            <v>1.9578</v>
          </cell>
        </row>
        <row r="952">
          <cell r="B952">
            <v>37648</v>
          </cell>
          <cell r="C952">
            <v>37646</v>
          </cell>
          <cell r="D952">
            <v>947</v>
          </cell>
          <cell r="E952">
            <v>15.72</v>
          </cell>
          <cell r="F952">
            <v>1.738638069627596</v>
          </cell>
          <cell r="G952">
            <v>1.7450064070200648</v>
          </cell>
          <cell r="H952">
            <v>1.9578</v>
          </cell>
        </row>
        <row r="953">
          <cell r="B953">
            <v>37649</v>
          </cell>
          <cell r="C953">
            <v>37647</v>
          </cell>
          <cell r="D953">
            <v>948</v>
          </cell>
          <cell r="E953">
            <v>15.72</v>
          </cell>
          <cell r="F953">
            <v>1.738638069627596</v>
          </cell>
          <cell r="G953">
            <v>1.7460177185437278</v>
          </cell>
          <cell r="H953">
            <v>1.9578</v>
          </cell>
        </row>
        <row r="954">
          <cell r="B954">
            <v>37650</v>
          </cell>
          <cell r="C954">
            <v>37648</v>
          </cell>
          <cell r="D954">
            <v>949</v>
          </cell>
          <cell r="E954">
            <v>15.72</v>
          </cell>
          <cell r="F954">
            <v>1.738638069627596</v>
          </cell>
          <cell r="G954">
            <v>1.7470296161689627</v>
          </cell>
          <cell r="H954">
            <v>1.9578</v>
          </cell>
        </row>
        <row r="955">
          <cell r="B955">
            <v>37651</v>
          </cell>
          <cell r="C955">
            <v>37649</v>
          </cell>
          <cell r="D955">
            <v>950</v>
          </cell>
          <cell r="E955">
            <v>15.72</v>
          </cell>
          <cell r="F955">
            <v>1.738638069627596</v>
          </cell>
          <cell r="G955">
            <v>1.748042100235442</v>
          </cell>
          <cell r="H955">
            <v>1.9578</v>
          </cell>
        </row>
        <row r="956">
          <cell r="B956">
            <v>37652</v>
          </cell>
          <cell r="C956">
            <v>37650</v>
          </cell>
          <cell r="D956">
            <v>951</v>
          </cell>
          <cell r="E956">
            <v>15.72</v>
          </cell>
          <cell r="F956">
            <v>1.738638069627596</v>
          </cell>
          <cell r="G956">
            <v>1.7490551710830358</v>
          </cell>
          <cell r="H956">
            <v>1.9578</v>
          </cell>
        </row>
        <row r="957">
          <cell r="B957">
            <v>37653</v>
          </cell>
          <cell r="C957">
            <v>37651</v>
          </cell>
          <cell r="D957">
            <v>952</v>
          </cell>
          <cell r="E957">
            <v>15.72</v>
          </cell>
          <cell r="F957">
            <v>1.738638069627596</v>
          </cell>
          <cell r="G957">
            <v>1.7500688290518105</v>
          </cell>
          <cell r="H957">
            <v>1.9578</v>
          </cell>
        </row>
        <row r="958">
          <cell r="B958">
            <v>37654</v>
          </cell>
          <cell r="C958">
            <v>37652</v>
          </cell>
          <cell r="D958">
            <v>953</v>
          </cell>
          <cell r="E958">
            <v>15.72</v>
          </cell>
          <cell r="F958">
            <v>1.738638069627596</v>
          </cell>
          <cell r="G958">
            <v>1.7510830744820298</v>
          </cell>
          <cell r="H958">
            <v>1.9578</v>
          </cell>
        </row>
        <row r="959">
          <cell r="B959">
            <v>37655</v>
          </cell>
          <cell r="C959">
            <v>37653</v>
          </cell>
          <cell r="D959">
            <v>954</v>
          </cell>
          <cell r="E959">
            <v>15.72</v>
          </cell>
          <cell r="F959">
            <v>1.738638069627596</v>
          </cell>
          <cell r="G959">
            <v>1.7520979077141547</v>
          </cell>
          <cell r="H959">
            <v>1.9578</v>
          </cell>
        </row>
        <row r="960">
          <cell r="B960">
            <v>37656</v>
          </cell>
          <cell r="C960">
            <v>37654</v>
          </cell>
          <cell r="D960">
            <v>955</v>
          </cell>
          <cell r="E960">
            <v>15.72</v>
          </cell>
          <cell r="F960">
            <v>1.738638069627596</v>
          </cell>
          <cell r="G960">
            <v>1.7531133290888437</v>
          </cell>
          <cell r="H960">
            <v>1.9578</v>
          </cell>
        </row>
        <row r="961">
          <cell r="B961">
            <v>37657</v>
          </cell>
          <cell r="C961">
            <v>37655</v>
          </cell>
          <cell r="D961">
            <v>956</v>
          </cell>
          <cell r="E961">
            <v>15.72</v>
          </cell>
          <cell r="F961">
            <v>1.738638069627596</v>
          </cell>
          <cell r="G961">
            <v>1.7541293389469521</v>
          </cell>
          <cell r="H961">
            <v>1.9578</v>
          </cell>
        </row>
        <row r="962">
          <cell r="B962">
            <v>37658</v>
          </cell>
          <cell r="C962">
            <v>37656</v>
          </cell>
          <cell r="D962">
            <v>957</v>
          </cell>
          <cell r="E962">
            <v>15.72</v>
          </cell>
          <cell r="F962">
            <v>1.738638069627596</v>
          </cell>
          <cell r="G962">
            <v>1.7551459376295333</v>
          </cell>
          <cell r="H962">
            <v>1.9578</v>
          </cell>
        </row>
        <row r="963">
          <cell r="B963">
            <v>37659</v>
          </cell>
          <cell r="C963">
            <v>37657</v>
          </cell>
          <cell r="D963">
            <v>958</v>
          </cell>
          <cell r="E963">
            <v>15.72</v>
          </cell>
          <cell r="F963">
            <v>1.738638069627596</v>
          </cell>
          <cell r="G963">
            <v>1.7561631254778383</v>
          </cell>
          <cell r="H963">
            <v>1.9578</v>
          </cell>
        </row>
        <row r="964">
          <cell r="B964">
            <v>37660</v>
          </cell>
          <cell r="C964">
            <v>37658</v>
          </cell>
          <cell r="D964">
            <v>959</v>
          </cell>
          <cell r="E964">
            <v>15.72</v>
          </cell>
          <cell r="F964">
            <v>1.738638069627596</v>
          </cell>
          <cell r="G964">
            <v>1.7571809028333156</v>
          </cell>
          <cell r="H964">
            <v>1.9578</v>
          </cell>
        </row>
        <row r="965">
          <cell r="B965">
            <v>37661</v>
          </cell>
          <cell r="C965">
            <v>37659</v>
          </cell>
          <cell r="D965">
            <v>960</v>
          </cell>
          <cell r="E965">
            <v>15.72</v>
          </cell>
          <cell r="F965">
            <v>1.738638069627596</v>
          </cell>
          <cell r="G965">
            <v>1.7581992700376119</v>
          </cell>
          <cell r="H965">
            <v>1.9578</v>
          </cell>
        </row>
        <row r="966">
          <cell r="B966">
            <v>37662</v>
          </cell>
          <cell r="C966">
            <v>37660</v>
          </cell>
          <cell r="D966">
            <v>961</v>
          </cell>
          <cell r="E966">
            <v>15.72</v>
          </cell>
          <cell r="F966">
            <v>1.738638069627596</v>
          </cell>
          <cell r="G966">
            <v>1.7592182274325716</v>
          </cell>
          <cell r="H966">
            <v>1.9578</v>
          </cell>
        </row>
        <row r="967">
          <cell r="B967">
            <v>37663</v>
          </cell>
          <cell r="C967">
            <v>37661</v>
          </cell>
          <cell r="D967">
            <v>962</v>
          </cell>
          <cell r="E967">
            <v>15.72</v>
          </cell>
          <cell r="F967">
            <v>1.738638069627596</v>
          </cell>
          <cell r="G967">
            <v>1.7602377753602374</v>
          </cell>
          <cell r="H967">
            <v>1.9578</v>
          </cell>
        </row>
        <row r="968">
          <cell r="B968">
            <v>37664</v>
          </cell>
          <cell r="C968">
            <v>37662</v>
          </cell>
          <cell r="D968">
            <v>963</v>
          </cell>
          <cell r="E968">
            <v>15.72</v>
          </cell>
          <cell r="F968">
            <v>1.738638069627596</v>
          </cell>
          <cell r="G968">
            <v>1.7612579141628499</v>
          </cell>
          <cell r="H968">
            <v>1.9578</v>
          </cell>
        </row>
        <row r="969">
          <cell r="B969">
            <v>37665</v>
          </cell>
          <cell r="C969">
            <v>37663</v>
          </cell>
          <cell r="D969">
            <v>964</v>
          </cell>
          <cell r="E969">
            <v>15.72</v>
          </cell>
          <cell r="F969">
            <v>1.738638069627596</v>
          </cell>
          <cell r="G969">
            <v>1.7622786441828489</v>
          </cell>
          <cell r="H969">
            <v>1.9578</v>
          </cell>
        </row>
        <row r="970">
          <cell r="B970">
            <v>37666</v>
          </cell>
          <cell r="C970">
            <v>37664</v>
          </cell>
          <cell r="D970">
            <v>965</v>
          </cell>
          <cell r="E970">
            <v>15.72</v>
          </cell>
          <cell r="F970">
            <v>1.738638069627596</v>
          </cell>
          <cell r="G970">
            <v>1.7632999657628716</v>
          </cell>
          <cell r="H970">
            <v>1.9578</v>
          </cell>
        </row>
        <row r="971">
          <cell r="B971">
            <v>37667</v>
          </cell>
          <cell r="C971">
            <v>37665</v>
          </cell>
          <cell r="D971">
            <v>966</v>
          </cell>
          <cell r="E971">
            <v>15.72</v>
          </cell>
          <cell r="F971">
            <v>1.738638069627596</v>
          </cell>
          <cell r="G971">
            <v>1.7643218792457545</v>
          </cell>
          <cell r="H971">
            <v>1.9578</v>
          </cell>
        </row>
        <row r="972">
          <cell r="B972">
            <v>37668</v>
          </cell>
          <cell r="C972">
            <v>37666</v>
          </cell>
          <cell r="D972">
            <v>967</v>
          </cell>
          <cell r="E972">
            <v>15.72</v>
          </cell>
          <cell r="F972">
            <v>1.738638069627596</v>
          </cell>
          <cell r="G972">
            <v>1.7653443849745323</v>
          </cell>
          <cell r="H972">
            <v>1.9578</v>
          </cell>
        </row>
        <row r="973">
          <cell r="B973">
            <v>37669</v>
          </cell>
          <cell r="C973">
            <v>37667</v>
          </cell>
          <cell r="D973">
            <v>968</v>
          </cell>
          <cell r="E973">
            <v>15.72</v>
          </cell>
          <cell r="F973">
            <v>1.738638069627596</v>
          </cell>
          <cell r="G973">
            <v>1.766367483292439</v>
          </cell>
          <cell r="H973">
            <v>1.9578</v>
          </cell>
        </row>
        <row r="974">
          <cell r="B974">
            <v>37670</v>
          </cell>
          <cell r="C974">
            <v>37668</v>
          </cell>
          <cell r="D974">
            <v>969</v>
          </cell>
          <cell r="E974">
            <v>15.72</v>
          </cell>
          <cell r="F974">
            <v>1.738638069627596</v>
          </cell>
          <cell r="G974">
            <v>1.7673911745429072</v>
          </cell>
          <cell r="H974">
            <v>1.9578</v>
          </cell>
        </row>
        <row r="975">
          <cell r="B975">
            <v>37671</v>
          </cell>
          <cell r="C975">
            <v>37669</v>
          </cell>
          <cell r="D975">
            <v>970</v>
          </cell>
          <cell r="E975">
            <v>15.72</v>
          </cell>
          <cell r="F975">
            <v>1.738638069627596</v>
          </cell>
          <cell r="G975">
            <v>1.7684154590695687</v>
          </cell>
          <cell r="H975">
            <v>1.9578</v>
          </cell>
        </row>
        <row r="976">
          <cell r="B976">
            <v>37672</v>
          </cell>
          <cell r="C976">
            <v>37670</v>
          </cell>
          <cell r="D976">
            <v>971</v>
          </cell>
          <cell r="E976">
            <v>15.72</v>
          </cell>
          <cell r="F976">
            <v>1.738638069627596</v>
          </cell>
          <cell r="G976">
            <v>1.7694403372162542</v>
          </cell>
          <cell r="H976">
            <v>1.9578</v>
          </cell>
        </row>
        <row r="977">
          <cell r="B977">
            <v>37673</v>
          </cell>
          <cell r="C977">
            <v>37671</v>
          </cell>
          <cell r="D977">
            <v>972</v>
          </cell>
          <cell r="E977">
            <v>15.72</v>
          </cell>
          <cell r="F977">
            <v>1.738638069627596</v>
          </cell>
          <cell r="G977">
            <v>1.7704658093269938</v>
          </cell>
          <cell r="H977">
            <v>1.9578</v>
          </cell>
        </row>
        <row r="978">
          <cell r="B978">
            <v>37674</v>
          </cell>
          <cell r="C978">
            <v>37672</v>
          </cell>
          <cell r="D978">
            <v>973</v>
          </cell>
          <cell r="E978">
            <v>15.72</v>
          </cell>
          <cell r="F978">
            <v>1.738638069627596</v>
          </cell>
          <cell r="G978">
            <v>1.7714918757460172</v>
          </cell>
          <cell r="H978">
            <v>1.9578</v>
          </cell>
        </row>
        <row r="979">
          <cell r="B979">
            <v>37675</v>
          </cell>
          <cell r="C979">
            <v>37673</v>
          </cell>
          <cell r="D979">
            <v>974</v>
          </cell>
          <cell r="E979">
            <v>15.72</v>
          </cell>
          <cell r="F979">
            <v>1.738638069627596</v>
          </cell>
          <cell r="G979">
            <v>1.7725185368177532</v>
          </cell>
          <cell r="H979">
            <v>1.9578</v>
          </cell>
        </row>
        <row r="980">
          <cell r="B980">
            <v>37676</v>
          </cell>
          <cell r="C980">
            <v>37674</v>
          </cell>
          <cell r="D980">
            <v>975</v>
          </cell>
          <cell r="E980">
            <v>15.72</v>
          </cell>
          <cell r="F980">
            <v>1.738638069627596</v>
          </cell>
          <cell r="G980">
            <v>1.7735457928868306</v>
          </cell>
          <cell r="H980">
            <v>1.9578</v>
          </cell>
        </row>
        <row r="981">
          <cell r="B981">
            <v>37677</v>
          </cell>
          <cell r="C981">
            <v>37675</v>
          </cell>
          <cell r="D981">
            <v>976</v>
          </cell>
          <cell r="E981">
            <v>15.72</v>
          </cell>
          <cell r="F981">
            <v>1.738638069627596</v>
          </cell>
          <cell r="G981">
            <v>1.7745736442980775</v>
          </cell>
          <cell r="H981">
            <v>1.9578</v>
          </cell>
        </row>
        <row r="982">
          <cell r="B982">
            <v>37678</v>
          </cell>
          <cell r="C982">
            <v>37676</v>
          </cell>
          <cell r="D982">
            <v>977</v>
          </cell>
          <cell r="E982">
            <v>15.72</v>
          </cell>
          <cell r="F982">
            <v>1.738638069627596</v>
          </cell>
          <cell r="G982">
            <v>1.7756020913965223</v>
          </cell>
          <cell r="H982">
            <v>1.9578</v>
          </cell>
        </row>
        <row r="983">
          <cell r="B983">
            <v>37679</v>
          </cell>
          <cell r="C983">
            <v>37677</v>
          </cell>
          <cell r="D983">
            <v>978</v>
          </cell>
          <cell r="E983">
            <v>15.72</v>
          </cell>
          <cell r="F983">
            <v>1.738638069627596</v>
          </cell>
          <cell r="G983">
            <v>1.7766311345273931</v>
          </cell>
          <cell r="H983">
            <v>1.9578</v>
          </cell>
        </row>
        <row r="984">
          <cell r="B984">
            <v>37680</v>
          </cell>
          <cell r="C984">
            <v>37678</v>
          </cell>
          <cell r="D984">
            <v>979</v>
          </cell>
          <cell r="E984">
            <v>15.72</v>
          </cell>
          <cell r="F984">
            <v>1.738638069627596</v>
          </cell>
          <cell r="G984">
            <v>1.7776607740361181</v>
          </cell>
          <cell r="H984">
            <v>1.9578</v>
          </cell>
        </row>
        <row r="985">
          <cell r="B985">
            <v>37681</v>
          </cell>
          <cell r="C985">
            <v>37679</v>
          </cell>
          <cell r="D985">
            <v>980</v>
          </cell>
          <cell r="E985">
            <v>15.72</v>
          </cell>
          <cell r="F985">
            <v>1.738638069627596</v>
          </cell>
          <cell r="G985">
            <v>1.7786910102683258</v>
          </cell>
          <cell r="H985">
            <v>1.9578</v>
          </cell>
        </row>
        <row r="986">
          <cell r="B986">
            <v>37682</v>
          </cell>
          <cell r="C986">
            <v>37680</v>
          </cell>
          <cell r="D986">
            <v>981</v>
          </cell>
          <cell r="E986">
            <v>15.72</v>
          </cell>
          <cell r="F986">
            <v>1.738638069627596</v>
          </cell>
          <cell r="G986">
            <v>1.7797218435698448</v>
          </cell>
          <cell r="H986">
            <v>1.9578</v>
          </cell>
        </row>
        <row r="987">
          <cell r="B987">
            <v>37683</v>
          </cell>
          <cell r="C987">
            <v>37681</v>
          </cell>
          <cell r="D987">
            <v>982</v>
          </cell>
          <cell r="E987">
            <v>15.72</v>
          </cell>
          <cell r="F987">
            <v>1.738638069627596</v>
          </cell>
          <cell r="G987">
            <v>1.7807532742867043</v>
          </cell>
          <cell r="H987">
            <v>1.9578</v>
          </cell>
        </row>
        <row r="988">
          <cell r="B988">
            <v>37684</v>
          </cell>
          <cell r="C988">
            <v>37682</v>
          </cell>
          <cell r="D988">
            <v>983</v>
          </cell>
          <cell r="E988">
            <v>15.72</v>
          </cell>
          <cell r="F988">
            <v>1.738638069627596</v>
          </cell>
          <cell r="G988">
            <v>1.7817853027651338</v>
          </cell>
          <cell r="H988">
            <v>1.9578</v>
          </cell>
        </row>
        <row r="989">
          <cell r="B989">
            <v>37685</v>
          </cell>
          <cell r="C989">
            <v>37683</v>
          </cell>
          <cell r="D989">
            <v>984</v>
          </cell>
          <cell r="E989">
            <v>15.72</v>
          </cell>
          <cell r="F989">
            <v>1.738638069627596</v>
          </cell>
          <cell r="G989">
            <v>1.782817929351564</v>
          </cell>
          <cell r="H989">
            <v>1.9578</v>
          </cell>
        </row>
        <row r="990">
          <cell r="B990">
            <v>37686</v>
          </cell>
          <cell r="C990">
            <v>37684</v>
          </cell>
          <cell r="D990">
            <v>985</v>
          </cell>
          <cell r="E990">
            <v>15.72</v>
          </cell>
          <cell r="F990">
            <v>1.738638069627596</v>
          </cell>
          <cell r="G990">
            <v>1.7838511543926259</v>
          </cell>
          <cell r="H990">
            <v>1.9578</v>
          </cell>
        </row>
        <row r="991">
          <cell r="B991">
            <v>37687</v>
          </cell>
          <cell r="C991">
            <v>37685</v>
          </cell>
          <cell r="D991">
            <v>986</v>
          </cell>
          <cell r="E991">
            <v>15.72</v>
          </cell>
          <cell r="F991">
            <v>1.738638069627596</v>
          </cell>
          <cell r="G991">
            <v>1.7848849782351512</v>
          </cell>
          <cell r="H991">
            <v>1.9578</v>
          </cell>
        </row>
        <row r="992">
          <cell r="B992">
            <v>37688</v>
          </cell>
          <cell r="C992">
            <v>37686</v>
          </cell>
          <cell r="D992">
            <v>987</v>
          </cell>
          <cell r="E992">
            <v>15.72</v>
          </cell>
          <cell r="F992">
            <v>1.738638069627596</v>
          </cell>
          <cell r="G992">
            <v>1.7859194012261732</v>
          </cell>
          <cell r="H992">
            <v>1.9578</v>
          </cell>
        </row>
        <row r="993">
          <cell r="B993">
            <v>37689</v>
          </cell>
          <cell r="C993">
            <v>37687</v>
          </cell>
          <cell r="D993">
            <v>988</v>
          </cell>
          <cell r="E993">
            <v>15.72</v>
          </cell>
          <cell r="F993">
            <v>1.738638069627596</v>
          </cell>
          <cell r="G993">
            <v>1.786954423712926</v>
          </cell>
          <cell r="H993">
            <v>1.9578</v>
          </cell>
        </row>
        <row r="994">
          <cell r="B994">
            <v>37690</v>
          </cell>
          <cell r="C994">
            <v>37688</v>
          </cell>
          <cell r="D994">
            <v>989</v>
          </cell>
          <cell r="E994">
            <v>15.72</v>
          </cell>
          <cell r="F994">
            <v>1.738638069627596</v>
          </cell>
          <cell r="G994">
            <v>1.7879900460428448</v>
          </cell>
          <cell r="H994">
            <v>1.9578</v>
          </cell>
        </row>
        <row r="995">
          <cell r="B995">
            <v>37691</v>
          </cell>
          <cell r="C995">
            <v>37689</v>
          </cell>
          <cell r="D995">
            <v>990</v>
          </cell>
          <cell r="E995">
            <v>15.72</v>
          </cell>
          <cell r="F995">
            <v>1.738638069627596</v>
          </cell>
          <cell r="G995">
            <v>1.7890262685635665</v>
          </cell>
          <cell r="H995">
            <v>1.9578</v>
          </cell>
        </row>
        <row r="996">
          <cell r="B996">
            <v>37692</v>
          </cell>
          <cell r="C996">
            <v>37690</v>
          </cell>
          <cell r="D996">
            <v>991</v>
          </cell>
          <cell r="E996">
            <v>15.72</v>
          </cell>
          <cell r="F996">
            <v>1.738638069627596</v>
          </cell>
          <cell r="G996">
            <v>1.7900630916229292</v>
          </cell>
          <cell r="H996">
            <v>1.9578</v>
          </cell>
        </row>
        <row r="997">
          <cell r="B997">
            <v>37693</v>
          </cell>
          <cell r="C997">
            <v>37691</v>
          </cell>
          <cell r="D997">
            <v>992</v>
          </cell>
          <cell r="E997">
            <v>15.72</v>
          </cell>
          <cell r="F997">
            <v>1.738638069627596</v>
          </cell>
          <cell r="G997">
            <v>1.7911005155689728</v>
          </cell>
          <cell r="H997">
            <v>1.9578</v>
          </cell>
        </row>
        <row r="998">
          <cell r="B998">
            <v>37694</v>
          </cell>
          <cell r="C998">
            <v>37692</v>
          </cell>
          <cell r="D998">
            <v>993</v>
          </cell>
          <cell r="E998">
            <v>15.72</v>
          </cell>
          <cell r="F998">
            <v>1.738638069627596</v>
          </cell>
          <cell r="G998">
            <v>1.7921385407499386</v>
          </cell>
          <cell r="H998">
            <v>1.9578</v>
          </cell>
        </row>
        <row r="999">
          <cell r="B999">
            <v>37695</v>
          </cell>
          <cell r="C999">
            <v>37693</v>
          </cell>
          <cell r="D999">
            <v>994</v>
          </cell>
          <cell r="E999">
            <v>15.72</v>
          </cell>
          <cell r="F999">
            <v>1.738638069627596</v>
          </cell>
          <cell r="G999">
            <v>1.7931771675142703</v>
          </cell>
          <cell r="H999">
            <v>1.9578</v>
          </cell>
        </row>
        <row r="1000">
          <cell r="B1000">
            <v>37696</v>
          </cell>
          <cell r="C1000">
            <v>37694</v>
          </cell>
          <cell r="D1000">
            <v>995</v>
          </cell>
          <cell r="E1000">
            <v>15.72</v>
          </cell>
          <cell r="F1000">
            <v>1.738638069627596</v>
          </cell>
          <cell r="G1000">
            <v>1.7942163962106126</v>
          </cell>
          <cell r="H1000">
            <v>1.9578</v>
          </cell>
        </row>
        <row r="1001">
          <cell r="B1001">
            <v>37697</v>
          </cell>
          <cell r="C1001">
            <v>37695</v>
          </cell>
          <cell r="D1001">
            <v>996</v>
          </cell>
          <cell r="E1001">
            <v>15.72</v>
          </cell>
          <cell r="F1001">
            <v>1.738638069627596</v>
          </cell>
          <cell r="G1001">
            <v>1.7952562271878132</v>
          </cell>
          <cell r="H1001">
            <v>1.9578</v>
          </cell>
        </row>
        <row r="1002">
          <cell r="B1002">
            <v>37698</v>
          </cell>
          <cell r="C1002">
            <v>37696</v>
          </cell>
          <cell r="D1002">
            <v>997</v>
          </cell>
          <cell r="E1002">
            <v>15.72</v>
          </cell>
          <cell r="F1002">
            <v>1.738638069627596</v>
          </cell>
          <cell r="G1002">
            <v>1.7962966607949213</v>
          </cell>
          <cell r="H1002">
            <v>1.9578</v>
          </cell>
        </row>
        <row r="1003">
          <cell r="B1003">
            <v>37699</v>
          </cell>
          <cell r="C1003">
            <v>37697</v>
          </cell>
          <cell r="D1003">
            <v>998</v>
          </cell>
          <cell r="E1003">
            <v>15.72</v>
          </cell>
          <cell r="F1003">
            <v>1.738638069627596</v>
          </cell>
          <cell r="G1003">
            <v>1.797337697381189</v>
          </cell>
          <cell r="H1003">
            <v>1.9578</v>
          </cell>
        </row>
        <row r="1004">
          <cell r="B1004">
            <v>37700</v>
          </cell>
          <cell r="C1004">
            <v>37698</v>
          </cell>
          <cell r="D1004">
            <v>999</v>
          </cell>
          <cell r="E1004">
            <v>15.72</v>
          </cell>
          <cell r="F1004">
            <v>1.738638069627596</v>
          </cell>
          <cell r="G1004">
            <v>1.7983793372960701</v>
          </cell>
          <cell r="H1004">
            <v>1.9578</v>
          </cell>
        </row>
        <row r="1005">
          <cell r="B1005">
            <v>37701</v>
          </cell>
          <cell r="C1005">
            <v>37699</v>
          </cell>
          <cell r="D1005">
            <v>1000</v>
          </cell>
          <cell r="E1005">
            <v>15.72</v>
          </cell>
          <cell r="F1005">
            <v>1.738638069627596</v>
          </cell>
          <cell r="G1005">
            <v>1.7994215808892218</v>
          </cell>
          <cell r="H1005">
            <v>1.9578</v>
          </cell>
        </row>
        <row r="1006">
          <cell r="B1006">
            <v>37702</v>
          </cell>
          <cell r="C1006">
            <v>37700</v>
          </cell>
          <cell r="D1006">
            <v>1001</v>
          </cell>
          <cell r="E1006">
            <v>15.72</v>
          </cell>
          <cell r="F1006">
            <v>1.738638069627596</v>
          </cell>
          <cell r="G1006">
            <v>1.8004644285105029</v>
          </cell>
          <cell r="H1006">
            <v>1.9578</v>
          </cell>
        </row>
        <row r="1007">
          <cell r="B1007">
            <v>37703</v>
          </cell>
          <cell r="C1007">
            <v>37701</v>
          </cell>
          <cell r="D1007">
            <v>1002</v>
          </cell>
          <cell r="E1007">
            <v>15.72</v>
          </cell>
          <cell r="F1007">
            <v>1.738638069627596</v>
          </cell>
          <cell r="G1007">
            <v>1.8015078805099758</v>
          </cell>
          <cell r="H1007">
            <v>1.9578</v>
          </cell>
        </row>
        <row r="1008">
          <cell r="B1008">
            <v>37704</v>
          </cell>
          <cell r="C1008">
            <v>37702</v>
          </cell>
          <cell r="D1008">
            <v>1003</v>
          </cell>
          <cell r="E1008">
            <v>15.72</v>
          </cell>
          <cell r="F1008">
            <v>1.738638069627596</v>
          </cell>
          <cell r="G1008">
            <v>1.8025519372379053</v>
          </cell>
          <cell r="H1008">
            <v>1.9578</v>
          </cell>
        </row>
        <row r="1009">
          <cell r="B1009">
            <v>37705</v>
          </cell>
          <cell r="C1009">
            <v>37703</v>
          </cell>
          <cell r="D1009">
            <v>1004</v>
          </cell>
          <cell r="E1009">
            <v>15.72</v>
          </cell>
          <cell r="F1009">
            <v>1.738638069627596</v>
          </cell>
          <cell r="G1009">
            <v>1.8035965990447596</v>
          </cell>
          <cell r="H1009">
            <v>1.9578</v>
          </cell>
        </row>
        <row r="1010">
          <cell r="B1010">
            <v>37706</v>
          </cell>
          <cell r="C1010">
            <v>37704</v>
          </cell>
          <cell r="D1010">
            <v>1005</v>
          </cell>
          <cell r="E1010">
            <v>15.72</v>
          </cell>
          <cell r="F1010">
            <v>1.738638069627596</v>
          </cell>
          <cell r="G1010">
            <v>1.8046418662812096</v>
          </cell>
          <cell r="H1010">
            <v>1.9578</v>
          </cell>
        </row>
        <row r="1011">
          <cell r="B1011">
            <v>37707</v>
          </cell>
          <cell r="C1011">
            <v>37705</v>
          </cell>
          <cell r="D1011">
            <v>1006</v>
          </cell>
          <cell r="E1011">
            <v>15.72</v>
          </cell>
          <cell r="F1011">
            <v>1.738638069627596</v>
          </cell>
          <cell r="G1011">
            <v>1.8056877392981296</v>
          </cell>
          <cell r="H1011">
            <v>1.9578</v>
          </cell>
        </row>
        <row r="1012">
          <cell r="B1012">
            <v>37708</v>
          </cell>
          <cell r="C1012">
            <v>37706</v>
          </cell>
          <cell r="D1012">
            <v>1007</v>
          </cell>
          <cell r="E1012">
            <v>15.72</v>
          </cell>
          <cell r="F1012">
            <v>1.738638069627596</v>
          </cell>
          <cell r="G1012">
            <v>1.8067342184465975</v>
          </cell>
          <cell r="H1012">
            <v>1.9578</v>
          </cell>
        </row>
        <row r="1013">
          <cell r="B1013">
            <v>37709</v>
          </cell>
          <cell r="C1013">
            <v>37707</v>
          </cell>
          <cell r="D1013">
            <v>1008</v>
          </cell>
          <cell r="E1013">
            <v>15.72</v>
          </cell>
          <cell r="F1013">
            <v>1.738638069627596</v>
          </cell>
          <cell r="G1013">
            <v>1.8077813040778943</v>
          </cell>
          <cell r="H1013">
            <v>1.9578</v>
          </cell>
        </row>
        <row r="1014">
          <cell r="B1014">
            <v>37710</v>
          </cell>
          <cell r="C1014">
            <v>37708</v>
          </cell>
          <cell r="D1014">
            <v>1009</v>
          </cell>
          <cell r="E1014">
            <v>15.72</v>
          </cell>
          <cell r="F1014">
            <v>1.738638069627596</v>
          </cell>
          <cell r="G1014">
            <v>1.8088289965435045</v>
          </cell>
          <cell r="H1014">
            <v>1.9578</v>
          </cell>
        </row>
        <row r="1015">
          <cell r="B1015">
            <v>37711</v>
          </cell>
          <cell r="C1015">
            <v>37709</v>
          </cell>
          <cell r="D1015">
            <v>1010</v>
          </cell>
          <cell r="E1015">
            <v>15.72</v>
          </cell>
          <cell r="F1015">
            <v>1.738638069627596</v>
          </cell>
          <cell r="G1015">
            <v>1.8098772961951168</v>
          </cell>
          <cell r="H1015">
            <v>1.9578</v>
          </cell>
        </row>
        <row r="1016">
          <cell r="B1016">
            <v>37712</v>
          </cell>
          <cell r="C1016">
            <v>37710</v>
          </cell>
          <cell r="D1016">
            <v>1011</v>
          </cell>
          <cell r="E1016">
            <v>15.72</v>
          </cell>
          <cell r="F1016">
            <v>1.738638069627596</v>
          </cell>
          <cell r="G1016">
            <v>1.8109262033846234</v>
          </cell>
          <cell r="H1016">
            <v>1.9578</v>
          </cell>
        </row>
        <row r="1017">
          <cell r="B1017">
            <v>37713</v>
          </cell>
          <cell r="C1017">
            <v>37711</v>
          </cell>
          <cell r="D1017">
            <v>1012</v>
          </cell>
          <cell r="E1017">
            <v>15.72</v>
          </cell>
          <cell r="F1017">
            <v>1.738638069627596</v>
          </cell>
          <cell r="G1017">
            <v>1.8119757184641203</v>
          </cell>
          <cell r="H1017">
            <v>1.9578</v>
          </cell>
        </row>
        <row r="1018">
          <cell r="B1018">
            <v>37714</v>
          </cell>
          <cell r="C1018">
            <v>37712</v>
          </cell>
          <cell r="D1018">
            <v>1013</v>
          </cell>
          <cell r="E1018">
            <v>15.72</v>
          </cell>
          <cell r="F1018">
            <v>1.738638069627596</v>
          </cell>
          <cell r="G1018">
            <v>1.8130258417859078</v>
          </cell>
          <cell r="H1018">
            <v>1.9578</v>
          </cell>
        </row>
        <row r="1019">
          <cell r="B1019">
            <v>37715</v>
          </cell>
          <cell r="C1019">
            <v>37713</v>
          </cell>
          <cell r="D1019">
            <v>1014</v>
          </cell>
          <cell r="E1019">
            <v>15.72</v>
          </cell>
          <cell r="F1019">
            <v>1.738638069627596</v>
          </cell>
          <cell r="G1019">
            <v>1.8140765737024902</v>
          </cell>
          <cell r="H1019">
            <v>1.9578</v>
          </cell>
        </row>
        <row r="1020">
          <cell r="B1020">
            <v>37716</v>
          </cell>
          <cell r="C1020">
            <v>37714</v>
          </cell>
          <cell r="D1020">
            <v>1015</v>
          </cell>
          <cell r="E1020">
            <v>15.72</v>
          </cell>
          <cell r="F1020">
            <v>1.738638069627596</v>
          </cell>
          <cell r="G1020">
            <v>1.8151279145665764</v>
          </cell>
          <cell r="H1020">
            <v>1.9578</v>
          </cell>
        </row>
        <row r="1021">
          <cell r="B1021">
            <v>37717</v>
          </cell>
          <cell r="C1021">
            <v>37715</v>
          </cell>
          <cell r="D1021">
            <v>1016</v>
          </cell>
          <cell r="E1021">
            <v>15.72</v>
          </cell>
          <cell r="F1021">
            <v>1.738638069627596</v>
          </cell>
          <cell r="G1021">
            <v>1.8161798647310794</v>
          </cell>
          <cell r="H1021">
            <v>1.9578</v>
          </cell>
        </row>
        <row r="1022">
          <cell r="B1022">
            <v>37718</v>
          </cell>
          <cell r="C1022">
            <v>37716</v>
          </cell>
          <cell r="D1022">
            <v>1017</v>
          </cell>
          <cell r="E1022">
            <v>15.72</v>
          </cell>
          <cell r="F1022">
            <v>1.738638069627596</v>
          </cell>
          <cell r="G1022">
            <v>1.8172324245491169</v>
          </cell>
          <cell r="H1022">
            <v>1.9578</v>
          </cell>
        </row>
        <row r="1023">
          <cell r="B1023">
            <v>37719</v>
          </cell>
          <cell r="C1023">
            <v>37717</v>
          </cell>
          <cell r="D1023">
            <v>1018</v>
          </cell>
          <cell r="E1023">
            <v>15.72</v>
          </cell>
          <cell r="F1023">
            <v>1.738638069627596</v>
          </cell>
          <cell r="G1023">
            <v>1.8182855943740113</v>
          </cell>
          <cell r="H1023">
            <v>1.9578</v>
          </cell>
        </row>
        <row r="1024">
          <cell r="B1024">
            <v>37720</v>
          </cell>
          <cell r="C1024">
            <v>37718</v>
          </cell>
          <cell r="D1024">
            <v>1019</v>
          </cell>
          <cell r="E1024">
            <v>15.72</v>
          </cell>
          <cell r="F1024">
            <v>1.738638069627596</v>
          </cell>
          <cell r="G1024">
            <v>1.8193393745592894</v>
          </cell>
          <cell r="H1024">
            <v>1.9578</v>
          </cell>
        </row>
        <row r="1025">
          <cell r="B1025">
            <v>37721</v>
          </cell>
          <cell r="C1025">
            <v>37719</v>
          </cell>
          <cell r="D1025">
            <v>1020</v>
          </cell>
          <cell r="E1025">
            <v>15.72</v>
          </cell>
          <cell r="F1025">
            <v>1.738638069627596</v>
          </cell>
          <cell r="G1025">
            <v>1.8203937654586833</v>
          </cell>
          <cell r="H1025">
            <v>1.9578</v>
          </cell>
        </row>
        <row r="1026">
          <cell r="B1026">
            <v>37722</v>
          </cell>
          <cell r="C1026">
            <v>37720</v>
          </cell>
          <cell r="D1026">
            <v>1021</v>
          </cell>
          <cell r="E1026">
            <v>15.72</v>
          </cell>
          <cell r="F1026">
            <v>1.738638069627596</v>
          </cell>
          <cell r="G1026">
            <v>1.8214487674261297</v>
          </cell>
          <cell r="H1026">
            <v>1.9578</v>
          </cell>
        </row>
        <row r="1027">
          <cell r="B1027">
            <v>37723</v>
          </cell>
          <cell r="C1027">
            <v>37721</v>
          </cell>
          <cell r="D1027">
            <v>1022</v>
          </cell>
          <cell r="E1027">
            <v>15.72</v>
          </cell>
          <cell r="F1027">
            <v>1.738638069627596</v>
          </cell>
          <cell r="G1027">
            <v>1.8225043808157708</v>
          </cell>
          <cell r="H1027">
            <v>1.9578</v>
          </cell>
        </row>
        <row r="1028">
          <cell r="B1028">
            <v>37724</v>
          </cell>
          <cell r="C1028">
            <v>37722</v>
          </cell>
          <cell r="D1028">
            <v>1023</v>
          </cell>
          <cell r="E1028">
            <v>15.72</v>
          </cell>
          <cell r="F1028">
            <v>1.738638069627596</v>
          </cell>
          <cell r="G1028">
            <v>1.823560605981954</v>
          </cell>
          <cell r="H1028">
            <v>1.9578</v>
          </cell>
        </row>
        <row r="1029">
          <cell r="B1029">
            <v>37725</v>
          </cell>
          <cell r="C1029">
            <v>37723</v>
          </cell>
          <cell r="D1029">
            <v>1024</v>
          </cell>
          <cell r="E1029">
            <v>15.72</v>
          </cell>
          <cell r="F1029">
            <v>1.738638069627596</v>
          </cell>
          <cell r="G1029">
            <v>1.8246174432792319</v>
          </cell>
          <cell r="H1029">
            <v>1.9578</v>
          </cell>
        </row>
        <row r="1030">
          <cell r="B1030">
            <v>37726</v>
          </cell>
          <cell r="C1030">
            <v>37724</v>
          </cell>
          <cell r="D1030">
            <v>1025</v>
          </cell>
          <cell r="E1030">
            <v>15.72</v>
          </cell>
          <cell r="F1030">
            <v>1.738638069627596</v>
          </cell>
          <cell r="G1030">
            <v>1.8256748930623625</v>
          </cell>
          <cell r="H1030">
            <v>1.9578</v>
          </cell>
        </row>
        <row r="1031">
          <cell r="B1031">
            <v>37727</v>
          </cell>
          <cell r="C1031">
            <v>37725</v>
          </cell>
          <cell r="D1031">
            <v>1026</v>
          </cell>
          <cell r="E1031">
            <v>15.72</v>
          </cell>
          <cell r="F1031">
            <v>1.738638069627596</v>
          </cell>
          <cell r="G1031">
            <v>1.8267329556863097</v>
          </cell>
          <cell r="H1031">
            <v>1.9578</v>
          </cell>
        </row>
        <row r="1032">
          <cell r="B1032">
            <v>37728</v>
          </cell>
          <cell r="C1032">
            <v>37726</v>
          </cell>
          <cell r="D1032">
            <v>1027</v>
          </cell>
          <cell r="E1032">
            <v>15.72</v>
          </cell>
          <cell r="F1032">
            <v>1.738638069627596</v>
          </cell>
          <cell r="G1032">
            <v>1.8277916315062428</v>
          </cell>
          <cell r="H1032">
            <v>1.9578</v>
          </cell>
        </row>
        <row r="1033">
          <cell r="B1033">
            <v>37729</v>
          </cell>
          <cell r="C1033">
            <v>37727</v>
          </cell>
          <cell r="D1033">
            <v>1028</v>
          </cell>
          <cell r="E1033">
            <v>15.72</v>
          </cell>
          <cell r="F1033">
            <v>1.738638069627596</v>
          </cell>
          <cell r="G1033">
            <v>1.8288509208775372</v>
          </cell>
          <cell r="H1033">
            <v>1.9578</v>
          </cell>
        </row>
        <row r="1034">
          <cell r="B1034">
            <v>37730</v>
          </cell>
          <cell r="C1034">
            <v>37728</v>
          </cell>
          <cell r="D1034">
            <v>1029</v>
          </cell>
          <cell r="E1034">
            <v>15.72</v>
          </cell>
          <cell r="F1034">
            <v>1.738638069627596</v>
          </cell>
          <cell r="G1034">
            <v>1.8299108241557742</v>
          </cell>
          <cell r="H1034">
            <v>1.9578</v>
          </cell>
        </row>
        <row r="1035">
          <cell r="B1035">
            <v>37731</v>
          </cell>
          <cell r="C1035">
            <v>37729</v>
          </cell>
          <cell r="D1035">
            <v>1030</v>
          </cell>
          <cell r="E1035">
            <v>15.72</v>
          </cell>
          <cell r="F1035">
            <v>1.738638069627596</v>
          </cell>
          <cell r="G1035">
            <v>1.8309713416967413</v>
          </cell>
          <cell r="H1035">
            <v>1.9578</v>
          </cell>
        </row>
        <row r="1036">
          <cell r="B1036">
            <v>37732</v>
          </cell>
          <cell r="C1036">
            <v>37730</v>
          </cell>
          <cell r="D1036">
            <v>1031</v>
          </cell>
          <cell r="E1036">
            <v>15.72</v>
          </cell>
          <cell r="F1036">
            <v>1.738638069627596</v>
          </cell>
          <cell r="G1036">
            <v>1.8320324738564315</v>
          </cell>
          <cell r="H1036">
            <v>1.9578</v>
          </cell>
        </row>
        <row r="1037">
          <cell r="B1037">
            <v>37733</v>
          </cell>
          <cell r="C1037">
            <v>37731</v>
          </cell>
          <cell r="D1037">
            <v>1032</v>
          </cell>
          <cell r="E1037">
            <v>15.72</v>
          </cell>
          <cell r="F1037">
            <v>1.738638069627596</v>
          </cell>
          <cell r="G1037">
            <v>1.8330942209910452</v>
          </cell>
          <cell r="H1037">
            <v>1.9578</v>
          </cell>
        </row>
        <row r="1038">
          <cell r="B1038">
            <v>37734</v>
          </cell>
          <cell r="C1038">
            <v>37732</v>
          </cell>
          <cell r="D1038">
            <v>1033</v>
          </cell>
          <cell r="E1038">
            <v>15.72</v>
          </cell>
          <cell r="F1038">
            <v>1.738638069627596</v>
          </cell>
          <cell r="G1038">
            <v>1.8341565834569884</v>
          </cell>
          <cell r="H1038">
            <v>1.9578</v>
          </cell>
        </row>
        <row r="1039">
          <cell r="B1039">
            <v>37735</v>
          </cell>
          <cell r="C1039">
            <v>37733</v>
          </cell>
          <cell r="D1039">
            <v>1034</v>
          </cell>
          <cell r="E1039">
            <v>15.72</v>
          </cell>
          <cell r="F1039">
            <v>1.738638069627596</v>
          </cell>
          <cell r="G1039">
            <v>1.835219561610874</v>
          </cell>
          <cell r="H1039">
            <v>1.9578</v>
          </cell>
        </row>
        <row r="1040">
          <cell r="B1040">
            <v>37736</v>
          </cell>
          <cell r="C1040">
            <v>37734</v>
          </cell>
          <cell r="D1040">
            <v>1035</v>
          </cell>
          <cell r="E1040">
            <v>15.72</v>
          </cell>
          <cell r="F1040">
            <v>1.738638069627596</v>
          </cell>
          <cell r="G1040">
            <v>1.8362831558095212</v>
          </cell>
          <cell r="H1040">
            <v>1.9578</v>
          </cell>
        </row>
        <row r="1041">
          <cell r="B1041">
            <v>37737</v>
          </cell>
          <cell r="C1041">
            <v>37735</v>
          </cell>
          <cell r="D1041">
            <v>1036</v>
          </cell>
          <cell r="E1041">
            <v>15.72</v>
          </cell>
          <cell r="F1041">
            <v>1.738638069627596</v>
          </cell>
          <cell r="G1041">
            <v>1.8373473664099567</v>
          </cell>
          <cell r="H1041">
            <v>1.9578</v>
          </cell>
        </row>
        <row r="1042">
          <cell r="B1042">
            <v>37738</v>
          </cell>
          <cell r="C1042">
            <v>37736</v>
          </cell>
          <cell r="D1042">
            <v>1037</v>
          </cell>
          <cell r="E1042">
            <v>15.72</v>
          </cell>
          <cell r="F1042">
            <v>1.738638069627596</v>
          </cell>
          <cell r="G1042">
            <v>1.8384121937694133</v>
          </cell>
          <cell r="H1042">
            <v>1.9578</v>
          </cell>
        </row>
        <row r="1043">
          <cell r="B1043">
            <v>37739</v>
          </cell>
          <cell r="C1043">
            <v>37737</v>
          </cell>
          <cell r="D1043">
            <v>1038</v>
          </cell>
          <cell r="E1043">
            <v>15.72</v>
          </cell>
          <cell r="F1043">
            <v>1.738638069627596</v>
          </cell>
          <cell r="G1043">
            <v>1.8394776382453317</v>
          </cell>
          <cell r="H1043">
            <v>1.9578</v>
          </cell>
        </row>
        <row r="1044">
          <cell r="B1044">
            <v>37740</v>
          </cell>
          <cell r="C1044">
            <v>37738</v>
          </cell>
          <cell r="D1044">
            <v>1039</v>
          </cell>
          <cell r="E1044">
            <v>15.72</v>
          </cell>
          <cell r="F1044">
            <v>1.738638069627596</v>
          </cell>
          <cell r="G1044">
            <v>1.8405437001953591</v>
          </cell>
          <cell r="H1044">
            <v>1.9578</v>
          </cell>
        </row>
        <row r="1045">
          <cell r="B1045">
            <v>37741</v>
          </cell>
          <cell r="C1045">
            <v>37739</v>
          </cell>
          <cell r="D1045">
            <v>1040</v>
          </cell>
          <cell r="E1045">
            <v>15.72</v>
          </cell>
          <cell r="F1045">
            <v>1.738638069627596</v>
          </cell>
          <cell r="G1045">
            <v>1.84161037997735</v>
          </cell>
          <cell r="H1045">
            <v>1.9578</v>
          </cell>
        </row>
        <row r="1046">
          <cell r="B1046">
            <v>37742</v>
          </cell>
          <cell r="C1046">
            <v>37740</v>
          </cell>
          <cell r="D1046">
            <v>1041</v>
          </cell>
          <cell r="E1046">
            <v>15.72</v>
          </cell>
          <cell r="F1046">
            <v>1.738638069627596</v>
          </cell>
          <cell r="G1046">
            <v>1.8426776779493665</v>
          </cell>
          <cell r="H1046">
            <v>1.9578</v>
          </cell>
        </row>
        <row r="1047">
          <cell r="B1047">
            <v>37743</v>
          </cell>
          <cell r="C1047">
            <v>37741</v>
          </cell>
          <cell r="D1047">
            <v>1042</v>
          </cell>
          <cell r="E1047">
            <v>15.72</v>
          </cell>
          <cell r="F1047">
            <v>1.738638069627596</v>
          </cell>
          <cell r="G1047">
            <v>1.8437455944696786</v>
          </cell>
          <cell r="H1047">
            <v>1.9578</v>
          </cell>
        </row>
        <row r="1048">
          <cell r="B1048">
            <v>37744</v>
          </cell>
          <cell r="C1048">
            <v>37742</v>
          </cell>
          <cell r="D1048">
            <v>1043</v>
          </cell>
          <cell r="E1048">
            <v>15.72</v>
          </cell>
          <cell r="F1048">
            <v>1.738638069627596</v>
          </cell>
          <cell r="G1048">
            <v>1.8448141298967629</v>
          </cell>
          <cell r="H1048">
            <v>1.9578</v>
          </cell>
        </row>
        <row r="1049">
          <cell r="B1049">
            <v>37745</v>
          </cell>
          <cell r="C1049">
            <v>37743</v>
          </cell>
          <cell r="D1049">
            <v>1044</v>
          </cell>
          <cell r="E1049">
            <v>15.72</v>
          </cell>
          <cell r="F1049">
            <v>1.738638069627596</v>
          </cell>
          <cell r="G1049">
            <v>1.8458832845893047</v>
          </cell>
          <cell r="H1049">
            <v>1.9578</v>
          </cell>
        </row>
        <row r="1050">
          <cell r="B1050">
            <v>37746</v>
          </cell>
          <cell r="C1050">
            <v>37744</v>
          </cell>
          <cell r="D1050">
            <v>1045</v>
          </cell>
          <cell r="E1050">
            <v>15.72</v>
          </cell>
          <cell r="F1050">
            <v>1.738638069627596</v>
          </cell>
          <cell r="G1050">
            <v>1.8469530589061969</v>
          </cell>
          <cell r="H1050">
            <v>1.9578</v>
          </cell>
        </row>
        <row r="1051">
          <cell r="B1051">
            <v>37747</v>
          </cell>
          <cell r="C1051">
            <v>37745</v>
          </cell>
          <cell r="D1051">
            <v>1046</v>
          </cell>
          <cell r="E1051">
            <v>15.72</v>
          </cell>
          <cell r="F1051">
            <v>1.738638069627596</v>
          </cell>
          <cell r="G1051">
            <v>1.84802345320654</v>
          </cell>
          <cell r="H1051">
            <v>1.9578</v>
          </cell>
        </row>
        <row r="1052">
          <cell r="B1052">
            <v>37748</v>
          </cell>
          <cell r="C1052">
            <v>37746</v>
          </cell>
          <cell r="D1052">
            <v>1047</v>
          </cell>
          <cell r="E1052">
            <v>15.72</v>
          </cell>
          <cell r="F1052">
            <v>1.738638069627596</v>
          </cell>
          <cell r="G1052">
            <v>1.8490944678496433</v>
          </cell>
          <cell r="H1052">
            <v>1.9578</v>
          </cell>
        </row>
        <row r="1053">
          <cell r="B1053">
            <v>37749</v>
          </cell>
          <cell r="C1053">
            <v>37747</v>
          </cell>
          <cell r="D1053">
            <v>1048</v>
          </cell>
          <cell r="E1053">
            <v>15.72</v>
          </cell>
          <cell r="F1053">
            <v>1.738638069627596</v>
          </cell>
          <cell r="G1053">
            <v>1.8501661031950236</v>
          </cell>
          <cell r="H1053">
            <v>1.9578</v>
          </cell>
        </row>
        <row r="1054">
          <cell r="B1054">
            <v>37750</v>
          </cell>
          <cell r="C1054">
            <v>37748</v>
          </cell>
          <cell r="D1054">
            <v>1049</v>
          </cell>
          <cell r="E1054">
            <v>15.72</v>
          </cell>
          <cell r="F1054">
            <v>1.738638069627596</v>
          </cell>
          <cell r="G1054">
            <v>1.8512383596024067</v>
          </cell>
          <cell r="H1054">
            <v>1.9578</v>
          </cell>
        </row>
        <row r="1055">
          <cell r="B1055">
            <v>37751</v>
          </cell>
          <cell r="C1055">
            <v>37749</v>
          </cell>
          <cell r="D1055">
            <v>1050</v>
          </cell>
          <cell r="E1055">
            <v>15.72</v>
          </cell>
          <cell r="F1055">
            <v>1.738638069627596</v>
          </cell>
          <cell r="G1055">
            <v>1.8523112374317265</v>
          </cell>
          <cell r="H1055">
            <v>1.9578</v>
          </cell>
        </row>
        <row r="1056">
          <cell r="B1056">
            <v>37752</v>
          </cell>
          <cell r="C1056">
            <v>37750</v>
          </cell>
          <cell r="D1056">
            <v>1051</v>
          </cell>
          <cell r="E1056">
            <v>15.72</v>
          </cell>
          <cell r="F1056">
            <v>1.738638069627596</v>
          </cell>
          <cell r="G1056">
            <v>1.8533847370431258</v>
          </cell>
          <cell r="H1056">
            <v>1.9578</v>
          </cell>
        </row>
        <row r="1057">
          <cell r="B1057">
            <v>37753</v>
          </cell>
          <cell r="C1057">
            <v>37751</v>
          </cell>
          <cell r="D1057">
            <v>1052</v>
          </cell>
          <cell r="E1057">
            <v>15.72</v>
          </cell>
          <cell r="F1057">
            <v>1.738638069627596</v>
          </cell>
          <cell r="G1057">
            <v>1.8544588587969557</v>
          </cell>
          <cell r="H1057">
            <v>1.9578</v>
          </cell>
        </row>
        <row r="1058">
          <cell r="B1058">
            <v>37754</v>
          </cell>
          <cell r="C1058">
            <v>37752</v>
          </cell>
          <cell r="D1058">
            <v>1053</v>
          </cell>
          <cell r="E1058">
            <v>15.72</v>
          </cell>
          <cell r="F1058">
            <v>1.738638069627596</v>
          </cell>
          <cell r="G1058">
            <v>1.8555336030537766</v>
          </cell>
          <cell r="H1058">
            <v>1.9578</v>
          </cell>
        </row>
        <row r="1059">
          <cell r="B1059">
            <v>37755</v>
          </cell>
          <cell r="C1059">
            <v>37753</v>
          </cell>
          <cell r="D1059">
            <v>1054</v>
          </cell>
          <cell r="E1059">
            <v>15.72</v>
          </cell>
          <cell r="F1059">
            <v>1.738638069627596</v>
          </cell>
          <cell r="G1059">
            <v>1.8566089701743573</v>
          </cell>
          <cell r="H1059">
            <v>1.9578</v>
          </cell>
        </row>
        <row r="1060">
          <cell r="B1060">
            <v>37756</v>
          </cell>
          <cell r="C1060">
            <v>37754</v>
          </cell>
          <cell r="D1060">
            <v>1055</v>
          </cell>
          <cell r="E1060">
            <v>15.72</v>
          </cell>
          <cell r="F1060">
            <v>1.738638069627596</v>
          </cell>
          <cell r="G1060">
            <v>1.8576849605196764</v>
          </cell>
          <cell r="H1060">
            <v>1.9578</v>
          </cell>
        </row>
        <row r="1061">
          <cell r="B1061">
            <v>37757</v>
          </cell>
          <cell r="C1061">
            <v>37755</v>
          </cell>
          <cell r="D1061">
            <v>1056</v>
          </cell>
          <cell r="E1061">
            <v>15.72</v>
          </cell>
          <cell r="F1061">
            <v>1.738638069627596</v>
          </cell>
          <cell r="G1061">
            <v>1.8587615744509212</v>
          </cell>
          <cell r="H1061">
            <v>1.9578</v>
          </cell>
        </row>
        <row r="1062">
          <cell r="B1062">
            <v>37758</v>
          </cell>
          <cell r="C1062">
            <v>37756</v>
          </cell>
          <cell r="D1062">
            <v>1057</v>
          </cell>
          <cell r="E1062">
            <v>15.72</v>
          </cell>
          <cell r="F1062">
            <v>1.738638069627596</v>
          </cell>
          <cell r="G1062">
            <v>1.8598388123294882</v>
          </cell>
          <cell r="H1062">
            <v>1.9578</v>
          </cell>
        </row>
        <row r="1063">
          <cell r="B1063">
            <v>37759</v>
          </cell>
          <cell r="C1063">
            <v>37757</v>
          </cell>
          <cell r="D1063">
            <v>1058</v>
          </cell>
          <cell r="E1063">
            <v>15.72</v>
          </cell>
          <cell r="F1063">
            <v>1.738638069627596</v>
          </cell>
          <cell r="G1063">
            <v>1.8609166745169838</v>
          </cell>
          <cell r="H1063">
            <v>1.9578</v>
          </cell>
        </row>
        <row r="1064">
          <cell r="B1064">
            <v>37760</v>
          </cell>
          <cell r="C1064">
            <v>37758</v>
          </cell>
          <cell r="D1064">
            <v>1059</v>
          </cell>
          <cell r="E1064">
            <v>15.72</v>
          </cell>
          <cell r="F1064">
            <v>1.738638069627596</v>
          </cell>
          <cell r="G1064">
            <v>1.8619951613752239</v>
          </cell>
          <cell r="H1064">
            <v>1.9578</v>
          </cell>
        </row>
        <row r="1065">
          <cell r="B1065">
            <v>37761</v>
          </cell>
          <cell r="C1065">
            <v>37759</v>
          </cell>
          <cell r="D1065">
            <v>1060</v>
          </cell>
          <cell r="E1065">
            <v>15.72</v>
          </cell>
          <cell r="F1065">
            <v>1.738638069627596</v>
          </cell>
          <cell r="G1065">
            <v>1.8630742732662338</v>
          </cell>
          <cell r="H1065">
            <v>1.9578</v>
          </cell>
        </row>
        <row r="1066">
          <cell r="B1066">
            <v>37762</v>
          </cell>
          <cell r="C1066">
            <v>37760</v>
          </cell>
          <cell r="D1066">
            <v>1061</v>
          </cell>
          <cell r="E1066">
            <v>15.72</v>
          </cell>
          <cell r="F1066">
            <v>1.738638069627596</v>
          </cell>
          <cell r="G1066">
            <v>1.8641540105522485</v>
          </cell>
          <cell r="H1066">
            <v>1.9578</v>
          </cell>
        </row>
        <row r="1067">
          <cell r="B1067">
            <v>37763</v>
          </cell>
          <cell r="C1067">
            <v>37761</v>
          </cell>
          <cell r="D1067">
            <v>1062</v>
          </cell>
          <cell r="E1067">
            <v>15.72</v>
          </cell>
          <cell r="F1067">
            <v>1.738638069627596</v>
          </cell>
          <cell r="G1067">
            <v>1.8652343735957135</v>
          </cell>
          <cell r="H1067">
            <v>1.9578</v>
          </cell>
        </row>
        <row r="1068">
          <cell r="B1068">
            <v>37764</v>
          </cell>
          <cell r="C1068">
            <v>37762</v>
          </cell>
          <cell r="D1068">
            <v>1063</v>
          </cell>
          <cell r="E1068">
            <v>15.72</v>
          </cell>
          <cell r="F1068">
            <v>1.738638069627596</v>
          </cell>
          <cell r="G1068">
            <v>1.8663153627592841</v>
          </cell>
          <cell r="H1068">
            <v>1.9578</v>
          </cell>
        </row>
        <row r="1069">
          <cell r="B1069">
            <v>37765</v>
          </cell>
          <cell r="C1069">
            <v>37763</v>
          </cell>
          <cell r="D1069">
            <v>1064</v>
          </cell>
          <cell r="E1069">
            <v>15.72</v>
          </cell>
          <cell r="F1069">
            <v>1.738638069627596</v>
          </cell>
          <cell r="G1069">
            <v>1.8673969784058255</v>
          </cell>
          <cell r="H1069">
            <v>1.9578</v>
          </cell>
        </row>
        <row r="1070">
          <cell r="B1070">
            <v>37766</v>
          </cell>
          <cell r="C1070">
            <v>37764</v>
          </cell>
          <cell r="D1070">
            <v>1065</v>
          </cell>
          <cell r="E1070">
            <v>15.72</v>
          </cell>
          <cell r="F1070">
            <v>1.738638069627596</v>
          </cell>
          <cell r="G1070">
            <v>1.8684792208984136</v>
          </cell>
          <cell r="H1070">
            <v>1.9578</v>
          </cell>
        </row>
        <row r="1071">
          <cell r="B1071">
            <v>37767</v>
          </cell>
          <cell r="C1071">
            <v>37765</v>
          </cell>
          <cell r="D1071">
            <v>1066</v>
          </cell>
          <cell r="E1071">
            <v>15.72</v>
          </cell>
          <cell r="F1071">
            <v>1.738638069627596</v>
          </cell>
          <cell r="G1071">
            <v>1.8695620906003343</v>
          </cell>
          <cell r="H1071">
            <v>1.9578</v>
          </cell>
        </row>
        <row r="1072">
          <cell r="B1072">
            <v>37768</v>
          </cell>
          <cell r="C1072">
            <v>37766</v>
          </cell>
          <cell r="D1072">
            <v>1067</v>
          </cell>
          <cell r="E1072">
            <v>15.72</v>
          </cell>
          <cell r="F1072">
            <v>1.738638069627596</v>
          </cell>
          <cell r="G1072">
            <v>1.8706455878750843</v>
          </cell>
          <cell r="H1072">
            <v>1.9578</v>
          </cell>
        </row>
        <row r="1073">
          <cell r="B1073">
            <v>37769</v>
          </cell>
          <cell r="C1073">
            <v>37767</v>
          </cell>
          <cell r="D1073">
            <v>1068</v>
          </cell>
          <cell r="E1073">
            <v>15.72</v>
          </cell>
          <cell r="F1073">
            <v>1.738638069627596</v>
          </cell>
          <cell r="G1073">
            <v>1.871729713086371</v>
          </cell>
          <cell r="H1073">
            <v>1.9578</v>
          </cell>
        </row>
        <row r="1074">
          <cell r="B1074">
            <v>37770</v>
          </cell>
          <cell r="C1074">
            <v>37768</v>
          </cell>
          <cell r="D1074">
            <v>1069</v>
          </cell>
          <cell r="E1074">
            <v>15.72</v>
          </cell>
          <cell r="F1074">
            <v>1.738638069627596</v>
          </cell>
          <cell r="G1074">
            <v>1.8728144665981128</v>
          </cell>
          <cell r="H1074">
            <v>1.9578</v>
          </cell>
        </row>
        <row r="1075">
          <cell r="B1075">
            <v>37771</v>
          </cell>
          <cell r="C1075">
            <v>37769</v>
          </cell>
          <cell r="D1075">
            <v>1070</v>
          </cell>
          <cell r="E1075">
            <v>15.72</v>
          </cell>
          <cell r="F1075">
            <v>1.738638069627596</v>
          </cell>
          <cell r="G1075">
            <v>1.8738998487744385</v>
          </cell>
          <cell r="H1075">
            <v>1.9578</v>
          </cell>
        </row>
        <row r="1076">
          <cell r="B1076">
            <v>37772</v>
          </cell>
          <cell r="C1076">
            <v>37770</v>
          </cell>
          <cell r="D1076">
            <v>1071</v>
          </cell>
          <cell r="E1076">
            <v>15.72</v>
          </cell>
          <cell r="F1076">
            <v>1.738638069627596</v>
          </cell>
          <cell r="G1076">
            <v>1.874985859979688</v>
          </cell>
          <cell r="H1076">
            <v>1.9578</v>
          </cell>
        </row>
        <row r="1077">
          <cell r="B1077">
            <v>37773</v>
          </cell>
          <cell r="C1077">
            <v>37771</v>
          </cell>
          <cell r="D1077">
            <v>1072</v>
          </cell>
          <cell r="E1077">
            <v>15.72</v>
          </cell>
          <cell r="F1077">
            <v>1.738638069627596</v>
          </cell>
          <cell r="G1077">
            <v>1.8760725005784127</v>
          </cell>
          <cell r="H1077">
            <v>1.9578</v>
          </cell>
        </row>
        <row r="1078">
          <cell r="B1078">
            <v>37774</v>
          </cell>
          <cell r="C1078">
            <v>37772</v>
          </cell>
          <cell r="D1078">
            <v>1073</v>
          </cell>
          <cell r="E1078">
            <v>15.72</v>
          </cell>
          <cell r="F1078">
            <v>1.738638069627596</v>
          </cell>
          <cell r="G1078">
            <v>1.8771597709353751</v>
          </cell>
          <cell r="H1078">
            <v>1.9578</v>
          </cell>
        </row>
        <row r="1079">
          <cell r="B1079">
            <v>37775</v>
          </cell>
          <cell r="C1079">
            <v>37773</v>
          </cell>
          <cell r="D1079">
            <v>1074</v>
          </cell>
          <cell r="E1079">
            <v>15.72</v>
          </cell>
          <cell r="F1079">
            <v>1.738638069627596</v>
          </cell>
          <cell r="G1079">
            <v>1.8782476714155489</v>
          </cell>
          <cell r="H1079">
            <v>1.9578</v>
          </cell>
        </row>
        <row r="1080">
          <cell r="B1080">
            <v>37776</v>
          </cell>
          <cell r="C1080">
            <v>37774</v>
          </cell>
          <cell r="D1080">
            <v>1075</v>
          </cell>
          <cell r="E1080">
            <v>15.72</v>
          </cell>
          <cell r="F1080">
            <v>1.738638069627596</v>
          </cell>
          <cell r="G1080">
            <v>1.8793362023841198</v>
          </cell>
          <cell r="H1080">
            <v>1.9578</v>
          </cell>
        </row>
        <row r="1081">
          <cell r="B1081">
            <v>37777</v>
          </cell>
          <cell r="C1081">
            <v>37775</v>
          </cell>
          <cell r="D1081">
            <v>1076</v>
          </cell>
          <cell r="E1081">
            <v>15.72</v>
          </cell>
          <cell r="F1081">
            <v>1.738638069627596</v>
          </cell>
          <cell r="G1081">
            <v>1.8804253642064845</v>
          </cell>
          <cell r="H1081">
            <v>1.9578</v>
          </cell>
        </row>
        <row r="1082">
          <cell r="B1082">
            <v>37778</v>
          </cell>
          <cell r="C1082">
            <v>37776</v>
          </cell>
          <cell r="D1082">
            <v>1077</v>
          </cell>
          <cell r="E1082">
            <v>15.72</v>
          </cell>
          <cell r="F1082">
            <v>1.738638069627596</v>
          </cell>
          <cell r="G1082">
            <v>1.881515157248252</v>
          </cell>
          <cell r="H1082">
            <v>1.9578</v>
          </cell>
        </row>
        <row r="1083">
          <cell r="B1083">
            <v>37779</v>
          </cell>
          <cell r="C1083">
            <v>37777</v>
          </cell>
          <cell r="D1083">
            <v>1078</v>
          </cell>
          <cell r="E1083">
            <v>15.72</v>
          </cell>
          <cell r="F1083">
            <v>1.738638069627596</v>
          </cell>
          <cell r="G1083">
            <v>1.8826055818752432</v>
          </cell>
          <cell r="H1083">
            <v>1.9578</v>
          </cell>
        </row>
        <row r="1084">
          <cell r="B1084">
            <v>37780</v>
          </cell>
          <cell r="C1084">
            <v>37778</v>
          </cell>
          <cell r="D1084">
            <v>1079</v>
          </cell>
          <cell r="E1084">
            <v>15.72</v>
          </cell>
          <cell r="F1084">
            <v>1.738638069627596</v>
          </cell>
          <cell r="G1084">
            <v>1.8836966384534903</v>
          </cell>
          <cell r="H1084">
            <v>1.9578</v>
          </cell>
        </row>
        <row r="1085">
          <cell r="B1085">
            <v>37781</v>
          </cell>
          <cell r="C1085">
            <v>37779</v>
          </cell>
          <cell r="D1085">
            <v>1080</v>
          </cell>
          <cell r="E1085">
            <v>15.72</v>
          </cell>
          <cell r="F1085">
            <v>1.738638069627596</v>
          </cell>
          <cell r="G1085">
            <v>1.8847883273492385</v>
          </cell>
          <cell r="H1085">
            <v>1.9578</v>
          </cell>
        </row>
        <row r="1086">
          <cell r="B1086">
            <v>37782</v>
          </cell>
          <cell r="C1086">
            <v>37780</v>
          </cell>
          <cell r="D1086">
            <v>1081</v>
          </cell>
          <cell r="E1086">
            <v>15.72</v>
          </cell>
          <cell r="F1086">
            <v>1.738638069627596</v>
          </cell>
          <cell r="G1086">
            <v>1.8858806489289448</v>
          </cell>
          <cell r="H1086">
            <v>1.9578</v>
          </cell>
        </row>
        <row r="1087">
          <cell r="B1087">
            <v>37783</v>
          </cell>
          <cell r="C1087">
            <v>37781</v>
          </cell>
          <cell r="D1087">
            <v>1082</v>
          </cell>
          <cell r="E1087">
            <v>15.72</v>
          </cell>
          <cell r="F1087">
            <v>1.738638069627596</v>
          </cell>
          <cell r="G1087">
            <v>1.8869736035592788</v>
          </cell>
          <cell r="H1087">
            <v>1.9578</v>
          </cell>
        </row>
        <row r="1088">
          <cell r="B1088">
            <v>37784</v>
          </cell>
          <cell r="C1088">
            <v>37782</v>
          </cell>
          <cell r="D1088">
            <v>1083</v>
          </cell>
          <cell r="E1088">
            <v>15.72</v>
          </cell>
          <cell r="F1088">
            <v>1.738638069627596</v>
          </cell>
          <cell r="G1088">
            <v>1.8880671916071223</v>
          </cell>
          <cell r="H1088">
            <v>1.9578</v>
          </cell>
        </row>
        <row r="1089">
          <cell r="B1089">
            <v>37785</v>
          </cell>
          <cell r="C1089">
            <v>37783</v>
          </cell>
          <cell r="D1089">
            <v>1084</v>
          </cell>
          <cell r="E1089">
            <v>15.72</v>
          </cell>
          <cell r="F1089">
            <v>1.738638069627596</v>
          </cell>
          <cell r="G1089">
            <v>1.88916141343957</v>
          </cell>
          <cell r="H1089">
            <v>1.9578</v>
          </cell>
        </row>
        <row r="1090">
          <cell r="B1090">
            <v>37786</v>
          </cell>
          <cell r="C1090">
            <v>37784</v>
          </cell>
          <cell r="D1090">
            <v>1085</v>
          </cell>
          <cell r="E1090">
            <v>15.72</v>
          </cell>
          <cell r="F1090">
            <v>1.738638069627596</v>
          </cell>
          <cell r="G1090">
            <v>1.8902562694239291</v>
          </cell>
          <cell r="H1090">
            <v>1.9578</v>
          </cell>
        </row>
        <row r="1091">
          <cell r="B1091">
            <v>37787</v>
          </cell>
          <cell r="C1091">
            <v>37785</v>
          </cell>
          <cell r="D1091">
            <v>1086</v>
          </cell>
          <cell r="E1091">
            <v>15.72</v>
          </cell>
          <cell r="F1091">
            <v>1.738638069627596</v>
          </cell>
          <cell r="G1091">
            <v>1.8913517599277201</v>
          </cell>
          <cell r="H1091">
            <v>1.9578</v>
          </cell>
        </row>
        <row r="1092">
          <cell r="B1092">
            <v>37788</v>
          </cell>
          <cell r="C1092">
            <v>37786</v>
          </cell>
          <cell r="D1092">
            <v>1087</v>
          </cell>
          <cell r="E1092">
            <v>15.72</v>
          </cell>
          <cell r="F1092">
            <v>1.738638069627596</v>
          </cell>
          <cell r="G1092">
            <v>1.8924478853186759</v>
          </cell>
          <cell r="H1092">
            <v>1.9578</v>
          </cell>
        </row>
        <row r="1093">
          <cell r="B1093">
            <v>37789</v>
          </cell>
          <cell r="C1093">
            <v>37787</v>
          </cell>
          <cell r="D1093">
            <v>1088</v>
          </cell>
          <cell r="E1093">
            <v>15.72</v>
          </cell>
          <cell r="F1093">
            <v>1.738638069627596</v>
          </cell>
          <cell r="G1093">
            <v>1.8935446459647429</v>
          </cell>
          <cell r="H1093">
            <v>1.9578</v>
          </cell>
        </row>
        <row r="1094">
          <cell r="B1094">
            <v>37790</v>
          </cell>
          <cell r="C1094">
            <v>37788</v>
          </cell>
          <cell r="D1094">
            <v>1089</v>
          </cell>
          <cell r="E1094">
            <v>15.72</v>
          </cell>
          <cell r="F1094">
            <v>1.738638069627596</v>
          </cell>
          <cell r="G1094">
            <v>1.8946420422340808</v>
          </cell>
          <cell r="H1094">
            <v>1.9578</v>
          </cell>
        </row>
        <row r="1095">
          <cell r="B1095">
            <v>37791</v>
          </cell>
          <cell r="C1095">
            <v>37789</v>
          </cell>
          <cell r="D1095">
            <v>1090</v>
          </cell>
          <cell r="E1095">
            <v>15.72</v>
          </cell>
          <cell r="F1095">
            <v>1.738638069627596</v>
          </cell>
          <cell r="G1095">
            <v>1.8957400744950625</v>
          </cell>
          <cell r="H1095">
            <v>1.9578</v>
          </cell>
        </row>
        <row r="1096">
          <cell r="B1096">
            <v>37792</v>
          </cell>
          <cell r="C1096">
            <v>37790</v>
          </cell>
          <cell r="D1096">
            <v>1091</v>
          </cell>
          <cell r="E1096">
            <v>15.72</v>
          </cell>
          <cell r="F1096">
            <v>1.738638069627596</v>
          </cell>
          <cell r="G1096">
            <v>1.8968387431162745</v>
          </cell>
          <cell r="H1096">
            <v>1.9578</v>
          </cell>
        </row>
        <row r="1097">
          <cell r="B1097">
            <v>37793</v>
          </cell>
          <cell r="C1097">
            <v>37791</v>
          </cell>
          <cell r="D1097">
            <v>1092</v>
          </cell>
          <cell r="E1097">
            <v>15.72</v>
          </cell>
          <cell r="F1097">
            <v>1.738638069627596</v>
          </cell>
          <cell r="G1097">
            <v>1.8979380484665167</v>
          </cell>
          <cell r="H1097">
            <v>1.9578</v>
          </cell>
        </row>
        <row r="1098">
          <cell r="B1098">
            <v>37794</v>
          </cell>
          <cell r="C1098">
            <v>37792</v>
          </cell>
          <cell r="D1098">
            <v>1093</v>
          </cell>
          <cell r="E1098">
            <v>15.72</v>
          </cell>
          <cell r="F1098">
            <v>1.738638069627596</v>
          </cell>
          <cell r="G1098">
            <v>1.899037990914803</v>
          </cell>
          <cell r="H1098">
            <v>1.9578</v>
          </cell>
        </row>
        <row r="1099">
          <cell r="B1099">
            <v>37795</v>
          </cell>
          <cell r="C1099">
            <v>37793</v>
          </cell>
          <cell r="D1099">
            <v>1094</v>
          </cell>
          <cell r="E1099">
            <v>15.72</v>
          </cell>
          <cell r="F1099">
            <v>1.738638069627596</v>
          </cell>
          <cell r="G1099">
            <v>1.9001385708303609</v>
          </cell>
          <cell r="H1099">
            <v>1.9578</v>
          </cell>
        </row>
        <row r="1100">
          <cell r="B1100">
            <v>37796</v>
          </cell>
          <cell r="C1100">
            <v>37794</v>
          </cell>
          <cell r="D1100">
            <v>1095</v>
          </cell>
          <cell r="E1100">
            <v>15.72</v>
          </cell>
          <cell r="F1100">
            <v>1.738638069627596</v>
          </cell>
          <cell r="G1100">
            <v>1.901239788582632</v>
          </cell>
          <cell r="H1100">
            <v>1.9578</v>
          </cell>
        </row>
        <row r="1101">
          <cell r="B1101">
            <v>37797</v>
          </cell>
          <cell r="C1101">
            <v>37795</v>
          </cell>
          <cell r="D1101">
            <v>1096</v>
          </cell>
          <cell r="E1101">
            <v>15.72</v>
          </cell>
          <cell r="F1101">
            <v>1.738638069627596</v>
          </cell>
          <cell r="G1101">
            <v>1.9023416445412722</v>
          </cell>
          <cell r="H1101">
            <v>1.9578</v>
          </cell>
        </row>
        <row r="1102">
          <cell r="B1102">
            <v>37798</v>
          </cell>
          <cell r="C1102">
            <v>37796</v>
          </cell>
          <cell r="D1102">
            <v>1097</v>
          </cell>
          <cell r="E1102">
            <v>15.72</v>
          </cell>
          <cell r="F1102">
            <v>1.738638069627596</v>
          </cell>
          <cell r="G1102">
            <v>1.9034441390761514</v>
          </cell>
          <cell r="H1102">
            <v>1.9578</v>
          </cell>
        </row>
        <row r="1103">
          <cell r="B1103">
            <v>37799</v>
          </cell>
          <cell r="C1103">
            <v>37797</v>
          </cell>
          <cell r="D1103">
            <v>1098</v>
          </cell>
          <cell r="E1103">
            <v>15.72</v>
          </cell>
          <cell r="F1103">
            <v>1.738638069627596</v>
          </cell>
          <cell r="G1103">
            <v>1.9045472725573538</v>
          </cell>
          <cell r="H1103">
            <v>1.9578</v>
          </cell>
        </row>
        <row r="1104">
          <cell r="B1104">
            <v>37800</v>
          </cell>
          <cell r="C1104">
            <v>37798</v>
          </cell>
          <cell r="D1104">
            <v>1099</v>
          </cell>
          <cell r="E1104">
            <v>15.72</v>
          </cell>
          <cell r="F1104">
            <v>1.738638069627596</v>
          </cell>
          <cell r="G1104">
            <v>1.9056510453551783</v>
          </cell>
          <cell r="H1104">
            <v>1.9578</v>
          </cell>
        </row>
        <row r="1105">
          <cell r="B1105">
            <v>37801</v>
          </cell>
          <cell r="C1105">
            <v>37799</v>
          </cell>
          <cell r="D1105">
            <v>1100</v>
          </cell>
          <cell r="E1105">
            <v>15.72</v>
          </cell>
          <cell r="F1105">
            <v>1.738638069627596</v>
          </cell>
          <cell r="G1105">
            <v>1.9067554578401382</v>
          </cell>
          <cell r="H1105">
            <v>1.9578</v>
          </cell>
        </row>
        <row r="1106">
          <cell r="B1106">
            <v>37802</v>
          </cell>
          <cell r="C1106">
            <v>37800</v>
          </cell>
          <cell r="D1106">
            <v>1101</v>
          </cell>
          <cell r="E1106">
            <v>15.72</v>
          </cell>
          <cell r="F1106">
            <v>1.738638069627596</v>
          </cell>
          <cell r="G1106">
            <v>1.907860510382962</v>
          </cell>
          <cell r="H1106">
            <v>1.9578</v>
          </cell>
        </row>
        <row r="1107">
          <cell r="B1107">
            <v>37803</v>
          </cell>
          <cell r="C1107">
            <v>37801</v>
          </cell>
          <cell r="D1107">
            <v>1102</v>
          </cell>
          <cell r="E1107">
            <v>15.72</v>
          </cell>
          <cell r="F1107">
            <v>1.738638069627596</v>
          </cell>
          <cell r="G1107">
            <v>1.9089662033545922</v>
          </cell>
          <cell r="H1107">
            <v>1.9578</v>
          </cell>
        </row>
        <row r="1108">
          <cell r="B1108">
            <v>37804</v>
          </cell>
          <cell r="C1108">
            <v>37802</v>
          </cell>
          <cell r="D1108">
            <v>1103</v>
          </cell>
          <cell r="E1108">
            <v>15.72</v>
          </cell>
          <cell r="F1108">
            <v>1.738638069627596</v>
          </cell>
          <cell r="G1108">
            <v>1.9100725371261871</v>
          </cell>
          <cell r="H1108">
            <v>1.9578</v>
          </cell>
        </row>
        <row r="1109">
          <cell r="B1109">
            <v>37805</v>
          </cell>
          <cell r="C1109">
            <v>37803</v>
          </cell>
          <cell r="D1109">
            <v>1104</v>
          </cell>
          <cell r="E1109">
            <v>15.72</v>
          </cell>
          <cell r="F1109">
            <v>1.738638069627596</v>
          </cell>
          <cell r="G1109">
            <v>1.9111795120691197</v>
          </cell>
          <cell r="H1109">
            <v>1.9578</v>
          </cell>
        </row>
        <row r="1110">
          <cell r="B1110">
            <v>37806</v>
          </cell>
          <cell r="C1110">
            <v>37804</v>
          </cell>
          <cell r="D1110">
            <v>1105</v>
          </cell>
          <cell r="E1110">
            <v>15.72</v>
          </cell>
          <cell r="F1110">
            <v>1.738638069627596</v>
          </cell>
          <cell r="G1110">
            <v>1.9122871285549783</v>
          </cell>
          <cell r="H1110">
            <v>1.9578</v>
          </cell>
        </row>
        <row r="1111">
          <cell r="B1111">
            <v>37807</v>
          </cell>
          <cell r="C1111">
            <v>37805</v>
          </cell>
          <cell r="D1111">
            <v>1106</v>
          </cell>
          <cell r="E1111">
            <v>15.72</v>
          </cell>
          <cell r="F1111">
            <v>1.738638069627596</v>
          </cell>
          <cell r="G1111">
            <v>1.9133953869555664</v>
          </cell>
          <cell r="H1111">
            <v>1.9578</v>
          </cell>
        </row>
        <row r="1112">
          <cell r="B1112">
            <v>37808</v>
          </cell>
          <cell r="C1112">
            <v>37806</v>
          </cell>
          <cell r="D1112">
            <v>1107</v>
          </cell>
          <cell r="E1112">
            <v>15.72</v>
          </cell>
          <cell r="F1112">
            <v>1.738638069627596</v>
          </cell>
          <cell r="G1112">
            <v>1.9145042876429033</v>
          </cell>
          <cell r="H1112">
            <v>1.9578</v>
          </cell>
        </row>
        <row r="1113">
          <cell r="B1113">
            <v>37809</v>
          </cell>
          <cell r="C1113">
            <v>37807</v>
          </cell>
          <cell r="D1113">
            <v>1108</v>
          </cell>
          <cell r="E1113">
            <v>15.72</v>
          </cell>
          <cell r="F1113">
            <v>1.738638069627596</v>
          </cell>
          <cell r="G1113">
            <v>1.9156138309892237</v>
          </cell>
          <cell r="H1113">
            <v>1.9578</v>
          </cell>
        </row>
        <row r="1114">
          <cell r="B1114">
            <v>37810</v>
          </cell>
          <cell r="C1114">
            <v>37808</v>
          </cell>
          <cell r="D1114">
            <v>1109</v>
          </cell>
          <cell r="E1114">
            <v>15.72</v>
          </cell>
          <cell r="F1114">
            <v>1.738638069627596</v>
          </cell>
          <cell r="G1114">
            <v>1.916724017366978</v>
          </cell>
          <cell r="H1114">
            <v>1.9578</v>
          </cell>
        </row>
        <row r="1115">
          <cell r="B1115">
            <v>37811</v>
          </cell>
          <cell r="C1115">
            <v>37809</v>
          </cell>
          <cell r="D1115">
            <v>1110</v>
          </cell>
          <cell r="E1115">
            <v>15.72</v>
          </cell>
          <cell r="F1115">
            <v>1.738638069627596</v>
          </cell>
          <cell r="G1115">
            <v>1.9178348471488325</v>
          </cell>
          <cell r="H1115">
            <v>1.9578</v>
          </cell>
        </row>
        <row r="1116">
          <cell r="B1116">
            <v>37812</v>
          </cell>
          <cell r="C1116">
            <v>37810</v>
          </cell>
          <cell r="D1116">
            <v>1111</v>
          </cell>
          <cell r="E1116">
            <v>15.72</v>
          </cell>
          <cell r="F1116">
            <v>1.738638069627596</v>
          </cell>
          <cell r="G1116">
            <v>1.9189463207076696</v>
          </cell>
          <cell r="H1116">
            <v>1.9578</v>
          </cell>
        </row>
        <row r="1117">
          <cell r="B1117">
            <v>37813</v>
          </cell>
          <cell r="C1117">
            <v>37811</v>
          </cell>
          <cell r="D1117">
            <v>1112</v>
          </cell>
          <cell r="E1117">
            <v>15.72</v>
          </cell>
          <cell r="F1117">
            <v>1.738638069627596</v>
          </cell>
          <cell r="G1117">
            <v>1.9200584384165875</v>
          </cell>
          <cell r="H1117">
            <v>1.9578</v>
          </cell>
        </row>
        <row r="1118">
          <cell r="B1118">
            <v>37814</v>
          </cell>
          <cell r="C1118">
            <v>37812</v>
          </cell>
          <cell r="D1118">
            <v>1113</v>
          </cell>
          <cell r="E1118">
            <v>15.72</v>
          </cell>
          <cell r="F1118">
            <v>1.738638069627596</v>
          </cell>
          <cell r="G1118">
            <v>1.921171200648901</v>
          </cell>
          <cell r="H1118">
            <v>1.9578</v>
          </cell>
        </row>
        <row r="1119">
          <cell r="B1119">
            <v>37815</v>
          </cell>
          <cell r="C1119">
            <v>37813</v>
          </cell>
          <cell r="D1119">
            <v>1114</v>
          </cell>
          <cell r="E1119">
            <v>15.72</v>
          </cell>
          <cell r="F1119">
            <v>1.738638069627596</v>
          </cell>
          <cell r="G1119">
            <v>1.922284607778141</v>
          </cell>
          <cell r="H1119">
            <v>1.9578</v>
          </cell>
        </row>
        <row r="1120">
          <cell r="B1120">
            <v>37816</v>
          </cell>
          <cell r="C1120">
            <v>37814</v>
          </cell>
          <cell r="D1120">
            <v>1115</v>
          </cell>
          <cell r="E1120">
            <v>15.72</v>
          </cell>
          <cell r="F1120">
            <v>1.738638069627596</v>
          </cell>
          <cell r="G1120">
            <v>1.9233986601780551</v>
          </cell>
          <cell r="H1120">
            <v>1.9578</v>
          </cell>
        </row>
        <row r="1121">
          <cell r="B1121">
            <v>37817</v>
          </cell>
          <cell r="C1121">
            <v>37815</v>
          </cell>
          <cell r="D1121">
            <v>1116</v>
          </cell>
          <cell r="E1121">
            <v>15.72</v>
          </cell>
          <cell r="F1121">
            <v>1.738638069627596</v>
          </cell>
          <cell r="G1121">
            <v>1.9245133582226071</v>
          </cell>
          <cell r="H1121">
            <v>1.9578</v>
          </cell>
        </row>
        <row r="1122">
          <cell r="B1122">
            <v>37818</v>
          </cell>
          <cell r="C1122">
            <v>37816</v>
          </cell>
          <cell r="D1122">
            <v>1117</v>
          </cell>
          <cell r="E1122">
            <v>15.72</v>
          </cell>
          <cell r="F1122">
            <v>1.738638069627596</v>
          </cell>
          <cell r="G1122">
            <v>1.9256287022859779</v>
          </cell>
          <cell r="H1122">
            <v>1.9578</v>
          </cell>
        </row>
        <row r="1123">
          <cell r="B1123">
            <v>37819</v>
          </cell>
          <cell r="C1123">
            <v>37817</v>
          </cell>
          <cell r="D1123">
            <v>1118</v>
          </cell>
          <cell r="E1123">
            <v>15.72</v>
          </cell>
          <cell r="F1123">
            <v>1.738638069627596</v>
          </cell>
          <cell r="G1123">
            <v>1.9267446927425653</v>
          </cell>
          <cell r="H1123">
            <v>1.9578</v>
          </cell>
        </row>
        <row r="1124">
          <cell r="B1124">
            <v>37820</v>
          </cell>
          <cell r="C1124">
            <v>37818</v>
          </cell>
          <cell r="D1124">
            <v>1119</v>
          </cell>
          <cell r="E1124">
            <v>15.72</v>
          </cell>
          <cell r="F1124">
            <v>1.738638069627596</v>
          </cell>
          <cell r="G1124">
            <v>1.9278613299669838</v>
          </cell>
          <cell r="H1124">
            <v>1.9578</v>
          </cell>
        </row>
        <row r="1125">
          <cell r="B1125">
            <v>37821</v>
          </cell>
          <cell r="C1125">
            <v>37819</v>
          </cell>
          <cell r="D1125">
            <v>1120</v>
          </cell>
          <cell r="E1125">
            <v>15.72</v>
          </cell>
          <cell r="F1125">
            <v>1.738638069627596</v>
          </cell>
          <cell r="G1125">
            <v>1.928978614334065</v>
          </cell>
          <cell r="H1125">
            <v>1.9578</v>
          </cell>
        </row>
        <row r="1126">
          <cell r="B1126">
            <v>37822</v>
          </cell>
          <cell r="C1126">
            <v>37820</v>
          </cell>
          <cell r="D1126">
            <v>1121</v>
          </cell>
          <cell r="E1126">
            <v>15.72</v>
          </cell>
          <cell r="F1126">
            <v>1.738638069627596</v>
          </cell>
          <cell r="G1126">
            <v>1.930096546218858</v>
          </cell>
          <cell r="H1126">
            <v>1.9578</v>
          </cell>
        </row>
        <row r="1127">
          <cell r="B1127">
            <v>37823</v>
          </cell>
          <cell r="C1127">
            <v>37821</v>
          </cell>
          <cell r="D1127">
            <v>1122</v>
          </cell>
          <cell r="E1127">
            <v>15.72</v>
          </cell>
          <cell r="F1127">
            <v>1.738638069627596</v>
          </cell>
          <cell r="G1127">
            <v>1.9312151259966288</v>
          </cell>
          <cell r="H1127">
            <v>1.9578</v>
          </cell>
        </row>
        <row r="1128">
          <cell r="B1128">
            <v>37824</v>
          </cell>
          <cell r="C1128">
            <v>37822</v>
          </cell>
          <cell r="D1128">
            <v>1123</v>
          </cell>
          <cell r="E1128">
            <v>15.72</v>
          </cell>
          <cell r="F1128">
            <v>1.738638069627596</v>
          </cell>
          <cell r="G1128">
            <v>1.9323343540428617</v>
          </cell>
          <cell r="H1128">
            <v>1.9578</v>
          </cell>
        </row>
        <row r="1129">
          <cell r="B1129">
            <v>37825</v>
          </cell>
          <cell r="C1129">
            <v>37823</v>
          </cell>
          <cell r="D1129">
            <v>1124</v>
          </cell>
          <cell r="E1129">
            <v>15.72</v>
          </cell>
          <cell r="F1129">
            <v>1.738638069627596</v>
          </cell>
          <cell r="G1129">
            <v>1.9334542307332578</v>
          </cell>
          <cell r="H1129">
            <v>1.9578</v>
          </cell>
        </row>
        <row r="1130">
          <cell r="B1130">
            <v>37826</v>
          </cell>
          <cell r="C1130">
            <v>37824</v>
          </cell>
          <cell r="D1130">
            <v>1125</v>
          </cell>
          <cell r="E1130">
            <v>15.72</v>
          </cell>
          <cell r="F1130">
            <v>1.738638069627596</v>
          </cell>
          <cell r="G1130">
            <v>1.9345747564437363</v>
          </cell>
          <cell r="H1130">
            <v>1.9578</v>
          </cell>
        </row>
        <row r="1131">
          <cell r="B1131">
            <v>37827</v>
          </cell>
          <cell r="C1131">
            <v>37825</v>
          </cell>
          <cell r="D1131">
            <v>1126</v>
          </cell>
          <cell r="E1131">
            <v>15.72</v>
          </cell>
          <cell r="F1131">
            <v>1.738638069627596</v>
          </cell>
          <cell r="G1131">
            <v>1.9356959315504343</v>
          </cell>
          <cell r="H1131">
            <v>1.9578</v>
          </cell>
        </row>
        <row r="1132">
          <cell r="B1132">
            <v>37828</v>
          </cell>
          <cell r="C1132">
            <v>37826</v>
          </cell>
          <cell r="D1132">
            <v>1127</v>
          </cell>
          <cell r="E1132">
            <v>15.72</v>
          </cell>
          <cell r="F1132">
            <v>1.738638069627596</v>
          </cell>
          <cell r="G1132">
            <v>1.9368177564297067</v>
          </cell>
          <cell r="H1132">
            <v>1.9578</v>
          </cell>
        </row>
        <row r="1133">
          <cell r="B1133">
            <v>37829</v>
          </cell>
          <cell r="C1133">
            <v>37827</v>
          </cell>
          <cell r="D1133">
            <v>1128</v>
          </cell>
          <cell r="E1133">
            <v>15.72</v>
          </cell>
          <cell r="F1133">
            <v>1.738638069627596</v>
          </cell>
          <cell r="G1133">
            <v>1.9379402314581264</v>
          </cell>
          <cell r="H1133">
            <v>1.9578</v>
          </cell>
        </row>
        <row r="1134">
          <cell r="B1134">
            <v>37830</v>
          </cell>
          <cell r="C1134">
            <v>37828</v>
          </cell>
          <cell r="D1134">
            <v>1129</v>
          </cell>
          <cell r="E1134">
            <v>15.72</v>
          </cell>
          <cell r="F1134">
            <v>1.738638069627596</v>
          </cell>
          <cell r="G1134">
            <v>1.9390633570124851</v>
          </cell>
          <cell r="H1134">
            <v>1.9578</v>
          </cell>
        </row>
        <row r="1135">
          <cell r="B1135">
            <v>37831</v>
          </cell>
          <cell r="C1135">
            <v>37829</v>
          </cell>
          <cell r="D1135">
            <v>1130</v>
          </cell>
          <cell r="E1135">
            <v>15.72</v>
          </cell>
          <cell r="F1135">
            <v>1.738638069627596</v>
          </cell>
          <cell r="G1135">
            <v>1.9401871334697924</v>
          </cell>
          <cell r="H1135">
            <v>1.9578</v>
          </cell>
        </row>
        <row r="1136">
          <cell r="B1136">
            <v>37832</v>
          </cell>
          <cell r="C1136">
            <v>37830</v>
          </cell>
          <cell r="D1136">
            <v>1131</v>
          </cell>
          <cell r="E1136">
            <v>15.72</v>
          </cell>
          <cell r="F1136">
            <v>1.738638069627596</v>
          </cell>
          <cell r="G1136">
            <v>1.9413115612072764</v>
          </cell>
          <cell r="H1136">
            <v>1.9578</v>
          </cell>
        </row>
        <row r="1137">
          <cell r="B1137">
            <v>37833</v>
          </cell>
          <cell r="C1137">
            <v>37831</v>
          </cell>
          <cell r="D1137">
            <v>1132</v>
          </cell>
          <cell r="E1137">
            <v>15.72</v>
          </cell>
          <cell r="F1137">
            <v>1.738638069627596</v>
          </cell>
          <cell r="G1137">
            <v>1.9424366406023841</v>
          </cell>
          <cell r="H1137">
            <v>1.9578</v>
          </cell>
        </row>
        <row r="1138">
          <cell r="B1138">
            <v>37834</v>
          </cell>
          <cell r="C1138">
            <v>37832</v>
          </cell>
          <cell r="D1138">
            <v>1133</v>
          </cell>
          <cell r="E1138">
            <v>15.72</v>
          </cell>
          <cell r="F1138">
            <v>1.738638069627596</v>
          </cell>
          <cell r="G1138">
            <v>1.943562372032781</v>
          </cell>
          <cell r="H1138">
            <v>1.9578</v>
          </cell>
        </row>
        <row r="1139">
          <cell r="B1139">
            <v>37835</v>
          </cell>
          <cell r="C1139">
            <v>37833</v>
          </cell>
          <cell r="D1139">
            <v>1134</v>
          </cell>
          <cell r="E1139">
            <v>15.72</v>
          </cell>
          <cell r="F1139">
            <v>1.738638069627596</v>
          </cell>
          <cell r="G1139">
            <v>1.9446887558763517</v>
          </cell>
          <cell r="H1139">
            <v>1.9578</v>
          </cell>
        </row>
        <row r="1140">
          <cell r="B1140">
            <v>37836</v>
          </cell>
          <cell r="C1140">
            <v>37834</v>
          </cell>
          <cell r="D1140">
            <v>1135</v>
          </cell>
          <cell r="E1140">
            <v>15.72</v>
          </cell>
          <cell r="F1140">
            <v>1.738638069627596</v>
          </cell>
          <cell r="G1140">
            <v>1.9458157925111994</v>
          </cell>
          <cell r="H1140">
            <v>1.9578</v>
          </cell>
        </row>
        <row r="1141">
          <cell r="B1141">
            <v>37837</v>
          </cell>
          <cell r="C1141">
            <v>37835</v>
          </cell>
          <cell r="D1141">
            <v>1136</v>
          </cell>
          <cell r="E1141">
            <v>15.72</v>
          </cell>
          <cell r="F1141">
            <v>1.738638069627596</v>
          </cell>
          <cell r="G1141">
            <v>1.9469434823156468</v>
          </cell>
          <cell r="H1141">
            <v>1.9578</v>
          </cell>
        </row>
        <row r="1142">
          <cell r="B1142">
            <v>37838</v>
          </cell>
          <cell r="C1142">
            <v>37836</v>
          </cell>
          <cell r="D1142">
            <v>1137</v>
          </cell>
          <cell r="E1142">
            <v>15.72</v>
          </cell>
          <cell r="F1142">
            <v>1.738638069627596</v>
          </cell>
          <cell r="G1142">
            <v>1.9480718256682359</v>
          </cell>
          <cell r="H1142">
            <v>1.9578</v>
          </cell>
        </row>
        <row r="1143">
          <cell r="B1143">
            <v>37839</v>
          </cell>
          <cell r="C1143">
            <v>37837</v>
          </cell>
          <cell r="D1143">
            <v>1138</v>
          </cell>
          <cell r="E1143">
            <v>15.72</v>
          </cell>
          <cell r="F1143">
            <v>1.738638069627596</v>
          </cell>
          <cell r="G1143">
            <v>1.9492008229477278</v>
          </cell>
          <cell r="H1143">
            <v>1.9578</v>
          </cell>
        </row>
        <row r="1144">
          <cell r="B1144">
            <v>37840</v>
          </cell>
          <cell r="C1144">
            <v>37838</v>
          </cell>
          <cell r="D1144">
            <v>1139</v>
          </cell>
          <cell r="E1144">
            <v>15.72</v>
          </cell>
          <cell r="F1144">
            <v>1.738638069627596</v>
          </cell>
          <cell r="G1144">
            <v>1.9503304745331032</v>
          </cell>
          <cell r="H1144">
            <v>1.9578</v>
          </cell>
        </row>
        <row r="1145">
          <cell r="B1145">
            <v>37841</v>
          </cell>
          <cell r="C1145">
            <v>37839</v>
          </cell>
          <cell r="D1145">
            <v>1140</v>
          </cell>
          <cell r="E1145">
            <v>15.72</v>
          </cell>
          <cell r="F1145">
            <v>1.738638069627596</v>
          </cell>
          <cell r="G1145">
            <v>1.9514607808035624</v>
          </cell>
          <cell r="H1145">
            <v>1.9578</v>
          </cell>
        </row>
        <row r="1146">
          <cell r="B1146">
            <v>37842</v>
          </cell>
          <cell r="C1146">
            <v>37840</v>
          </cell>
          <cell r="D1146">
            <v>1141</v>
          </cell>
          <cell r="E1146">
            <v>15.72</v>
          </cell>
          <cell r="F1146">
            <v>1.738638069627596</v>
          </cell>
          <cell r="G1146">
            <v>1.9525917421385259</v>
          </cell>
          <cell r="H1146">
            <v>1.9578</v>
          </cell>
        </row>
        <row r="1147">
          <cell r="B1147">
            <v>37843</v>
          </cell>
          <cell r="C1147">
            <v>37841</v>
          </cell>
          <cell r="D1147">
            <v>1142</v>
          </cell>
          <cell r="E1147">
            <v>15.72</v>
          </cell>
          <cell r="F1147">
            <v>1.738638069627596</v>
          </cell>
          <cell r="G1147">
            <v>1.9537233589176335</v>
          </cell>
          <cell r="H1147">
            <v>1.9578</v>
          </cell>
        </row>
        <row r="1148">
          <cell r="B1148">
            <v>37844</v>
          </cell>
          <cell r="C1148">
            <v>37842</v>
          </cell>
          <cell r="D1148">
            <v>1143</v>
          </cell>
          <cell r="E1148">
            <v>15.72</v>
          </cell>
          <cell r="F1148">
            <v>1.738638069627596</v>
          </cell>
          <cell r="G1148">
            <v>1.954855631520745</v>
          </cell>
          <cell r="H1148">
            <v>1.9578</v>
          </cell>
        </row>
        <row r="1149">
          <cell r="B1149">
            <v>37845</v>
          </cell>
          <cell r="C1149">
            <v>37843</v>
          </cell>
          <cell r="D1149">
            <v>1144</v>
          </cell>
          <cell r="E1149">
            <v>15.72</v>
          </cell>
          <cell r="F1149">
            <v>1.738638069627596</v>
          </cell>
          <cell r="G1149">
            <v>1.955988560327941</v>
          </cell>
          <cell r="H1149">
            <v>1.9578</v>
          </cell>
        </row>
        <row r="1150">
          <cell r="B1150">
            <v>37846</v>
          </cell>
          <cell r="C1150">
            <v>37844</v>
          </cell>
          <cell r="D1150">
            <v>1145</v>
          </cell>
          <cell r="E1150">
            <v>15.72</v>
          </cell>
          <cell r="F1150">
            <v>1.738638069627596</v>
          </cell>
          <cell r="G1150">
            <v>1.9571221457195218</v>
          </cell>
          <cell r="H1150">
            <v>1.9578</v>
          </cell>
        </row>
        <row r="1151">
          <cell r="B1151">
            <v>37847</v>
          </cell>
          <cell r="C1151">
            <v>37845</v>
          </cell>
          <cell r="D1151">
            <v>1146</v>
          </cell>
          <cell r="E1151">
            <v>15.72</v>
          </cell>
          <cell r="F1151">
            <v>1.738638069627596</v>
          </cell>
          <cell r="G1151">
            <v>1.9582563880760082</v>
          </cell>
          <cell r="H1151">
            <v>1.9578</v>
          </cell>
        </row>
        <row r="1152">
          <cell r="B1152">
            <v>37848</v>
          </cell>
          <cell r="C1152">
            <v>37846</v>
          </cell>
          <cell r="D1152">
            <v>1147</v>
          </cell>
          <cell r="E1152">
            <v>15.72</v>
          </cell>
          <cell r="F1152">
            <v>1.738638069627596</v>
          </cell>
          <cell r="G1152">
            <v>1.9593912877781416</v>
          </cell>
          <cell r="H1152">
            <v>1.9578</v>
          </cell>
        </row>
        <row r="1153">
          <cell r="B1153">
            <v>37849</v>
          </cell>
          <cell r="C1153">
            <v>37847</v>
          </cell>
          <cell r="D1153">
            <v>1148</v>
          </cell>
          <cell r="E1153">
            <v>15.72</v>
          </cell>
          <cell r="F1153">
            <v>1.738638069627596</v>
          </cell>
          <cell r="G1153">
            <v>1.9605268452068842</v>
          </cell>
          <cell r="H1153">
            <v>1.9578</v>
          </cell>
        </row>
        <row r="1154">
          <cell r="B1154">
            <v>37850</v>
          </cell>
          <cell r="C1154">
            <v>37848</v>
          </cell>
          <cell r="D1154">
            <v>1149</v>
          </cell>
          <cell r="E1154">
            <v>15.72</v>
          </cell>
          <cell r="F1154">
            <v>1.738638069627596</v>
          </cell>
          <cell r="G1154">
            <v>1.9616630607434187</v>
          </cell>
          <cell r="H1154">
            <v>1.9578</v>
          </cell>
        </row>
        <row r="1155">
          <cell r="B1155">
            <v>37851</v>
          </cell>
          <cell r="C1155">
            <v>37849</v>
          </cell>
          <cell r="D1155">
            <v>1150</v>
          </cell>
          <cell r="E1155">
            <v>15.72</v>
          </cell>
          <cell r="F1155">
            <v>1.738638069627596</v>
          </cell>
          <cell r="G1155">
            <v>1.9627999347691489</v>
          </cell>
          <cell r="H1155">
            <v>1.9578</v>
          </cell>
        </row>
        <row r="1156">
          <cell r="B1156">
            <v>37852</v>
          </cell>
          <cell r="C1156">
            <v>37850</v>
          </cell>
          <cell r="D1156">
            <v>1151</v>
          </cell>
          <cell r="E1156">
            <v>15.72</v>
          </cell>
          <cell r="F1156">
            <v>1.738638069627596</v>
          </cell>
          <cell r="G1156">
            <v>1.9639374676656998</v>
          </cell>
          <cell r="H1156">
            <v>1.9578</v>
          </cell>
        </row>
        <row r="1157">
          <cell r="B1157">
            <v>37853</v>
          </cell>
          <cell r="C1157">
            <v>37851</v>
          </cell>
          <cell r="D1157">
            <v>1152</v>
          </cell>
          <cell r="E1157">
            <v>15.72</v>
          </cell>
          <cell r="F1157">
            <v>1.738638069627596</v>
          </cell>
          <cell r="G1157">
            <v>1.9650756598149171</v>
          </cell>
          <cell r="H1157">
            <v>1.9578</v>
          </cell>
        </row>
        <row r="1158">
          <cell r="B1158">
            <v>37854</v>
          </cell>
          <cell r="C1158">
            <v>37852</v>
          </cell>
          <cell r="D1158">
            <v>1153</v>
          </cell>
          <cell r="E1158">
            <v>15.72</v>
          </cell>
          <cell r="F1158">
            <v>1.738638069627596</v>
          </cell>
          <cell r="G1158">
            <v>1.9662145115988681</v>
          </cell>
          <cell r="H1158">
            <v>1.9578</v>
          </cell>
        </row>
        <row r="1159">
          <cell r="B1159">
            <v>37855</v>
          </cell>
          <cell r="C1159">
            <v>37853</v>
          </cell>
          <cell r="D1159">
            <v>1154</v>
          </cell>
          <cell r="E1159">
            <v>15.72</v>
          </cell>
          <cell r="F1159">
            <v>1.738638069627596</v>
          </cell>
          <cell r="G1159">
            <v>1.9673540233998414</v>
          </cell>
          <cell r="H1159">
            <v>1.9578</v>
          </cell>
        </row>
        <row r="1160">
          <cell r="B1160">
            <v>37856</v>
          </cell>
          <cell r="C1160">
            <v>37854</v>
          </cell>
          <cell r="D1160">
            <v>1155</v>
          </cell>
          <cell r="E1160">
            <v>15.72</v>
          </cell>
          <cell r="F1160">
            <v>1.738638069627596</v>
          </cell>
          <cell r="G1160">
            <v>1.9684941956003474</v>
          </cell>
          <cell r="H1160">
            <v>1.9578</v>
          </cell>
        </row>
        <row r="1161">
          <cell r="B1161">
            <v>37857</v>
          </cell>
          <cell r="C1161">
            <v>37855</v>
          </cell>
          <cell r="D1161">
            <v>1156</v>
          </cell>
          <cell r="E1161">
            <v>15.72</v>
          </cell>
          <cell r="F1161">
            <v>1.738638069627596</v>
          </cell>
          <cell r="G1161">
            <v>1.9696350285831181</v>
          </cell>
          <cell r="H1161">
            <v>1.9578</v>
          </cell>
        </row>
        <row r="1162">
          <cell r="B1162">
            <v>37858</v>
          </cell>
          <cell r="C1162">
            <v>37856</v>
          </cell>
          <cell r="D1162">
            <v>1157</v>
          </cell>
          <cell r="E1162">
            <v>15.72</v>
          </cell>
          <cell r="F1162">
            <v>1.738638069627596</v>
          </cell>
          <cell r="G1162">
            <v>1.9707765227311069</v>
          </cell>
          <cell r="H1162">
            <v>1.9578</v>
          </cell>
        </row>
        <row r="1163">
          <cell r="B1163">
            <v>37859</v>
          </cell>
          <cell r="C1163">
            <v>37857</v>
          </cell>
          <cell r="D1163">
            <v>1158</v>
          </cell>
          <cell r="E1163">
            <v>15.72</v>
          </cell>
          <cell r="F1163">
            <v>1.738638069627596</v>
          </cell>
          <cell r="G1163">
            <v>1.9719186784274898</v>
          </cell>
          <cell r="H1163">
            <v>1.9578</v>
          </cell>
        </row>
        <row r="1164">
          <cell r="B1164">
            <v>37860</v>
          </cell>
          <cell r="C1164">
            <v>37858</v>
          </cell>
          <cell r="D1164">
            <v>1159</v>
          </cell>
          <cell r="E1164">
            <v>15.72</v>
          </cell>
          <cell r="F1164">
            <v>1.738638069627596</v>
          </cell>
          <cell r="G1164">
            <v>1.9730614960556645</v>
          </cell>
          <cell r="H1164">
            <v>1.9578</v>
          </cell>
        </row>
        <row r="1165">
          <cell r="B1165">
            <v>37861</v>
          </cell>
          <cell r="C1165">
            <v>37859</v>
          </cell>
          <cell r="D1165">
            <v>1160</v>
          </cell>
          <cell r="E1165">
            <v>15.72</v>
          </cell>
          <cell r="F1165">
            <v>1.738638069627596</v>
          </cell>
          <cell r="G1165">
            <v>1.9742049759992508</v>
          </cell>
          <cell r="H1165">
            <v>1.9578</v>
          </cell>
        </row>
        <row r="1166">
          <cell r="B1166">
            <v>37862</v>
          </cell>
          <cell r="C1166">
            <v>37860</v>
          </cell>
          <cell r="D1166">
            <v>1161</v>
          </cell>
          <cell r="E1166">
            <v>15.72</v>
          </cell>
          <cell r="F1166">
            <v>1.738638069627596</v>
          </cell>
          <cell r="G1166">
            <v>1.9753491186420911</v>
          </cell>
          <cell r="H1166">
            <v>1.9578</v>
          </cell>
        </row>
        <row r="1167">
          <cell r="B1167">
            <v>37863</v>
          </cell>
          <cell r="C1167">
            <v>37861</v>
          </cell>
          <cell r="D1167">
            <v>1162</v>
          </cell>
          <cell r="E1167">
            <v>15.72</v>
          </cell>
          <cell r="F1167">
            <v>1.738638069627596</v>
          </cell>
          <cell r="G1167">
            <v>1.9764939243682498</v>
          </cell>
          <cell r="H1167">
            <v>1.9578</v>
          </cell>
        </row>
        <row r="1168">
          <cell r="B1168">
            <v>37864</v>
          </cell>
          <cell r="C1168">
            <v>37862</v>
          </cell>
          <cell r="D1168">
            <v>1163</v>
          </cell>
          <cell r="E1168">
            <v>15.72</v>
          </cell>
          <cell r="F1168">
            <v>1.738638069627596</v>
          </cell>
          <cell r="G1168">
            <v>1.9776393935620145</v>
          </cell>
          <cell r="H1168">
            <v>1.9578</v>
          </cell>
        </row>
        <row r="1169">
          <cell r="B1169">
            <v>37865</v>
          </cell>
          <cell r="C1169">
            <v>37863</v>
          </cell>
          <cell r="D1169">
            <v>1164</v>
          </cell>
          <cell r="E1169">
            <v>15.72</v>
          </cell>
          <cell r="F1169">
            <v>1.738638069627596</v>
          </cell>
          <cell r="G1169">
            <v>1.9787855266078951</v>
          </cell>
          <cell r="H1169">
            <v>1.9578</v>
          </cell>
        </row>
        <row r="1170">
          <cell r="B1170">
            <v>37866</v>
          </cell>
          <cell r="C1170">
            <v>37864</v>
          </cell>
          <cell r="D1170">
            <v>1165</v>
          </cell>
          <cell r="E1170">
            <v>15.72</v>
          </cell>
          <cell r="F1170">
            <v>1.738638069627596</v>
          </cell>
          <cell r="G1170">
            <v>1.9799323238906246</v>
          </cell>
          <cell r="H1170">
            <v>1.9578</v>
          </cell>
        </row>
        <row r="1171">
          <cell r="B1171">
            <v>37867</v>
          </cell>
          <cell r="C1171">
            <v>37865</v>
          </cell>
          <cell r="D1171">
            <v>1166</v>
          </cell>
          <cell r="E1171">
            <v>15.72</v>
          </cell>
          <cell r="F1171">
            <v>1.738638069627596</v>
          </cell>
          <cell r="G1171">
            <v>1.9810797857951588</v>
          </cell>
          <cell r="H1171">
            <v>1.9578</v>
          </cell>
        </row>
        <row r="1172">
          <cell r="B1172">
            <v>37868</v>
          </cell>
          <cell r="C1172">
            <v>37866</v>
          </cell>
          <cell r="D1172">
            <v>1167</v>
          </cell>
          <cell r="E1172">
            <v>15.72</v>
          </cell>
          <cell r="F1172">
            <v>1.738638069627596</v>
          </cell>
          <cell r="G1172">
            <v>1.9822279127066764</v>
          </cell>
          <cell r="H1172">
            <v>1.9578</v>
          </cell>
        </row>
        <row r="1173">
          <cell r="B1173">
            <v>37869</v>
          </cell>
          <cell r="C1173">
            <v>37867</v>
          </cell>
          <cell r="D1173">
            <v>1168</v>
          </cell>
          <cell r="E1173">
            <v>15.72</v>
          </cell>
          <cell r="F1173">
            <v>1.738638069627596</v>
          </cell>
          <cell r="G1173">
            <v>1.9833767050105799</v>
          </cell>
          <cell r="H1173">
            <v>1.9578</v>
          </cell>
        </row>
        <row r="1174">
          <cell r="B1174">
            <v>37870</v>
          </cell>
          <cell r="C1174">
            <v>37868</v>
          </cell>
          <cell r="D1174">
            <v>1169</v>
          </cell>
          <cell r="E1174">
            <v>15.72</v>
          </cell>
          <cell r="F1174">
            <v>1.738638069627596</v>
          </cell>
          <cell r="G1174">
            <v>1.9845261630924946</v>
          </cell>
          <cell r="H1174">
            <v>1.9578</v>
          </cell>
        </row>
        <row r="1175">
          <cell r="B1175">
            <v>37871</v>
          </cell>
          <cell r="C1175">
            <v>37869</v>
          </cell>
          <cell r="D1175">
            <v>1170</v>
          </cell>
          <cell r="E1175">
            <v>15.72</v>
          </cell>
          <cell r="F1175">
            <v>1.738638069627596</v>
          </cell>
          <cell r="G1175">
            <v>1.9856762873382694</v>
          </cell>
          <cell r="H1175">
            <v>1.9578</v>
          </cell>
        </row>
        <row r="1176">
          <cell r="B1176">
            <v>37872</v>
          </cell>
          <cell r="C1176">
            <v>37870</v>
          </cell>
          <cell r="D1176">
            <v>1171</v>
          </cell>
          <cell r="E1176">
            <v>15.72</v>
          </cell>
          <cell r="F1176">
            <v>1.738638069627596</v>
          </cell>
          <cell r="G1176">
            <v>1.9868270781339772</v>
          </cell>
          <cell r="H1176">
            <v>1.9578</v>
          </cell>
        </row>
        <row r="1177">
          <cell r="B1177">
            <v>37873</v>
          </cell>
          <cell r="C1177">
            <v>37871</v>
          </cell>
          <cell r="D1177">
            <v>1172</v>
          </cell>
          <cell r="E1177">
            <v>15.72</v>
          </cell>
          <cell r="F1177">
            <v>1.738638069627596</v>
          </cell>
          <cell r="G1177">
            <v>1.9879785358659141</v>
          </cell>
          <cell r="H1177">
            <v>1.9578</v>
          </cell>
        </row>
        <row r="1178">
          <cell r="B1178">
            <v>37874</v>
          </cell>
          <cell r="C1178">
            <v>37872</v>
          </cell>
          <cell r="D1178">
            <v>1173</v>
          </cell>
          <cell r="E1178">
            <v>15.72</v>
          </cell>
          <cell r="F1178">
            <v>1.738638069627596</v>
          </cell>
          <cell r="G1178">
            <v>1.9891306609206005</v>
          </cell>
          <cell r="H1178">
            <v>1.9578</v>
          </cell>
        </row>
        <row r="1179">
          <cell r="B1179">
            <v>37875</v>
          </cell>
          <cell r="C1179">
            <v>37873</v>
          </cell>
          <cell r="D1179">
            <v>1174</v>
          </cell>
          <cell r="E1179">
            <v>15.72</v>
          </cell>
          <cell r="F1179">
            <v>1.738638069627596</v>
          </cell>
          <cell r="G1179">
            <v>1.9902834536847807</v>
          </cell>
          <cell r="H1179">
            <v>1.9578</v>
          </cell>
        </row>
        <row r="1180">
          <cell r="B1180">
            <v>37876</v>
          </cell>
          <cell r="C1180">
            <v>37874</v>
          </cell>
          <cell r="D1180">
            <v>1175</v>
          </cell>
          <cell r="E1180">
            <v>15.72</v>
          </cell>
          <cell r="F1180">
            <v>1.738638069627596</v>
          </cell>
          <cell r="G1180">
            <v>1.9914369145454227</v>
          </cell>
          <cell r="H1180">
            <v>1.9578</v>
          </cell>
        </row>
        <row r="1181">
          <cell r="B1181">
            <v>37877</v>
          </cell>
          <cell r="C1181">
            <v>37875</v>
          </cell>
          <cell r="D1181">
            <v>1176</v>
          </cell>
          <cell r="E1181">
            <v>15.72</v>
          </cell>
          <cell r="F1181">
            <v>1.738638069627596</v>
          </cell>
          <cell r="G1181">
            <v>1.9925910438897194</v>
          </cell>
          <cell r="H1181">
            <v>1.9578</v>
          </cell>
        </row>
        <row r="1182">
          <cell r="B1182">
            <v>37878</v>
          </cell>
          <cell r="C1182">
            <v>37876</v>
          </cell>
          <cell r="D1182">
            <v>1177</v>
          </cell>
          <cell r="E1182">
            <v>15.72</v>
          </cell>
          <cell r="F1182">
            <v>1.738638069627596</v>
          </cell>
          <cell r="G1182">
            <v>1.993745842105088</v>
          </cell>
          <cell r="H1182">
            <v>1.9578</v>
          </cell>
        </row>
        <row r="1183">
          <cell r="B1183">
            <v>37879</v>
          </cell>
          <cell r="C1183">
            <v>37877</v>
          </cell>
          <cell r="D1183">
            <v>1178</v>
          </cell>
          <cell r="E1183">
            <v>15.72</v>
          </cell>
          <cell r="F1183">
            <v>1.738638069627596</v>
          </cell>
          <cell r="G1183">
            <v>1.9949013095791699</v>
          </cell>
          <cell r="H1183">
            <v>1.9578</v>
          </cell>
        </row>
        <row r="1184">
          <cell r="B1184">
            <v>37880</v>
          </cell>
          <cell r="C1184">
            <v>37878</v>
          </cell>
          <cell r="D1184">
            <v>1179</v>
          </cell>
          <cell r="E1184">
            <v>15.72</v>
          </cell>
          <cell r="F1184">
            <v>1.738638069627596</v>
          </cell>
          <cell r="G1184">
            <v>1.9960574466998313</v>
          </cell>
          <cell r="H1184">
            <v>1.9578</v>
          </cell>
        </row>
        <row r="1185">
          <cell r="B1185">
            <v>37881</v>
          </cell>
          <cell r="C1185">
            <v>37879</v>
          </cell>
          <cell r="D1185">
            <v>1180</v>
          </cell>
          <cell r="E1185">
            <v>15.72</v>
          </cell>
          <cell r="F1185">
            <v>1.738638069627596</v>
          </cell>
          <cell r="G1185">
            <v>1.9972142538551634</v>
          </cell>
          <cell r="H1185">
            <v>1.9578</v>
          </cell>
        </row>
        <row r="1186">
          <cell r="B1186">
            <v>37882</v>
          </cell>
          <cell r="C1186">
            <v>37880</v>
          </cell>
          <cell r="D1186">
            <v>1181</v>
          </cell>
          <cell r="E1186">
            <v>15.72</v>
          </cell>
          <cell r="F1186">
            <v>1.738638069627596</v>
          </cell>
          <cell r="G1186">
            <v>1.9983717314334819</v>
          </cell>
          <cell r="H1186">
            <v>1.9578</v>
          </cell>
        </row>
        <row r="1187">
          <cell r="B1187">
            <v>37883</v>
          </cell>
          <cell r="C1187">
            <v>37881</v>
          </cell>
          <cell r="D1187">
            <v>1182</v>
          </cell>
          <cell r="E1187">
            <v>15.72</v>
          </cell>
          <cell r="F1187">
            <v>1.738638069627596</v>
          </cell>
          <cell r="G1187">
            <v>1.9995298798233279</v>
          </cell>
          <cell r="H1187">
            <v>1.9578</v>
          </cell>
        </row>
        <row r="1188">
          <cell r="B1188">
            <v>37884</v>
          </cell>
          <cell r="C1188">
            <v>37882</v>
          </cell>
          <cell r="D1188">
            <v>1183</v>
          </cell>
          <cell r="E1188">
            <v>15.72</v>
          </cell>
          <cell r="F1188">
            <v>1.738638069627596</v>
          </cell>
          <cell r="G1188">
            <v>2.0006886994134674</v>
          </cell>
          <cell r="H1188">
            <v>1.9578</v>
          </cell>
        </row>
        <row r="1189">
          <cell r="B1189">
            <v>37885</v>
          </cell>
          <cell r="C1189">
            <v>37883</v>
          </cell>
          <cell r="D1189">
            <v>1184</v>
          </cell>
          <cell r="E1189">
            <v>15.72</v>
          </cell>
          <cell r="F1189">
            <v>1.738638069627596</v>
          </cell>
          <cell r="G1189">
            <v>2.001848190592892</v>
          </cell>
          <cell r="H1189">
            <v>1.9578</v>
          </cell>
        </row>
        <row r="1190">
          <cell r="B1190">
            <v>37886</v>
          </cell>
          <cell r="C1190">
            <v>37884</v>
          </cell>
          <cell r="D1190">
            <v>1185</v>
          </cell>
          <cell r="E1190">
            <v>15.72</v>
          </cell>
          <cell r="F1190">
            <v>1.738638069627596</v>
          </cell>
          <cell r="G1190">
            <v>2.0030083537508188</v>
          </cell>
          <cell r="H1190">
            <v>1.9578</v>
          </cell>
        </row>
        <row r="1191">
          <cell r="B1191">
            <v>37887</v>
          </cell>
          <cell r="C1191">
            <v>37885</v>
          </cell>
          <cell r="D1191">
            <v>1186</v>
          </cell>
          <cell r="E1191">
            <v>15.72</v>
          </cell>
          <cell r="F1191">
            <v>1.738638069627596</v>
          </cell>
          <cell r="G1191">
            <v>2.00416918927669</v>
          </cell>
          <cell r="H1191">
            <v>1.9578</v>
          </cell>
        </row>
        <row r="1192">
          <cell r="B1192">
            <v>37888</v>
          </cell>
          <cell r="C1192">
            <v>37886</v>
          </cell>
          <cell r="D1192">
            <v>1187</v>
          </cell>
          <cell r="E1192">
            <v>15.72</v>
          </cell>
          <cell r="F1192">
            <v>1.738638069627596</v>
          </cell>
          <cell r="G1192">
            <v>2.0053306975601735</v>
          </cell>
          <cell r="H1192">
            <v>1.9578</v>
          </cell>
        </row>
        <row r="1193">
          <cell r="B1193">
            <v>37889</v>
          </cell>
          <cell r="C1193">
            <v>37887</v>
          </cell>
          <cell r="D1193">
            <v>1188</v>
          </cell>
          <cell r="E1193">
            <v>15.72</v>
          </cell>
          <cell r="F1193">
            <v>1.738638069627596</v>
          </cell>
          <cell r="G1193">
            <v>2.0064928789911636</v>
          </cell>
          <cell r="H1193">
            <v>1.9578</v>
          </cell>
        </row>
        <row r="1194">
          <cell r="B1194">
            <v>37890</v>
          </cell>
          <cell r="C1194">
            <v>37888</v>
          </cell>
          <cell r="D1194">
            <v>1189</v>
          </cell>
          <cell r="E1194">
            <v>15.72</v>
          </cell>
          <cell r="F1194">
            <v>1.738638069627596</v>
          </cell>
          <cell r="G1194">
            <v>2.0076557339597807</v>
          </cell>
          <cell r="H1194">
            <v>1.9578</v>
          </cell>
        </row>
        <row r="1195">
          <cell r="B1195">
            <v>37891</v>
          </cell>
          <cell r="C1195">
            <v>37889</v>
          </cell>
          <cell r="D1195">
            <v>1190</v>
          </cell>
          <cell r="E1195">
            <v>15.72</v>
          </cell>
          <cell r="F1195">
            <v>1.738638069627596</v>
          </cell>
          <cell r="G1195">
            <v>2.0088192628563704</v>
          </cell>
          <cell r="H1195">
            <v>1.9578</v>
          </cell>
        </row>
        <row r="1196">
          <cell r="B1196">
            <v>37892</v>
          </cell>
          <cell r="C1196">
            <v>37890</v>
          </cell>
          <cell r="D1196">
            <v>1191</v>
          </cell>
          <cell r="E1196">
            <v>15.72</v>
          </cell>
          <cell r="F1196">
            <v>1.738638069627596</v>
          </cell>
          <cell r="G1196">
            <v>2.009983466071505</v>
          </cell>
          <cell r="H1196">
            <v>1.9578</v>
          </cell>
        </row>
        <row r="1197">
          <cell r="B1197">
            <v>37893</v>
          </cell>
          <cell r="C1197">
            <v>37891</v>
          </cell>
          <cell r="D1197">
            <v>1192</v>
          </cell>
          <cell r="E1197">
            <v>15.72</v>
          </cell>
          <cell r="F1197">
            <v>1.738638069627596</v>
          </cell>
          <cell r="G1197">
            <v>2.0111483439959832</v>
          </cell>
          <cell r="H1197">
            <v>1.9578</v>
          </cell>
        </row>
        <row r="1198">
          <cell r="B1198">
            <v>37894</v>
          </cell>
          <cell r="C1198">
            <v>37892</v>
          </cell>
          <cell r="D1198">
            <v>1193</v>
          </cell>
          <cell r="E1198">
            <v>15.72</v>
          </cell>
          <cell r="F1198">
            <v>1.738638069627596</v>
          </cell>
          <cell r="G1198">
            <v>2.0123138970208299</v>
          </cell>
          <cell r="H1198">
            <v>1.9578</v>
          </cell>
        </row>
        <row r="1199">
          <cell r="B1199">
            <v>37895</v>
          </cell>
          <cell r="C1199">
            <v>37893</v>
          </cell>
          <cell r="D1199">
            <v>1194</v>
          </cell>
          <cell r="E1199">
            <v>15.72</v>
          </cell>
          <cell r="F1199">
            <v>1.738638069627596</v>
          </cell>
          <cell r="G1199">
            <v>2.0134801255372969</v>
          </cell>
          <cell r="H1199">
            <v>1.9578</v>
          </cell>
        </row>
        <row r="1200">
          <cell r="B1200">
            <v>37896</v>
          </cell>
          <cell r="C1200">
            <v>37894</v>
          </cell>
          <cell r="D1200">
            <v>1195</v>
          </cell>
          <cell r="E1200">
            <v>15.72</v>
          </cell>
          <cell r="F1200">
            <v>1.738638069627596</v>
          </cell>
          <cell r="G1200">
            <v>2.0146470299368628</v>
          </cell>
          <cell r="H1200">
            <v>1.9578</v>
          </cell>
        </row>
        <row r="1201">
          <cell r="B1201">
            <v>37897</v>
          </cell>
          <cell r="C1201">
            <v>37895</v>
          </cell>
          <cell r="D1201">
            <v>1196</v>
          </cell>
          <cell r="E1201">
            <v>15.72</v>
          </cell>
          <cell r="F1201">
            <v>1.738638069627596</v>
          </cell>
          <cell r="G1201">
            <v>2.0158146106112329</v>
          </cell>
          <cell r="H1201">
            <v>1.9578</v>
          </cell>
        </row>
        <row r="1202">
          <cell r="B1202">
            <v>37898</v>
          </cell>
          <cell r="C1202">
            <v>37896</v>
          </cell>
          <cell r="D1202">
            <v>1197</v>
          </cell>
          <cell r="E1202">
            <v>15.72</v>
          </cell>
          <cell r="F1202">
            <v>1.738638069627596</v>
          </cell>
          <cell r="G1202">
            <v>2.0169828679523398</v>
          </cell>
          <cell r="H1202">
            <v>1.9578</v>
          </cell>
        </row>
        <row r="1203">
          <cell r="B1203">
            <v>37899</v>
          </cell>
          <cell r="C1203">
            <v>37897</v>
          </cell>
          <cell r="D1203">
            <v>1198</v>
          </cell>
          <cell r="E1203">
            <v>15.72</v>
          </cell>
          <cell r="F1203">
            <v>1.738638069627596</v>
          </cell>
          <cell r="G1203">
            <v>2.0181518023523428</v>
          </cell>
          <cell r="H1203">
            <v>1.9578</v>
          </cell>
        </row>
        <row r="1204">
          <cell r="B1204">
            <v>37900</v>
          </cell>
          <cell r="C1204">
            <v>37898</v>
          </cell>
          <cell r="D1204">
            <v>1199</v>
          </cell>
          <cell r="E1204">
            <v>15.72</v>
          </cell>
          <cell r="F1204">
            <v>1.738638069627596</v>
          </cell>
          <cell r="G1204">
            <v>2.0193214142036284</v>
          </cell>
          <cell r="H1204">
            <v>1.9578</v>
          </cell>
        </row>
        <row r="1205">
          <cell r="B1205">
            <v>37901</v>
          </cell>
          <cell r="C1205">
            <v>37899</v>
          </cell>
          <cell r="D1205">
            <v>1200</v>
          </cell>
          <cell r="E1205">
            <v>15.72</v>
          </cell>
          <cell r="F1205">
            <v>1.738638069627596</v>
          </cell>
          <cell r="G1205">
            <v>2.0204917038988115</v>
          </cell>
          <cell r="H1205">
            <v>1.9578</v>
          </cell>
        </row>
        <row r="1206">
          <cell r="B1206">
            <v>37902</v>
          </cell>
          <cell r="C1206">
            <v>37900</v>
          </cell>
          <cell r="D1206">
            <v>1201</v>
          </cell>
          <cell r="E1206">
            <v>15.72</v>
          </cell>
          <cell r="F1206">
            <v>1.738638069627596</v>
          </cell>
          <cell r="G1206">
            <v>2.0216626718307333</v>
          </cell>
          <cell r="H1206">
            <v>1.9578</v>
          </cell>
        </row>
        <row r="1207">
          <cell r="B1207">
            <v>37903</v>
          </cell>
          <cell r="C1207">
            <v>37901</v>
          </cell>
          <cell r="D1207">
            <v>1202</v>
          </cell>
          <cell r="E1207">
            <v>15.72</v>
          </cell>
          <cell r="F1207">
            <v>1.738638069627596</v>
          </cell>
          <cell r="G1207">
            <v>2.0228343183924635</v>
          </cell>
          <cell r="H1207">
            <v>1.9578</v>
          </cell>
        </row>
        <row r="1208">
          <cell r="B1208">
            <v>37904</v>
          </cell>
          <cell r="C1208">
            <v>37902</v>
          </cell>
          <cell r="D1208">
            <v>1203</v>
          </cell>
          <cell r="E1208">
            <v>15.72</v>
          </cell>
          <cell r="F1208">
            <v>1.738638069627596</v>
          </cell>
          <cell r="G1208">
            <v>2.024006643977299</v>
          </cell>
          <cell r="H1208">
            <v>1.9578</v>
          </cell>
        </row>
        <row r="1209">
          <cell r="B1209">
            <v>37905</v>
          </cell>
          <cell r="C1209">
            <v>37903</v>
          </cell>
          <cell r="D1209">
            <v>1204</v>
          </cell>
          <cell r="E1209">
            <v>15.72</v>
          </cell>
          <cell r="F1209">
            <v>1.738638069627596</v>
          </cell>
          <cell r="G1209">
            <v>2.025179648978765</v>
          </cell>
          <cell r="H1209">
            <v>1.9578</v>
          </cell>
        </row>
        <row r="1210">
          <cell r="B1210">
            <v>37906</v>
          </cell>
          <cell r="C1210">
            <v>37904</v>
          </cell>
          <cell r="D1210">
            <v>1205</v>
          </cell>
          <cell r="E1210">
            <v>15.72</v>
          </cell>
          <cell r="F1210">
            <v>1.738638069627596</v>
          </cell>
          <cell r="G1210">
            <v>2.026353333790615</v>
          </cell>
          <cell r="H1210">
            <v>1.9578</v>
          </cell>
        </row>
        <row r="1211">
          <cell r="B1211">
            <v>37907</v>
          </cell>
          <cell r="C1211">
            <v>37905</v>
          </cell>
          <cell r="D1211">
            <v>1206</v>
          </cell>
          <cell r="E1211">
            <v>15.72</v>
          </cell>
          <cell r="F1211">
            <v>1.738638069627596</v>
          </cell>
          <cell r="G1211">
            <v>2.0275276988068303</v>
          </cell>
          <cell r="H1211">
            <v>1.9578</v>
          </cell>
        </row>
        <row r="1212">
          <cell r="B1212">
            <v>37908</v>
          </cell>
          <cell r="C1212">
            <v>37906</v>
          </cell>
          <cell r="D1212">
            <v>1207</v>
          </cell>
          <cell r="E1212">
            <v>15.72</v>
          </cell>
          <cell r="F1212">
            <v>1.738638069627596</v>
          </cell>
          <cell r="G1212">
            <v>2.0287027444216204</v>
          </cell>
          <cell r="H1212">
            <v>1.9578</v>
          </cell>
        </row>
        <row r="1213">
          <cell r="B1213">
            <v>37909</v>
          </cell>
          <cell r="C1213">
            <v>37907</v>
          </cell>
          <cell r="D1213">
            <v>1208</v>
          </cell>
          <cell r="E1213">
            <v>15.72</v>
          </cell>
          <cell r="F1213">
            <v>1.738638069627596</v>
          </cell>
          <cell r="G1213">
            <v>2.0298784710294235</v>
          </cell>
          <cell r="H1213">
            <v>1.9578</v>
          </cell>
        </row>
        <row r="1214">
          <cell r="B1214">
            <v>37910</v>
          </cell>
          <cell r="C1214">
            <v>37908</v>
          </cell>
          <cell r="D1214">
            <v>1209</v>
          </cell>
          <cell r="E1214">
            <v>15.72</v>
          </cell>
          <cell r="F1214">
            <v>1.738638069627596</v>
          </cell>
          <cell r="G1214">
            <v>2.0310548790249068</v>
          </cell>
          <cell r="H1214">
            <v>1.9578</v>
          </cell>
        </row>
        <row r="1215">
          <cell r="B1215">
            <v>37911</v>
          </cell>
          <cell r="C1215">
            <v>37909</v>
          </cell>
          <cell r="D1215">
            <v>1210</v>
          </cell>
          <cell r="E1215">
            <v>15.72</v>
          </cell>
          <cell r="F1215">
            <v>1.738638069627596</v>
          </cell>
          <cell r="G1215">
            <v>2.0322319688029653</v>
          </cell>
          <cell r="H1215">
            <v>1.9578</v>
          </cell>
        </row>
        <row r="1216">
          <cell r="B1216">
            <v>37912</v>
          </cell>
          <cell r="C1216">
            <v>37910</v>
          </cell>
          <cell r="D1216">
            <v>1211</v>
          </cell>
          <cell r="E1216">
            <v>15.72</v>
          </cell>
          <cell r="F1216">
            <v>1.738638069627596</v>
          </cell>
          <cell r="G1216">
            <v>2.0334097407587235</v>
          </cell>
          <cell r="H1216">
            <v>1.9578</v>
          </cell>
        </row>
        <row r="1217">
          <cell r="B1217">
            <v>37913</v>
          </cell>
          <cell r="C1217">
            <v>37911</v>
          </cell>
          <cell r="D1217">
            <v>1212</v>
          </cell>
          <cell r="E1217">
            <v>15.72</v>
          </cell>
          <cell r="F1217">
            <v>1.738638069627596</v>
          </cell>
          <cell r="G1217">
            <v>2.0345881952875349</v>
          </cell>
          <cell r="H1217">
            <v>1.9578</v>
          </cell>
        </row>
        <row r="1218">
          <cell r="B1218">
            <v>37914</v>
          </cell>
          <cell r="C1218">
            <v>37912</v>
          </cell>
          <cell r="D1218">
            <v>1213</v>
          </cell>
          <cell r="E1218">
            <v>15.72</v>
          </cell>
          <cell r="F1218">
            <v>1.738638069627596</v>
          </cell>
          <cell r="G1218">
            <v>2.0357673327849821</v>
          </cell>
          <cell r="H1218">
            <v>1.9578</v>
          </cell>
        </row>
        <row r="1219">
          <cell r="B1219">
            <v>37915</v>
          </cell>
          <cell r="C1219">
            <v>37913</v>
          </cell>
          <cell r="D1219">
            <v>1214</v>
          </cell>
          <cell r="E1219">
            <v>15.72</v>
          </cell>
          <cell r="F1219">
            <v>1.738638069627596</v>
          </cell>
          <cell r="G1219">
            <v>2.0369471536468771</v>
          </cell>
          <cell r="H1219">
            <v>1.9578</v>
          </cell>
        </row>
        <row r="1220">
          <cell r="B1220">
            <v>37916</v>
          </cell>
          <cell r="C1220">
            <v>37914</v>
          </cell>
          <cell r="D1220">
            <v>1215</v>
          </cell>
          <cell r="E1220">
            <v>15.72</v>
          </cell>
          <cell r="F1220">
            <v>1.738638069627596</v>
          </cell>
          <cell r="G1220">
            <v>2.0381276582692602</v>
          </cell>
          <cell r="H1220">
            <v>1.9578</v>
          </cell>
        </row>
        <row r="1221">
          <cell r="B1221">
            <v>37917</v>
          </cell>
          <cell r="C1221">
            <v>37915</v>
          </cell>
          <cell r="D1221">
            <v>1216</v>
          </cell>
          <cell r="E1221">
            <v>15.72</v>
          </cell>
          <cell r="F1221">
            <v>1.738638069627596</v>
          </cell>
          <cell r="G1221">
            <v>2.0393088470484027</v>
          </cell>
          <cell r="H1221">
            <v>1.9578</v>
          </cell>
        </row>
        <row r="1222">
          <cell r="B1222">
            <v>37918</v>
          </cell>
          <cell r="C1222">
            <v>37916</v>
          </cell>
          <cell r="D1222">
            <v>1217</v>
          </cell>
          <cell r="E1222">
            <v>15.72</v>
          </cell>
          <cell r="F1222">
            <v>1.738638069627596</v>
          </cell>
          <cell r="G1222">
            <v>2.0404907203808049</v>
          </cell>
          <cell r="H1222">
            <v>1.9578</v>
          </cell>
        </row>
        <row r="1223">
          <cell r="B1223">
            <v>37919</v>
          </cell>
          <cell r="C1223">
            <v>37917</v>
          </cell>
          <cell r="D1223">
            <v>1218</v>
          </cell>
          <cell r="E1223">
            <v>15.72</v>
          </cell>
          <cell r="F1223">
            <v>1.738638069627596</v>
          </cell>
          <cell r="G1223">
            <v>2.0416732786631968</v>
          </cell>
          <cell r="H1223">
            <v>1.9578</v>
          </cell>
        </row>
        <row r="1224">
          <cell r="B1224">
            <v>37920</v>
          </cell>
          <cell r="C1224">
            <v>37918</v>
          </cell>
          <cell r="D1224">
            <v>1219</v>
          </cell>
          <cell r="E1224">
            <v>15.72</v>
          </cell>
          <cell r="F1224">
            <v>1.738638069627596</v>
          </cell>
          <cell r="G1224">
            <v>2.0428565222925386</v>
          </cell>
          <cell r="H1224">
            <v>1.9578</v>
          </cell>
        </row>
        <row r="1225">
          <cell r="B1225">
            <v>37921</v>
          </cell>
          <cell r="C1225">
            <v>37919</v>
          </cell>
          <cell r="D1225">
            <v>1220</v>
          </cell>
          <cell r="E1225">
            <v>15.72</v>
          </cell>
          <cell r="F1225">
            <v>1.738638069627596</v>
          </cell>
          <cell r="G1225">
            <v>2.04404045166602</v>
          </cell>
          <cell r="H1225">
            <v>1.9578</v>
          </cell>
        </row>
        <row r="1226">
          <cell r="B1226">
            <v>37922</v>
          </cell>
          <cell r="C1226">
            <v>37920</v>
          </cell>
          <cell r="D1226">
            <v>1221</v>
          </cell>
          <cell r="E1226">
            <v>15.72</v>
          </cell>
          <cell r="F1226">
            <v>1.738638069627596</v>
          </cell>
          <cell r="G1226">
            <v>2.0452250671810619</v>
          </cell>
          <cell r="H1226">
            <v>1.9578</v>
          </cell>
        </row>
        <row r="1227">
          <cell r="B1227">
            <v>37923</v>
          </cell>
          <cell r="C1227">
            <v>37921</v>
          </cell>
          <cell r="D1227">
            <v>1222</v>
          </cell>
          <cell r="E1227">
            <v>15.72</v>
          </cell>
          <cell r="F1227">
            <v>1.738638069627596</v>
          </cell>
          <cell r="G1227">
            <v>2.0464103692353146</v>
          </cell>
          <cell r="H1227">
            <v>1.9578</v>
          </cell>
        </row>
        <row r="1228">
          <cell r="B1228">
            <v>37924</v>
          </cell>
          <cell r="C1228">
            <v>37922</v>
          </cell>
          <cell r="D1228">
            <v>1223</v>
          </cell>
          <cell r="E1228">
            <v>15.72</v>
          </cell>
          <cell r="F1228">
            <v>1.738638069627596</v>
          </cell>
          <cell r="G1228">
            <v>2.047596358226659</v>
          </cell>
          <cell r="H1228">
            <v>1.9578</v>
          </cell>
        </row>
        <row r="1229">
          <cell r="B1229">
            <v>37925</v>
          </cell>
          <cell r="C1229">
            <v>37923</v>
          </cell>
          <cell r="D1229">
            <v>1224</v>
          </cell>
          <cell r="E1229">
            <v>15.72</v>
          </cell>
          <cell r="F1229">
            <v>1.738638069627596</v>
          </cell>
          <cell r="G1229">
            <v>2.0487830345532068</v>
          </cell>
          <cell r="H1229">
            <v>1.9578</v>
          </cell>
        </row>
        <row r="1230">
          <cell r="B1230">
            <v>37926</v>
          </cell>
          <cell r="C1230">
            <v>37924</v>
          </cell>
          <cell r="D1230">
            <v>1225</v>
          </cell>
          <cell r="E1230">
            <v>15.72</v>
          </cell>
          <cell r="F1230">
            <v>1.738638069627596</v>
          </cell>
          <cell r="G1230">
            <v>2.0499703986133007</v>
          </cell>
          <cell r="H1230">
            <v>1.9578</v>
          </cell>
        </row>
        <row r="1231">
          <cell r="B1231">
            <v>37927</v>
          </cell>
          <cell r="C1231">
            <v>37925</v>
          </cell>
          <cell r="D1231">
            <v>1226</v>
          </cell>
          <cell r="E1231">
            <v>15.72</v>
          </cell>
          <cell r="F1231">
            <v>1.738638069627596</v>
          </cell>
          <cell r="G1231">
            <v>2.0511584508055134</v>
          </cell>
          <cell r="H1231">
            <v>1.9578</v>
          </cell>
        </row>
        <row r="1232">
          <cell r="B1232">
            <v>37928</v>
          </cell>
          <cell r="C1232">
            <v>37926</v>
          </cell>
          <cell r="D1232">
            <v>1227</v>
          </cell>
          <cell r="E1232">
            <v>15.72</v>
          </cell>
          <cell r="F1232">
            <v>1.738638069627596</v>
          </cell>
          <cell r="G1232">
            <v>2.0523471915286495</v>
          </cell>
          <cell r="H1232">
            <v>1.9578</v>
          </cell>
        </row>
        <row r="1233">
          <cell r="B1233">
            <v>37929</v>
          </cell>
          <cell r="C1233">
            <v>37927</v>
          </cell>
          <cell r="D1233">
            <v>1228</v>
          </cell>
          <cell r="E1233">
            <v>15.72</v>
          </cell>
          <cell r="F1233">
            <v>1.738638069627596</v>
          </cell>
          <cell r="G1233">
            <v>2.0535366211817445</v>
          </cell>
          <cell r="H1233">
            <v>1.9578</v>
          </cell>
        </row>
        <row r="1234">
          <cell r="B1234">
            <v>37930</v>
          </cell>
          <cell r="C1234">
            <v>37928</v>
          </cell>
          <cell r="D1234">
            <v>1229</v>
          </cell>
          <cell r="E1234">
            <v>15.72</v>
          </cell>
          <cell r="F1234">
            <v>1.738638069627596</v>
          </cell>
          <cell r="G1234">
            <v>2.0547267401640648</v>
          </cell>
          <cell r="H1234">
            <v>1.9578</v>
          </cell>
        </row>
        <row r="1235">
          <cell r="B1235">
            <v>37931</v>
          </cell>
          <cell r="C1235">
            <v>37929</v>
          </cell>
          <cell r="D1235">
            <v>1230</v>
          </cell>
          <cell r="E1235">
            <v>15.72</v>
          </cell>
          <cell r="F1235">
            <v>1.738638069627596</v>
          </cell>
          <cell r="G1235">
            <v>2.0559175488751085</v>
          </cell>
          <cell r="H1235">
            <v>1.9578</v>
          </cell>
        </row>
        <row r="1236">
          <cell r="B1236">
            <v>37932</v>
          </cell>
          <cell r="C1236">
            <v>37930</v>
          </cell>
          <cell r="D1236">
            <v>1231</v>
          </cell>
          <cell r="E1236">
            <v>15.72</v>
          </cell>
          <cell r="F1236">
            <v>1.738638069627596</v>
          </cell>
          <cell r="G1236">
            <v>2.0571090477146052</v>
          </cell>
          <cell r="H1236">
            <v>1.9578</v>
          </cell>
        </row>
        <row r="1237">
          <cell r="B1237">
            <v>37933</v>
          </cell>
          <cell r="C1237">
            <v>37931</v>
          </cell>
          <cell r="D1237">
            <v>1232</v>
          </cell>
          <cell r="E1237">
            <v>15.72</v>
          </cell>
          <cell r="F1237">
            <v>1.738638069627596</v>
          </cell>
          <cell r="G1237">
            <v>2.058301237082516</v>
          </cell>
          <cell r="H1237">
            <v>1.9578</v>
          </cell>
        </row>
        <row r="1238">
          <cell r="B1238">
            <v>37934</v>
          </cell>
          <cell r="C1238">
            <v>37932</v>
          </cell>
          <cell r="D1238">
            <v>1233</v>
          </cell>
          <cell r="E1238">
            <v>15.72</v>
          </cell>
          <cell r="F1238">
            <v>1.738638069627596</v>
          </cell>
          <cell r="G1238">
            <v>2.0594941173790335</v>
          </cell>
          <cell r="H1238">
            <v>1.9578</v>
          </cell>
        </row>
        <row r="1239">
          <cell r="B1239">
            <v>37935</v>
          </cell>
          <cell r="C1239">
            <v>37933</v>
          </cell>
          <cell r="D1239">
            <v>1234</v>
          </cell>
          <cell r="E1239">
            <v>15.72</v>
          </cell>
          <cell r="F1239">
            <v>1.738638069627596</v>
          </cell>
          <cell r="G1239">
            <v>2.0606876890045833</v>
          </cell>
          <cell r="H1239">
            <v>1.9578</v>
          </cell>
        </row>
        <row r="1240">
          <cell r="B1240">
            <v>37936</v>
          </cell>
          <cell r="C1240">
            <v>37934</v>
          </cell>
          <cell r="D1240">
            <v>1235</v>
          </cell>
          <cell r="E1240">
            <v>15.72</v>
          </cell>
          <cell r="F1240">
            <v>1.738638069627596</v>
          </cell>
          <cell r="G1240">
            <v>2.0618819523598222</v>
          </cell>
          <cell r="H1240">
            <v>1.9578</v>
          </cell>
        </row>
        <row r="1241">
          <cell r="B1241">
            <v>37937</v>
          </cell>
          <cell r="C1241">
            <v>37935</v>
          </cell>
          <cell r="D1241">
            <v>1236</v>
          </cell>
          <cell r="E1241">
            <v>15.72</v>
          </cell>
          <cell r="F1241">
            <v>1.738638069627596</v>
          </cell>
          <cell r="G1241">
            <v>2.0630769078456392</v>
          </cell>
          <cell r="H1241">
            <v>1.9578</v>
          </cell>
        </row>
        <row r="1242">
          <cell r="B1242">
            <v>37938</v>
          </cell>
          <cell r="C1242">
            <v>37936</v>
          </cell>
          <cell r="D1242">
            <v>1237</v>
          </cell>
          <cell r="E1242">
            <v>15.72</v>
          </cell>
          <cell r="F1242">
            <v>1.738638069627596</v>
          </cell>
          <cell r="G1242">
            <v>2.0642725558631558</v>
          </cell>
          <cell r="H1242">
            <v>1.9578</v>
          </cell>
        </row>
        <row r="1243">
          <cell r="B1243">
            <v>37939</v>
          </cell>
          <cell r="C1243">
            <v>37937</v>
          </cell>
          <cell r="D1243">
            <v>1238</v>
          </cell>
          <cell r="E1243">
            <v>15.72</v>
          </cell>
          <cell r="F1243">
            <v>1.738638069627596</v>
          </cell>
          <cell r="G1243">
            <v>2.065468896813726</v>
          </cell>
          <cell r="H1243">
            <v>1.9578</v>
          </cell>
        </row>
        <row r="1244">
          <cell r="B1244">
            <v>37940</v>
          </cell>
          <cell r="C1244">
            <v>37938</v>
          </cell>
          <cell r="D1244">
            <v>1239</v>
          </cell>
          <cell r="E1244">
            <v>15.72</v>
          </cell>
          <cell r="F1244">
            <v>1.738638069627596</v>
          </cell>
          <cell r="G1244">
            <v>2.0666659310989366</v>
          </cell>
          <cell r="H1244">
            <v>1.9578</v>
          </cell>
        </row>
        <row r="1245">
          <cell r="B1245">
            <v>37941</v>
          </cell>
          <cell r="C1245">
            <v>37939</v>
          </cell>
          <cell r="D1245">
            <v>1240</v>
          </cell>
          <cell r="E1245">
            <v>15.72</v>
          </cell>
          <cell r="F1245">
            <v>1.738638069627596</v>
          </cell>
          <cell r="G1245">
            <v>2.067863659120607</v>
          </cell>
          <cell r="H1245">
            <v>1.9578</v>
          </cell>
        </row>
        <row r="1246">
          <cell r="B1246">
            <v>37942</v>
          </cell>
          <cell r="C1246">
            <v>37940</v>
          </cell>
          <cell r="D1246">
            <v>1241</v>
          </cell>
          <cell r="E1246">
            <v>15.72</v>
          </cell>
          <cell r="F1246">
            <v>1.738638069627596</v>
          </cell>
          <cell r="G1246">
            <v>2.0690620812807889</v>
          </cell>
          <cell r="H1246">
            <v>1.9578</v>
          </cell>
        </row>
        <row r="1247">
          <cell r="B1247">
            <v>37943</v>
          </cell>
          <cell r="C1247">
            <v>37941</v>
          </cell>
          <cell r="D1247">
            <v>1242</v>
          </cell>
          <cell r="E1247">
            <v>15.72</v>
          </cell>
          <cell r="F1247">
            <v>1.738638069627596</v>
          </cell>
          <cell r="G1247">
            <v>2.0702611979817682</v>
          </cell>
          <cell r="H1247">
            <v>1.9578</v>
          </cell>
        </row>
        <row r="1248">
          <cell r="B1248">
            <v>37944</v>
          </cell>
          <cell r="C1248">
            <v>37942</v>
          </cell>
          <cell r="D1248">
            <v>1243</v>
          </cell>
          <cell r="E1248">
            <v>15.72</v>
          </cell>
          <cell r="F1248">
            <v>1.738638069627596</v>
          </cell>
          <cell r="G1248">
            <v>2.0714610096260628</v>
          </cell>
          <cell r="H1248">
            <v>1.9578</v>
          </cell>
        </row>
        <row r="1249">
          <cell r="B1249">
            <v>37945</v>
          </cell>
          <cell r="C1249">
            <v>37943</v>
          </cell>
          <cell r="D1249">
            <v>1244</v>
          </cell>
          <cell r="E1249">
            <v>15.72</v>
          </cell>
          <cell r="F1249">
            <v>1.738638069627596</v>
          </cell>
          <cell r="G1249">
            <v>2.0726615166164244</v>
          </cell>
          <cell r="H1249">
            <v>1.9578</v>
          </cell>
        </row>
        <row r="1250">
          <cell r="B1250">
            <v>37946</v>
          </cell>
          <cell r="C1250">
            <v>37944</v>
          </cell>
          <cell r="D1250">
            <v>1245</v>
          </cell>
          <cell r="E1250">
            <v>15.72</v>
          </cell>
          <cell r="F1250">
            <v>1.738638069627596</v>
          </cell>
          <cell r="G1250">
            <v>2.0738627193558381</v>
          </cell>
          <cell r="H1250">
            <v>1.9578</v>
          </cell>
        </row>
        <row r="1251">
          <cell r="B1251">
            <v>37947</v>
          </cell>
          <cell r="C1251">
            <v>37945</v>
          </cell>
          <cell r="D1251">
            <v>1246</v>
          </cell>
          <cell r="E1251">
            <v>15.72</v>
          </cell>
          <cell r="F1251">
            <v>1.738638069627596</v>
          </cell>
          <cell r="G1251">
            <v>2.0750646182475228</v>
          </cell>
          <cell r="H1251">
            <v>1.9578</v>
          </cell>
        </row>
        <row r="1252">
          <cell r="B1252">
            <v>37948</v>
          </cell>
          <cell r="C1252">
            <v>37946</v>
          </cell>
          <cell r="D1252">
            <v>1247</v>
          </cell>
          <cell r="E1252">
            <v>15.72</v>
          </cell>
          <cell r="F1252">
            <v>1.738638069627596</v>
          </cell>
          <cell r="G1252">
            <v>2.0762672136949303</v>
          </cell>
          <cell r="H1252">
            <v>1.9578</v>
          </cell>
        </row>
        <row r="1253">
          <cell r="B1253">
            <v>37949</v>
          </cell>
          <cell r="C1253">
            <v>37947</v>
          </cell>
          <cell r="D1253">
            <v>1248</v>
          </cell>
          <cell r="E1253">
            <v>15.72</v>
          </cell>
          <cell r="F1253">
            <v>1.738638069627596</v>
          </cell>
          <cell r="G1253">
            <v>2.0774705061017467</v>
          </cell>
          <cell r="H1253">
            <v>1.9578</v>
          </cell>
        </row>
        <row r="1254">
          <cell r="B1254">
            <v>37950</v>
          </cell>
          <cell r="C1254">
            <v>37948</v>
          </cell>
          <cell r="D1254">
            <v>1249</v>
          </cell>
          <cell r="E1254">
            <v>15.72</v>
          </cell>
          <cell r="F1254">
            <v>1.738638069627596</v>
          </cell>
          <cell r="G1254">
            <v>2.0786744958718923</v>
          </cell>
          <cell r="H1254">
            <v>1.9578</v>
          </cell>
        </row>
        <row r="1255">
          <cell r="B1255">
            <v>37951</v>
          </cell>
          <cell r="C1255">
            <v>37949</v>
          </cell>
          <cell r="D1255">
            <v>1250</v>
          </cell>
          <cell r="E1255">
            <v>15.72</v>
          </cell>
          <cell r="F1255">
            <v>1.738638069627596</v>
          </cell>
          <cell r="G1255">
            <v>2.0798791834095214</v>
          </cell>
          <cell r="H1255">
            <v>1.9578</v>
          </cell>
        </row>
        <row r="1256">
          <cell r="B1256">
            <v>37952</v>
          </cell>
          <cell r="C1256">
            <v>37950</v>
          </cell>
          <cell r="D1256">
            <v>1251</v>
          </cell>
          <cell r="E1256">
            <v>15.72</v>
          </cell>
          <cell r="F1256">
            <v>1.738638069627596</v>
          </cell>
          <cell r="G1256">
            <v>2.0810845691190218</v>
          </cell>
          <cell r="H1256">
            <v>1.9578</v>
          </cell>
        </row>
        <row r="1257">
          <cell r="B1257">
            <v>37953</v>
          </cell>
          <cell r="C1257">
            <v>37951</v>
          </cell>
          <cell r="D1257">
            <v>1252</v>
          </cell>
          <cell r="E1257">
            <v>15.72</v>
          </cell>
          <cell r="F1257">
            <v>1.738638069627596</v>
          </cell>
          <cell r="G1257">
            <v>2.0822906534050167</v>
          </cell>
          <cell r="H1257">
            <v>1.9578</v>
          </cell>
        </row>
        <row r="1258">
          <cell r="B1258">
            <v>37954</v>
          </cell>
          <cell r="C1258">
            <v>37952</v>
          </cell>
          <cell r="D1258">
            <v>1253</v>
          </cell>
          <cell r="E1258">
            <v>15.72</v>
          </cell>
          <cell r="F1258">
            <v>1.738638069627596</v>
          </cell>
          <cell r="G1258">
            <v>2.0834974366723631</v>
          </cell>
          <cell r="H1258">
            <v>1.9578</v>
          </cell>
        </row>
        <row r="1259">
          <cell r="B1259">
            <v>37955</v>
          </cell>
          <cell r="C1259">
            <v>37953</v>
          </cell>
          <cell r="D1259">
            <v>1254</v>
          </cell>
          <cell r="E1259">
            <v>15.72</v>
          </cell>
          <cell r="F1259">
            <v>1.738638069627596</v>
          </cell>
          <cell r="G1259">
            <v>2.0847049193261533</v>
          </cell>
          <cell r="H1259">
            <v>1.9578</v>
          </cell>
        </row>
        <row r="1260">
          <cell r="B1260">
            <v>37956</v>
          </cell>
          <cell r="C1260">
            <v>37954</v>
          </cell>
          <cell r="D1260">
            <v>1255</v>
          </cell>
          <cell r="E1260">
            <v>15.72</v>
          </cell>
          <cell r="F1260">
            <v>1.738638069627596</v>
          </cell>
          <cell r="G1260">
            <v>2.0859131017717134</v>
          </cell>
          <cell r="H1260">
            <v>1.9578</v>
          </cell>
        </row>
        <row r="1261">
          <cell r="B1261">
            <v>37957</v>
          </cell>
          <cell r="C1261">
            <v>37955</v>
          </cell>
          <cell r="D1261">
            <v>1256</v>
          </cell>
          <cell r="E1261">
            <v>15.72</v>
          </cell>
          <cell r="F1261">
            <v>1.738638069627596</v>
          </cell>
          <cell r="G1261">
            <v>2.0871219844146052</v>
          </cell>
          <cell r="H1261">
            <v>1.9578</v>
          </cell>
        </row>
        <row r="1262">
          <cell r="B1262">
            <v>37958</v>
          </cell>
          <cell r="C1262">
            <v>37956</v>
          </cell>
          <cell r="D1262">
            <v>1257</v>
          </cell>
          <cell r="E1262">
            <v>15.72</v>
          </cell>
          <cell r="F1262">
            <v>1.738638069627596</v>
          </cell>
          <cell r="G1262">
            <v>2.0883315676606253</v>
          </cell>
          <cell r="H1262">
            <v>1.9578</v>
          </cell>
        </row>
        <row r="1263">
          <cell r="B1263">
            <v>37959</v>
          </cell>
          <cell r="C1263">
            <v>37957</v>
          </cell>
          <cell r="D1263">
            <v>1258</v>
          </cell>
          <cell r="E1263">
            <v>15.72</v>
          </cell>
          <cell r="F1263">
            <v>1.738638069627596</v>
          </cell>
          <cell r="G1263">
            <v>2.0895418519158051</v>
          </cell>
          <cell r="H1263">
            <v>1.9578</v>
          </cell>
        </row>
        <row r="1264">
          <cell r="B1264">
            <v>37960</v>
          </cell>
          <cell r="C1264">
            <v>37958</v>
          </cell>
          <cell r="D1264">
            <v>1259</v>
          </cell>
          <cell r="E1264">
            <v>15.72</v>
          </cell>
          <cell r="F1264">
            <v>1.738638069627596</v>
          </cell>
          <cell r="G1264">
            <v>2.0907528375864119</v>
          </cell>
          <cell r="H1264">
            <v>1.9578</v>
          </cell>
        </row>
        <row r="1265">
          <cell r="B1265">
            <v>37961</v>
          </cell>
          <cell r="C1265">
            <v>37959</v>
          </cell>
          <cell r="D1265">
            <v>1260</v>
          </cell>
          <cell r="E1265">
            <v>15.72</v>
          </cell>
          <cell r="F1265">
            <v>1.738638069627596</v>
          </cell>
          <cell r="G1265">
            <v>2.0919645250789487</v>
          </cell>
          <cell r="H1265">
            <v>1.9578</v>
          </cell>
        </row>
        <row r="1266">
          <cell r="B1266">
            <v>37962</v>
          </cell>
          <cell r="C1266">
            <v>37960</v>
          </cell>
          <cell r="D1266">
            <v>1261</v>
          </cell>
          <cell r="E1266">
            <v>15.72</v>
          </cell>
          <cell r="F1266">
            <v>1.738638069627596</v>
          </cell>
          <cell r="G1266">
            <v>2.0931769148001531</v>
          </cell>
          <cell r="H1266">
            <v>1.9578</v>
          </cell>
        </row>
        <row r="1267">
          <cell r="B1267">
            <v>37963</v>
          </cell>
          <cell r="C1267">
            <v>37961</v>
          </cell>
          <cell r="D1267">
            <v>1262</v>
          </cell>
          <cell r="E1267">
            <v>15.72</v>
          </cell>
          <cell r="F1267">
            <v>1.738638069627596</v>
          </cell>
          <cell r="G1267">
            <v>2.0943900071569987</v>
          </cell>
          <cell r="H1267">
            <v>1.9578</v>
          </cell>
        </row>
        <row r="1268">
          <cell r="B1268">
            <v>37964</v>
          </cell>
          <cell r="C1268">
            <v>37962</v>
          </cell>
          <cell r="D1268">
            <v>1263</v>
          </cell>
          <cell r="E1268">
            <v>15.72</v>
          </cell>
          <cell r="F1268">
            <v>1.738638069627596</v>
          </cell>
          <cell r="G1268">
            <v>2.0956038025566959</v>
          </cell>
          <cell r="H1268">
            <v>1.9578</v>
          </cell>
        </row>
        <row r="1269">
          <cell r="B1269">
            <v>37965</v>
          </cell>
          <cell r="C1269">
            <v>37963</v>
          </cell>
          <cell r="D1269">
            <v>1264</v>
          </cell>
          <cell r="E1269">
            <v>15.72</v>
          </cell>
          <cell r="F1269">
            <v>1.738638069627596</v>
          </cell>
          <cell r="G1269">
            <v>2.0968183014066897</v>
          </cell>
          <cell r="H1269">
            <v>1.9578</v>
          </cell>
        </row>
        <row r="1270">
          <cell r="B1270">
            <v>37966</v>
          </cell>
          <cell r="C1270">
            <v>37964</v>
          </cell>
          <cell r="D1270">
            <v>1265</v>
          </cell>
          <cell r="E1270">
            <v>15.72</v>
          </cell>
          <cell r="F1270">
            <v>1.738638069627596</v>
          </cell>
          <cell r="G1270">
            <v>2.0980335041146621</v>
          </cell>
          <cell r="H1270">
            <v>1.9578</v>
          </cell>
        </row>
        <row r="1271">
          <cell r="B1271">
            <v>37967</v>
          </cell>
          <cell r="C1271">
            <v>37965</v>
          </cell>
          <cell r="D1271">
            <v>1266</v>
          </cell>
          <cell r="E1271">
            <v>15.72</v>
          </cell>
          <cell r="F1271">
            <v>1.738638069627596</v>
          </cell>
          <cell r="G1271">
            <v>2.0992494110885316</v>
          </cell>
          <cell r="H1271">
            <v>1.9578</v>
          </cell>
        </row>
        <row r="1272">
          <cell r="B1272">
            <v>37968</v>
          </cell>
          <cell r="C1272">
            <v>37966</v>
          </cell>
          <cell r="D1272">
            <v>1267</v>
          </cell>
          <cell r="E1272">
            <v>15.72</v>
          </cell>
          <cell r="F1272">
            <v>1.738638069627596</v>
          </cell>
          <cell r="G1272">
            <v>2.1004660227364522</v>
          </cell>
          <cell r="H1272">
            <v>1.9578</v>
          </cell>
        </row>
        <row r="1273">
          <cell r="B1273">
            <v>37969</v>
          </cell>
          <cell r="C1273">
            <v>37967</v>
          </cell>
          <cell r="D1273">
            <v>1268</v>
          </cell>
          <cell r="E1273">
            <v>15.72</v>
          </cell>
          <cell r="F1273">
            <v>1.738638069627596</v>
          </cell>
          <cell r="G1273">
            <v>2.1016833394668151</v>
          </cell>
          <cell r="H1273">
            <v>1.9578</v>
          </cell>
        </row>
        <row r="1274">
          <cell r="B1274">
            <v>37970</v>
          </cell>
          <cell r="C1274">
            <v>37968</v>
          </cell>
          <cell r="D1274">
            <v>1269</v>
          </cell>
          <cell r="E1274">
            <v>15.72</v>
          </cell>
          <cell r="F1274">
            <v>1.738638069627596</v>
          </cell>
          <cell r="G1274">
            <v>2.1029013616882479</v>
          </cell>
          <cell r="H1274">
            <v>1.9578</v>
          </cell>
        </row>
        <row r="1275">
          <cell r="B1275">
            <v>37971</v>
          </cell>
          <cell r="C1275">
            <v>37969</v>
          </cell>
          <cell r="D1275">
            <v>1270</v>
          </cell>
          <cell r="E1275">
            <v>15.72</v>
          </cell>
          <cell r="F1275">
            <v>1.738638069627596</v>
          </cell>
          <cell r="G1275">
            <v>2.1041200898096157</v>
          </cell>
          <cell r="H1275">
            <v>1.9578</v>
          </cell>
        </row>
        <row r="1276">
          <cell r="B1276">
            <v>37972</v>
          </cell>
          <cell r="C1276">
            <v>37970</v>
          </cell>
          <cell r="D1276">
            <v>1271</v>
          </cell>
          <cell r="E1276">
            <v>15.72</v>
          </cell>
          <cell r="F1276">
            <v>1.738638069627596</v>
          </cell>
          <cell r="G1276">
            <v>2.1053395242400197</v>
          </cell>
          <cell r="H1276">
            <v>1.9578</v>
          </cell>
        </row>
        <row r="1277">
          <cell r="B1277">
            <v>37973</v>
          </cell>
          <cell r="C1277">
            <v>37971</v>
          </cell>
          <cell r="D1277">
            <v>1272</v>
          </cell>
          <cell r="E1277">
            <v>15.72</v>
          </cell>
          <cell r="F1277">
            <v>1.738638069627596</v>
          </cell>
          <cell r="G1277">
            <v>2.1065596653887981</v>
          </cell>
          <cell r="H1277">
            <v>1.9578</v>
          </cell>
        </row>
        <row r="1278">
          <cell r="B1278">
            <v>37974</v>
          </cell>
          <cell r="C1278">
            <v>37972</v>
          </cell>
          <cell r="D1278">
            <v>1273</v>
          </cell>
          <cell r="E1278">
            <v>15.72</v>
          </cell>
          <cell r="F1278">
            <v>1.738638069627596</v>
          </cell>
          <cell r="G1278">
            <v>2.107780513665527</v>
          </cell>
          <cell r="H1278">
            <v>1.9578</v>
          </cell>
        </row>
        <row r="1279">
          <cell r="B1279">
            <v>37975</v>
          </cell>
          <cell r="C1279">
            <v>37973</v>
          </cell>
          <cell r="D1279">
            <v>1274</v>
          </cell>
          <cell r="E1279">
            <v>15.72</v>
          </cell>
          <cell r="F1279">
            <v>1.738638069627596</v>
          </cell>
          <cell r="G1279">
            <v>2.1090020694800198</v>
          </cell>
          <cell r="H1279">
            <v>1.9578</v>
          </cell>
        </row>
        <row r="1280">
          <cell r="B1280">
            <v>37976</v>
          </cell>
          <cell r="C1280">
            <v>37974</v>
          </cell>
          <cell r="D1280">
            <v>1275</v>
          </cell>
          <cell r="E1280">
            <v>15.72</v>
          </cell>
          <cell r="F1280">
            <v>1.738638069627596</v>
          </cell>
          <cell r="G1280">
            <v>2.1102243332423267</v>
          </cell>
          <cell r="H1280">
            <v>1.9578</v>
          </cell>
        </row>
        <row r="1281">
          <cell r="B1281">
            <v>37977</v>
          </cell>
          <cell r="C1281">
            <v>37975</v>
          </cell>
          <cell r="D1281">
            <v>1276</v>
          </cell>
          <cell r="E1281">
            <v>15.72</v>
          </cell>
          <cell r="F1281">
            <v>1.738638069627596</v>
          </cell>
          <cell r="G1281">
            <v>2.1114473053627365</v>
          </cell>
          <cell r="H1281">
            <v>1.9578</v>
          </cell>
        </row>
        <row r="1282">
          <cell r="B1282">
            <v>37978</v>
          </cell>
          <cell r="C1282">
            <v>37976</v>
          </cell>
          <cell r="D1282">
            <v>1277</v>
          </cell>
          <cell r="E1282">
            <v>15.72</v>
          </cell>
          <cell r="F1282">
            <v>1.738638069627596</v>
          </cell>
          <cell r="G1282">
            <v>2.1126709862517754</v>
          </cell>
          <cell r="H1282">
            <v>1.9578</v>
          </cell>
        </row>
        <row r="1283">
          <cell r="B1283">
            <v>37979</v>
          </cell>
          <cell r="C1283">
            <v>37977</v>
          </cell>
          <cell r="D1283">
            <v>1278</v>
          </cell>
          <cell r="E1283">
            <v>15.72</v>
          </cell>
          <cell r="F1283">
            <v>1.738638069627596</v>
          </cell>
          <cell r="G1283">
            <v>2.1138953763202073</v>
          </cell>
          <cell r="H1283">
            <v>1.9578</v>
          </cell>
        </row>
        <row r="1284">
          <cell r="B1284">
            <v>37980</v>
          </cell>
          <cell r="C1284">
            <v>37978</v>
          </cell>
          <cell r="D1284">
            <v>1279</v>
          </cell>
          <cell r="E1284">
            <v>15.72</v>
          </cell>
          <cell r="F1284">
            <v>1.738638069627596</v>
          </cell>
          <cell r="G1284">
            <v>2.1151204759790341</v>
          </cell>
          <cell r="H1284">
            <v>1.9578</v>
          </cell>
        </row>
        <row r="1285">
          <cell r="B1285">
            <v>37981</v>
          </cell>
          <cell r="C1285">
            <v>37979</v>
          </cell>
          <cell r="D1285">
            <v>1280</v>
          </cell>
          <cell r="E1285">
            <v>15.72</v>
          </cell>
          <cell r="F1285">
            <v>1.738638069627596</v>
          </cell>
          <cell r="G1285">
            <v>2.1163462856394961</v>
          </cell>
          <cell r="H1285">
            <v>1.9578</v>
          </cell>
        </row>
        <row r="1286">
          <cell r="B1286">
            <v>37982</v>
          </cell>
          <cell r="C1286">
            <v>37980</v>
          </cell>
          <cell r="D1286">
            <v>1281</v>
          </cell>
          <cell r="E1286">
            <v>15.72</v>
          </cell>
          <cell r="F1286">
            <v>1.738638069627596</v>
          </cell>
          <cell r="G1286">
            <v>2.1175728057130718</v>
          </cell>
          <cell r="H1286">
            <v>1.9578</v>
          </cell>
        </row>
        <row r="1287">
          <cell r="B1287">
            <v>37983</v>
          </cell>
          <cell r="C1287">
            <v>37981</v>
          </cell>
          <cell r="D1287">
            <v>1282</v>
          </cell>
          <cell r="E1287">
            <v>15.72</v>
          </cell>
          <cell r="F1287">
            <v>1.738638069627596</v>
          </cell>
          <cell r="G1287">
            <v>2.118800036611479</v>
          </cell>
          <cell r="H1287">
            <v>1.9578</v>
          </cell>
        </row>
        <row r="1288">
          <cell r="B1288">
            <v>37984</v>
          </cell>
          <cell r="C1288">
            <v>37982</v>
          </cell>
          <cell r="D1288">
            <v>1283</v>
          </cell>
          <cell r="E1288">
            <v>15.72</v>
          </cell>
          <cell r="F1288">
            <v>1.738638069627596</v>
          </cell>
          <cell r="G1288">
            <v>2.1200279787466725</v>
          </cell>
          <cell r="H1288">
            <v>1.9578</v>
          </cell>
        </row>
        <row r="1289">
          <cell r="B1289">
            <v>37985</v>
          </cell>
          <cell r="C1289">
            <v>37983</v>
          </cell>
          <cell r="D1289">
            <v>1284</v>
          </cell>
          <cell r="E1289">
            <v>15.72</v>
          </cell>
          <cell r="F1289">
            <v>1.738638069627596</v>
          </cell>
          <cell r="G1289">
            <v>2.1212566325308475</v>
          </cell>
          <cell r="H1289">
            <v>1.9578</v>
          </cell>
        </row>
        <row r="1290">
          <cell r="B1290">
            <v>37986</v>
          </cell>
          <cell r="C1290">
            <v>37984</v>
          </cell>
          <cell r="D1290">
            <v>1285</v>
          </cell>
          <cell r="E1290">
            <v>15.72</v>
          </cell>
          <cell r="F1290">
            <v>1.738638069627596</v>
          </cell>
          <cell r="G1290">
            <v>2.1224859983764368</v>
          </cell>
          <cell r="H1290">
            <v>1.9578</v>
          </cell>
        </row>
        <row r="1291">
          <cell r="B1291">
            <v>37987</v>
          </cell>
          <cell r="C1291">
            <v>37985</v>
          </cell>
          <cell r="D1291">
            <v>1286</v>
          </cell>
          <cell r="E1291">
            <v>15.72</v>
          </cell>
          <cell r="F1291">
            <v>1.738638069627596</v>
          </cell>
          <cell r="G1291">
            <v>2.123716076696113</v>
          </cell>
          <cell r="H1291">
            <v>1.9578</v>
          </cell>
        </row>
        <row r="1292">
          <cell r="B1292">
            <v>37988</v>
          </cell>
          <cell r="C1292">
            <v>37986</v>
          </cell>
          <cell r="D1292">
            <v>1287</v>
          </cell>
          <cell r="E1292">
            <v>15.72</v>
          </cell>
          <cell r="F1292">
            <v>1.738638069627596</v>
          </cell>
          <cell r="G1292">
            <v>2.1249468679027874</v>
          </cell>
          <cell r="H1292">
            <v>1.9578</v>
          </cell>
        </row>
        <row r="1293">
          <cell r="B1293">
            <v>37989</v>
          </cell>
          <cell r="C1293">
            <v>37987</v>
          </cell>
          <cell r="D1293">
            <v>1288</v>
          </cell>
          <cell r="E1293">
            <v>15.72</v>
          </cell>
          <cell r="F1293">
            <v>1.738638069627596</v>
          </cell>
          <cell r="G1293">
            <v>2.1261783724096115</v>
          </cell>
          <cell r="H1293">
            <v>1.9578</v>
          </cell>
        </row>
        <row r="1294">
          <cell r="B1294">
            <v>37990</v>
          </cell>
          <cell r="C1294">
            <v>37988</v>
          </cell>
          <cell r="D1294">
            <v>1289</v>
          </cell>
          <cell r="E1294">
            <v>15.72</v>
          </cell>
          <cell r="F1294">
            <v>1.738638069627596</v>
          </cell>
          <cell r="G1294">
            <v>2.127410590629975</v>
          </cell>
          <cell r="H1294">
            <v>1.9578</v>
          </cell>
        </row>
        <row r="1295">
          <cell r="B1295">
            <v>37991</v>
          </cell>
          <cell r="C1295">
            <v>37989</v>
          </cell>
          <cell r="D1295">
            <v>1290</v>
          </cell>
          <cell r="E1295">
            <v>15.72</v>
          </cell>
          <cell r="F1295">
            <v>1.738638069627596</v>
          </cell>
          <cell r="G1295">
            <v>2.1286435229775078</v>
          </cell>
          <cell r="H1295">
            <v>1.9578</v>
          </cell>
        </row>
        <row r="1296">
          <cell r="B1296">
            <v>37992</v>
          </cell>
          <cell r="C1296">
            <v>37990</v>
          </cell>
          <cell r="D1296">
            <v>1291</v>
          </cell>
          <cell r="E1296">
            <v>15.72</v>
          </cell>
          <cell r="F1296">
            <v>1.738638069627596</v>
          </cell>
          <cell r="G1296">
            <v>2.1298771698660794</v>
          </cell>
          <cell r="H1296">
            <v>1.9578</v>
          </cell>
        </row>
        <row r="1297">
          <cell r="B1297">
            <v>37993</v>
          </cell>
          <cell r="C1297">
            <v>37991</v>
          </cell>
          <cell r="D1297">
            <v>1292</v>
          </cell>
          <cell r="E1297">
            <v>15.72</v>
          </cell>
          <cell r="F1297">
            <v>1.738638069627596</v>
          </cell>
          <cell r="G1297">
            <v>2.1311115317097995</v>
          </cell>
          <cell r="H1297">
            <v>1.9578</v>
          </cell>
        </row>
        <row r="1298">
          <cell r="B1298">
            <v>37994</v>
          </cell>
          <cell r="C1298">
            <v>37992</v>
          </cell>
          <cell r="D1298">
            <v>1293</v>
          </cell>
          <cell r="E1298">
            <v>15.72</v>
          </cell>
          <cell r="F1298">
            <v>1.738638069627596</v>
          </cell>
          <cell r="G1298">
            <v>2.132346608923017</v>
          </cell>
          <cell r="H1298">
            <v>1.9578</v>
          </cell>
        </row>
        <row r="1299">
          <cell r="B1299">
            <v>37995</v>
          </cell>
          <cell r="C1299">
            <v>37993</v>
          </cell>
          <cell r="D1299">
            <v>1294</v>
          </cell>
          <cell r="E1299">
            <v>15.72</v>
          </cell>
          <cell r="F1299">
            <v>1.738638069627596</v>
          </cell>
          <cell r="G1299">
            <v>2.133582401920322</v>
          </cell>
          <cell r="H1299">
            <v>1.9578</v>
          </cell>
        </row>
        <row r="1300">
          <cell r="B1300">
            <v>37996</v>
          </cell>
          <cell r="C1300">
            <v>37994</v>
          </cell>
          <cell r="D1300">
            <v>1295</v>
          </cell>
          <cell r="E1300">
            <v>15.72</v>
          </cell>
          <cell r="F1300">
            <v>1.738638069627596</v>
          </cell>
          <cell r="G1300">
            <v>2.1348189111165441</v>
          </cell>
          <cell r="H1300">
            <v>1.9578</v>
          </cell>
        </row>
        <row r="1301">
          <cell r="B1301">
            <v>37997</v>
          </cell>
          <cell r="C1301">
            <v>37995</v>
          </cell>
          <cell r="D1301">
            <v>1296</v>
          </cell>
          <cell r="E1301">
            <v>15.72</v>
          </cell>
          <cell r="F1301">
            <v>1.738638069627596</v>
          </cell>
          <cell r="G1301">
            <v>2.1360561369267534</v>
          </cell>
          <cell r="H1301">
            <v>1.9578</v>
          </cell>
        </row>
        <row r="1302">
          <cell r="B1302">
            <v>37998</v>
          </cell>
          <cell r="C1302">
            <v>37996</v>
          </cell>
          <cell r="D1302">
            <v>1297</v>
          </cell>
          <cell r="E1302">
            <v>15.72</v>
          </cell>
          <cell r="F1302">
            <v>1.738638069627596</v>
          </cell>
          <cell r="G1302">
            <v>2.137294079766261</v>
          </cell>
          <cell r="H1302">
            <v>1.9578</v>
          </cell>
        </row>
        <row r="1303">
          <cell r="B1303">
            <v>37999</v>
          </cell>
          <cell r="C1303">
            <v>37997</v>
          </cell>
          <cell r="D1303">
            <v>1298</v>
          </cell>
          <cell r="E1303">
            <v>15.72</v>
          </cell>
          <cell r="F1303">
            <v>1.738638069627596</v>
          </cell>
          <cell r="G1303">
            <v>2.1385327400506182</v>
          </cell>
          <cell r="H1303">
            <v>1.9578</v>
          </cell>
        </row>
        <row r="1304">
          <cell r="B1304">
            <v>38000</v>
          </cell>
          <cell r="C1304">
            <v>37998</v>
          </cell>
          <cell r="D1304">
            <v>1299</v>
          </cell>
          <cell r="E1304">
            <v>15.72</v>
          </cell>
          <cell r="F1304">
            <v>1.738638069627596</v>
          </cell>
          <cell r="G1304">
            <v>2.1397721181956171</v>
          </cell>
          <cell r="H1304">
            <v>1.9578</v>
          </cell>
        </row>
        <row r="1305">
          <cell r="B1305">
            <v>38001</v>
          </cell>
          <cell r="C1305">
            <v>37999</v>
          </cell>
          <cell r="D1305">
            <v>1300</v>
          </cell>
          <cell r="E1305">
            <v>15.72</v>
          </cell>
          <cell r="F1305">
            <v>1.738638069627596</v>
          </cell>
          <cell r="G1305">
            <v>2.1410122146172914</v>
          </cell>
          <cell r="H1305">
            <v>1.9578</v>
          </cell>
        </row>
        <row r="1306">
          <cell r="B1306">
            <v>38002</v>
          </cell>
          <cell r="C1306">
            <v>38000</v>
          </cell>
          <cell r="D1306">
            <v>1301</v>
          </cell>
          <cell r="E1306">
            <v>15.72</v>
          </cell>
          <cell r="F1306">
            <v>1.738638069627596</v>
          </cell>
          <cell r="G1306">
            <v>2.1422530297319153</v>
          </cell>
          <cell r="H1306">
            <v>1.9578</v>
          </cell>
        </row>
        <row r="1307">
          <cell r="B1307">
            <v>38003</v>
          </cell>
          <cell r="C1307">
            <v>38001</v>
          </cell>
          <cell r="D1307">
            <v>1302</v>
          </cell>
          <cell r="E1307">
            <v>15.72</v>
          </cell>
          <cell r="F1307">
            <v>1.738638069627596</v>
          </cell>
          <cell r="G1307">
            <v>2.1434945639560041</v>
          </cell>
          <cell r="H1307">
            <v>1.9578</v>
          </cell>
        </row>
        <row r="1308">
          <cell r="B1308">
            <v>38004</v>
          </cell>
          <cell r="C1308">
            <v>38002</v>
          </cell>
          <cell r="D1308">
            <v>1303</v>
          </cell>
          <cell r="E1308">
            <v>15.72</v>
          </cell>
          <cell r="F1308">
            <v>1.738638069627596</v>
          </cell>
          <cell r="G1308">
            <v>2.1447368177063155</v>
          </cell>
          <cell r="H1308">
            <v>1.9578</v>
          </cell>
        </row>
        <row r="1309">
          <cell r="B1309">
            <v>38005</v>
          </cell>
          <cell r="C1309">
            <v>38003</v>
          </cell>
          <cell r="D1309">
            <v>1304</v>
          </cell>
          <cell r="E1309">
            <v>15.72</v>
          </cell>
          <cell r="F1309">
            <v>1.738638069627596</v>
          </cell>
          <cell r="G1309">
            <v>2.1459797913998475</v>
          </cell>
          <cell r="H1309">
            <v>1.9578</v>
          </cell>
        </row>
        <row r="1310">
          <cell r="B1310">
            <v>38006</v>
          </cell>
          <cell r="C1310">
            <v>38004</v>
          </cell>
          <cell r="D1310">
            <v>1305</v>
          </cell>
          <cell r="E1310">
            <v>15.72</v>
          </cell>
          <cell r="F1310">
            <v>1.738638069627596</v>
          </cell>
          <cell r="G1310">
            <v>2.1472234854538406</v>
          </cell>
          <cell r="H1310">
            <v>1.9578</v>
          </cell>
        </row>
        <row r="1311">
          <cell r="B1311">
            <v>38007</v>
          </cell>
          <cell r="C1311">
            <v>38005</v>
          </cell>
          <cell r="D1311">
            <v>1306</v>
          </cell>
          <cell r="E1311">
            <v>15.72</v>
          </cell>
          <cell r="F1311">
            <v>1.738638069627596</v>
          </cell>
          <cell r="G1311">
            <v>2.1484679002857767</v>
          </cell>
          <cell r="H1311">
            <v>1.9578</v>
          </cell>
        </row>
        <row r="1312">
          <cell r="B1312">
            <v>38008</v>
          </cell>
          <cell r="C1312">
            <v>38006</v>
          </cell>
          <cell r="D1312">
            <v>1307</v>
          </cell>
          <cell r="E1312">
            <v>15.72</v>
          </cell>
          <cell r="F1312">
            <v>1.738638069627596</v>
          </cell>
          <cell r="G1312">
            <v>2.1497130363133801</v>
          </cell>
          <cell r="H1312">
            <v>1.9578</v>
          </cell>
        </row>
        <row r="1313">
          <cell r="B1313">
            <v>38009</v>
          </cell>
          <cell r="C1313">
            <v>38007</v>
          </cell>
          <cell r="D1313">
            <v>1308</v>
          </cell>
          <cell r="E1313">
            <v>15.72</v>
          </cell>
          <cell r="F1313">
            <v>1.738638069627596</v>
          </cell>
          <cell r="G1313">
            <v>2.1509588939546163</v>
          </cell>
          <cell r="H1313">
            <v>1.9578</v>
          </cell>
        </row>
        <row r="1314">
          <cell r="B1314">
            <v>38010</v>
          </cell>
          <cell r="C1314">
            <v>38008</v>
          </cell>
          <cell r="D1314">
            <v>1309</v>
          </cell>
          <cell r="E1314">
            <v>15.72</v>
          </cell>
          <cell r="F1314">
            <v>1.738638069627596</v>
          </cell>
          <cell r="G1314">
            <v>2.1522054736276943</v>
          </cell>
          <cell r="H1314">
            <v>1.9578</v>
          </cell>
        </row>
        <row r="1315">
          <cell r="B1315">
            <v>38011</v>
          </cell>
          <cell r="C1315">
            <v>38009</v>
          </cell>
          <cell r="D1315">
            <v>1310</v>
          </cell>
          <cell r="E1315">
            <v>15.72</v>
          </cell>
          <cell r="F1315">
            <v>1.738638069627596</v>
          </cell>
          <cell r="G1315">
            <v>2.1534527757510644</v>
          </cell>
          <cell r="H1315">
            <v>1.9578</v>
          </cell>
        </row>
        <row r="1316">
          <cell r="B1316">
            <v>38012</v>
          </cell>
          <cell r="C1316">
            <v>38010</v>
          </cell>
          <cell r="D1316">
            <v>1311</v>
          </cell>
          <cell r="E1316">
            <v>15.72</v>
          </cell>
          <cell r="F1316">
            <v>1.738638069627596</v>
          </cell>
          <cell r="G1316">
            <v>2.1547008007434196</v>
          </cell>
          <cell r="H1316">
            <v>1.9578</v>
          </cell>
        </row>
        <row r="1317">
          <cell r="B1317">
            <v>38013</v>
          </cell>
          <cell r="C1317">
            <v>38011</v>
          </cell>
          <cell r="D1317">
            <v>1312</v>
          </cell>
          <cell r="E1317">
            <v>15.72</v>
          </cell>
          <cell r="F1317">
            <v>1.738638069627596</v>
          </cell>
          <cell r="G1317">
            <v>2.155949549023696</v>
          </cell>
          <cell r="H1317">
            <v>1.9578</v>
          </cell>
        </row>
        <row r="1318">
          <cell r="B1318">
            <v>38014</v>
          </cell>
          <cell r="C1318">
            <v>38012</v>
          </cell>
          <cell r="D1318">
            <v>1313</v>
          </cell>
          <cell r="E1318">
            <v>15.72</v>
          </cell>
          <cell r="F1318">
            <v>1.738638069627596</v>
          </cell>
          <cell r="G1318">
            <v>2.1571990210110723</v>
          </cell>
          <cell r="H1318">
            <v>1.9578</v>
          </cell>
        </row>
        <row r="1319">
          <cell r="B1319">
            <v>38015</v>
          </cell>
          <cell r="C1319">
            <v>38013</v>
          </cell>
          <cell r="D1319">
            <v>1314</v>
          </cell>
          <cell r="E1319">
            <v>15.72</v>
          </cell>
          <cell r="F1319">
            <v>1.738638069627596</v>
          </cell>
          <cell r="G1319">
            <v>2.1584492171249701</v>
          </cell>
          <cell r="H1319">
            <v>1.9578</v>
          </cell>
        </row>
        <row r="1320">
          <cell r="B1320">
            <v>38016</v>
          </cell>
          <cell r="C1320">
            <v>38014</v>
          </cell>
          <cell r="D1320">
            <v>1315</v>
          </cell>
          <cell r="E1320">
            <v>15.72</v>
          </cell>
          <cell r="F1320">
            <v>1.738638069627596</v>
          </cell>
          <cell r="G1320">
            <v>2.159700137785054</v>
          </cell>
          <cell r="H1320">
            <v>1.9578</v>
          </cell>
        </row>
        <row r="1321">
          <cell r="B1321">
            <v>38017</v>
          </cell>
          <cell r="C1321">
            <v>38015</v>
          </cell>
          <cell r="D1321">
            <v>1316</v>
          </cell>
          <cell r="E1321">
            <v>15.72</v>
          </cell>
          <cell r="F1321">
            <v>1.738638069627596</v>
          </cell>
          <cell r="G1321">
            <v>2.1609517834112317</v>
          </cell>
          <cell r="H1321">
            <v>1.9578</v>
          </cell>
        </row>
        <row r="1322">
          <cell r="B1322">
            <v>38018</v>
          </cell>
          <cell r="C1322">
            <v>38016</v>
          </cell>
          <cell r="D1322">
            <v>1317</v>
          </cell>
          <cell r="E1322">
            <v>15.72</v>
          </cell>
          <cell r="F1322">
            <v>1.738638069627596</v>
          </cell>
          <cell r="G1322">
            <v>2.1622041544236543</v>
          </cell>
          <cell r="H1322">
            <v>1.9578</v>
          </cell>
        </row>
        <row r="1323">
          <cell r="B1323">
            <v>38019</v>
          </cell>
          <cell r="C1323">
            <v>38017</v>
          </cell>
          <cell r="D1323">
            <v>1318</v>
          </cell>
          <cell r="E1323">
            <v>15.72</v>
          </cell>
          <cell r="F1323">
            <v>1.738638069627596</v>
          </cell>
          <cell r="G1323">
            <v>2.163457251242717</v>
          </cell>
          <cell r="H1323">
            <v>1.9578</v>
          </cell>
        </row>
        <row r="1324">
          <cell r="B1324">
            <v>38020</v>
          </cell>
          <cell r="C1324">
            <v>38018</v>
          </cell>
          <cell r="D1324">
            <v>1319</v>
          </cell>
          <cell r="E1324">
            <v>15.72</v>
          </cell>
          <cell r="F1324">
            <v>1.738638069627596</v>
          </cell>
          <cell r="G1324">
            <v>2.1647110742890581</v>
          </cell>
          <cell r="H1324">
            <v>1.9578</v>
          </cell>
        </row>
        <row r="1325">
          <cell r="B1325">
            <v>38021</v>
          </cell>
          <cell r="C1325">
            <v>38019</v>
          </cell>
          <cell r="D1325">
            <v>1320</v>
          </cell>
          <cell r="E1325">
            <v>15.72</v>
          </cell>
          <cell r="F1325">
            <v>1.738638069627596</v>
          </cell>
          <cell r="G1325">
            <v>2.1659656239835594</v>
          </cell>
          <cell r="H1325">
            <v>1.9578</v>
          </cell>
        </row>
        <row r="1326">
          <cell r="B1326">
            <v>38022</v>
          </cell>
          <cell r="C1326">
            <v>38020</v>
          </cell>
          <cell r="D1326">
            <v>1321</v>
          </cell>
          <cell r="E1326">
            <v>15.72</v>
          </cell>
          <cell r="F1326">
            <v>1.738638069627596</v>
          </cell>
          <cell r="G1326">
            <v>2.1672209007473469</v>
          </cell>
          <cell r="H1326">
            <v>1.9578</v>
          </cell>
        </row>
        <row r="1327">
          <cell r="B1327">
            <v>38023</v>
          </cell>
          <cell r="C1327">
            <v>38021</v>
          </cell>
          <cell r="D1327">
            <v>1322</v>
          </cell>
          <cell r="E1327">
            <v>15.72</v>
          </cell>
          <cell r="F1327">
            <v>1.738638069627596</v>
          </cell>
          <cell r="G1327">
            <v>2.1684769050017909</v>
          </cell>
          <cell r="H1327">
            <v>1.9578</v>
          </cell>
        </row>
        <row r="1328">
          <cell r="B1328">
            <v>38024</v>
          </cell>
          <cell r="C1328">
            <v>38022</v>
          </cell>
          <cell r="D1328">
            <v>1323</v>
          </cell>
          <cell r="E1328">
            <v>15.72</v>
          </cell>
          <cell r="F1328">
            <v>1.738638069627596</v>
          </cell>
          <cell r="G1328">
            <v>2.1697336371685059</v>
          </cell>
          <cell r="H1328">
            <v>1.9578</v>
          </cell>
        </row>
        <row r="1329">
          <cell r="B1329">
            <v>38025</v>
          </cell>
          <cell r="C1329">
            <v>38023</v>
          </cell>
          <cell r="D1329">
            <v>1324</v>
          </cell>
          <cell r="E1329">
            <v>15.72</v>
          </cell>
          <cell r="F1329">
            <v>1.738638069627596</v>
          </cell>
          <cell r="G1329">
            <v>2.1709910976693503</v>
          </cell>
          <cell r="H1329">
            <v>1.9578</v>
          </cell>
        </row>
        <row r="1330">
          <cell r="B1330">
            <v>38026</v>
          </cell>
          <cell r="C1330">
            <v>38024</v>
          </cell>
          <cell r="D1330">
            <v>1325</v>
          </cell>
          <cell r="E1330">
            <v>15.72</v>
          </cell>
          <cell r="F1330">
            <v>1.738638069627596</v>
          </cell>
          <cell r="G1330">
            <v>2.1722492869264269</v>
          </cell>
          <cell r="H1330">
            <v>1.9578</v>
          </cell>
        </row>
        <row r="1331">
          <cell r="B1331">
            <v>38027</v>
          </cell>
          <cell r="C1331">
            <v>38025</v>
          </cell>
          <cell r="D1331">
            <v>1326</v>
          </cell>
          <cell r="E1331">
            <v>15.72</v>
          </cell>
          <cell r="F1331">
            <v>1.738638069627596</v>
          </cell>
          <cell r="G1331">
            <v>2.1735082053620842</v>
          </cell>
          <cell r="H1331">
            <v>1.9578</v>
          </cell>
        </row>
        <row r="1332">
          <cell r="B1332">
            <v>38028</v>
          </cell>
          <cell r="C1332">
            <v>38026</v>
          </cell>
          <cell r="D1332">
            <v>1327</v>
          </cell>
          <cell r="E1332">
            <v>15.72</v>
          </cell>
          <cell r="F1332">
            <v>1.738638069627596</v>
          </cell>
          <cell r="G1332">
            <v>2.1747678533989143</v>
          </cell>
          <cell r="H1332">
            <v>1.9578</v>
          </cell>
        </row>
        <row r="1333">
          <cell r="B1333">
            <v>38029</v>
          </cell>
          <cell r="C1333">
            <v>38027</v>
          </cell>
          <cell r="D1333">
            <v>1328</v>
          </cell>
          <cell r="E1333">
            <v>15.72</v>
          </cell>
          <cell r="F1333">
            <v>1.738638069627596</v>
          </cell>
          <cell r="G1333">
            <v>2.176028231459755</v>
          </cell>
          <cell r="H1333">
            <v>1.9578</v>
          </cell>
        </row>
        <row r="1334">
          <cell r="B1334">
            <v>38030</v>
          </cell>
          <cell r="C1334">
            <v>38028</v>
          </cell>
          <cell r="D1334">
            <v>1329</v>
          </cell>
          <cell r="E1334">
            <v>15.72</v>
          </cell>
          <cell r="F1334">
            <v>1.738638069627596</v>
          </cell>
          <cell r="G1334">
            <v>2.1772893399676883</v>
          </cell>
          <cell r="H1334">
            <v>1.9578</v>
          </cell>
        </row>
        <row r="1335">
          <cell r="B1335">
            <v>38031</v>
          </cell>
          <cell r="C1335">
            <v>38029</v>
          </cell>
          <cell r="D1335">
            <v>1330</v>
          </cell>
          <cell r="E1335">
            <v>15.72</v>
          </cell>
          <cell r="F1335">
            <v>1.738638069627596</v>
          </cell>
          <cell r="G1335">
            <v>2.1785511793460421</v>
          </cell>
          <cell r="H1335">
            <v>1.9578</v>
          </cell>
        </row>
        <row r="1336">
          <cell r="B1336">
            <v>38032</v>
          </cell>
          <cell r="C1336">
            <v>38030</v>
          </cell>
          <cell r="D1336">
            <v>1331</v>
          </cell>
          <cell r="E1336">
            <v>15.72</v>
          </cell>
          <cell r="F1336">
            <v>1.738638069627596</v>
          </cell>
          <cell r="G1336">
            <v>2.1798137500183898</v>
          </cell>
          <cell r="H1336">
            <v>1.9578</v>
          </cell>
        </row>
        <row r="1337">
          <cell r="B1337">
            <v>38033</v>
          </cell>
          <cell r="C1337">
            <v>38031</v>
          </cell>
          <cell r="D1337">
            <v>1332</v>
          </cell>
          <cell r="E1337">
            <v>15.72</v>
          </cell>
          <cell r="F1337">
            <v>1.738638069627596</v>
          </cell>
          <cell r="G1337">
            <v>2.1810770524085497</v>
          </cell>
          <cell r="H1337">
            <v>1.9578</v>
          </cell>
        </row>
        <row r="1338">
          <cell r="B1338">
            <v>38034</v>
          </cell>
          <cell r="C1338">
            <v>38032</v>
          </cell>
          <cell r="D1338">
            <v>1333</v>
          </cell>
          <cell r="E1338">
            <v>15.72</v>
          </cell>
          <cell r="F1338">
            <v>1.738638069627596</v>
          </cell>
          <cell r="G1338">
            <v>2.1823410869405859</v>
          </cell>
          <cell r="H1338">
            <v>1.9578</v>
          </cell>
        </row>
        <row r="1339">
          <cell r="B1339">
            <v>38035</v>
          </cell>
          <cell r="C1339">
            <v>38033</v>
          </cell>
          <cell r="D1339">
            <v>1334</v>
          </cell>
          <cell r="E1339">
            <v>15.72</v>
          </cell>
          <cell r="F1339">
            <v>1.738638069627596</v>
          </cell>
          <cell r="G1339">
            <v>2.1836058540388086</v>
          </cell>
          <cell r="H1339">
            <v>1.9578</v>
          </cell>
        </row>
        <row r="1340">
          <cell r="B1340">
            <v>38036</v>
          </cell>
          <cell r="C1340">
            <v>38034</v>
          </cell>
          <cell r="D1340">
            <v>1335</v>
          </cell>
          <cell r="E1340">
            <v>15.72</v>
          </cell>
          <cell r="F1340">
            <v>1.738638069627596</v>
          </cell>
          <cell r="G1340">
            <v>2.1848713541277731</v>
          </cell>
          <cell r="H1340">
            <v>1.9578</v>
          </cell>
        </row>
        <row r="1341">
          <cell r="B1341">
            <v>38037</v>
          </cell>
          <cell r="C1341">
            <v>38035</v>
          </cell>
          <cell r="D1341">
            <v>1336</v>
          </cell>
          <cell r="E1341">
            <v>15.72</v>
          </cell>
          <cell r="F1341">
            <v>1.738638069627596</v>
          </cell>
          <cell r="G1341">
            <v>2.1861375876322815</v>
          </cell>
          <cell r="H1341">
            <v>1.9578</v>
          </cell>
        </row>
        <row r="1342">
          <cell r="B1342">
            <v>38038</v>
          </cell>
          <cell r="C1342">
            <v>38036</v>
          </cell>
          <cell r="D1342">
            <v>1337</v>
          </cell>
          <cell r="E1342">
            <v>15.72</v>
          </cell>
          <cell r="F1342">
            <v>1.738638069627596</v>
          </cell>
          <cell r="G1342">
            <v>2.1874045549773817</v>
          </cell>
          <cell r="H1342">
            <v>1.9578</v>
          </cell>
        </row>
        <row r="1343">
          <cell r="B1343">
            <v>38039</v>
          </cell>
          <cell r="C1343">
            <v>38037</v>
          </cell>
          <cell r="D1343">
            <v>1338</v>
          </cell>
          <cell r="E1343">
            <v>15.72</v>
          </cell>
          <cell r="F1343">
            <v>1.738638069627596</v>
          </cell>
          <cell r="G1343">
            <v>2.1886722565883687</v>
          </cell>
          <cell r="H1343">
            <v>1.9578</v>
          </cell>
        </row>
        <row r="1344">
          <cell r="B1344">
            <v>38040</v>
          </cell>
          <cell r="C1344">
            <v>38038</v>
          </cell>
          <cell r="D1344">
            <v>1339</v>
          </cell>
          <cell r="E1344">
            <v>15.72</v>
          </cell>
          <cell r="F1344">
            <v>1.738638069627596</v>
          </cell>
          <cell r="G1344">
            <v>2.189940692890783</v>
          </cell>
          <cell r="H1344">
            <v>1.9578</v>
          </cell>
        </row>
        <row r="1345">
          <cell r="B1345">
            <v>38041</v>
          </cell>
          <cell r="C1345">
            <v>38039</v>
          </cell>
          <cell r="D1345">
            <v>1340</v>
          </cell>
          <cell r="E1345">
            <v>15.72</v>
          </cell>
          <cell r="F1345">
            <v>1.738638069627596</v>
          </cell>
          <cell r="G1345">
            <v>2.1912098643104119</v>
          </cell>
          <cell r="H1345">
            <v>1.9578</v>
          </cell>
        </row>
        <row r="1346">
          <cell r="B1346">
            <v>38042</v>
          </cell>
          <cell r="C1346">
            <v>38040</v>
          </cell>
          <cell r="D1346">
            <v>1341</v>
          </cell>
          <cell r="E1346">
            <v>15.72</v>
          </cell>
          <cell r="F1346">
            <v>1.738638069627596</v>
          </cell>
          <cell r="G1346">
            <v>2.1924797712732897</v>
          </cell>
          <cell r="H1346">
            <v>1.9578</v>
          </cell>
        </row>
        <row r="1347">
          <cell r="B1347">
            <v>38043</v>
          </cell>
          <cell r="C1347">
            <v>38041</v>
          </cell>
          <cell r="D1347">
            <v>1342</v>
          </cell>
          <cell r="E1347">
            <v>15.72</v>
          </cell>
          <cell r="F1347">
            <v>1.738638069627596</v>
          </cell>
          <cell r="G1347">
            <v>2.1937504142056978</v>
          </cell>
          <cell r="H1347">
            <v>1.9578</v>
          </cell>
        </row>
        <row r="1348">
          <cell r="B1348">
            <v>38044</v>
          </cell>
          <cell r="C1348">
            <v>38042</v>
          </cell>
          <cell r="D1348">
            <v>1343</v>
          </cell>
          <cell r="E1348">
            <v>15.72</v>
          </cell>
          <cell r="F1348">
            <v>1.738638069627596</v>
          </cell>
          <cell r="G1348">
            <v>2.1950217935341643</v>
          </cell>
          <cell r="H1348">
            <v>1.9578</v>
          </cell>
        </row>
        <row r="1349">
          <cell r="B1349">
            <v>38045</v>
          </cell>
          <cell r="C1349">
            <v>38043</v>
          </cell>
          <cell r="D1349">
            <v>1344</v>
          </cell>
          <cell r="E1349">
            <v>15.72</v>
          </cell>
          <cell r="F1349">
            <v>1.738638069627596</v>
          </cell>
          <cell r="G1349">
            <v>2.1962939096854646</v>
          </cell>
          <cell r="H1349">
            <v>1.9578</v>
          </cell>
        </row>
        <row r="1350">
          <cell r="B1350">
            <v>38046</v>
          </cell>
          <cell r="C1350">
            <v>38044</v>
          </cell>
          <cell r="D1350">
            <v>1345</v>
          </cell>
          <cell r="E1350">
            <v>15.72</v>
          </cell>
          <cell r="F1350">
            <v>1.738638069627596</v>
          </cell>
          <cell r="G1350">
            <v>2.1975667630866216</v>
          </cell>
          <cell r="H1350">
            <v>1.9578</v>
          </cell>
        </row>
        <row r="1351">
          <cell r="B1351">
            <v>38047</v>
          </cell>
          <cell r="C1351">
            <v>38045</v>
          </cell>
          <cell r="D1351">
            <v>1346</v>
          </cell>
          <cell r="E1351">
            <v>15.72</v>
          </cell>
          <cell r="F1351">
            <v>1.738638069627596</v>
          </cell>
          <cell r="G1351">
            <v>2.1988403541649051</v>
          </cell>
          <cell r="H1351">
            <v>1.9578</v>
          </cell>
        </row>
        <row r="1352">
          <cell r="B1352">
            <v>38048</v>
          </cell>
          <cell r="C1352">
            <v>38046</v>
          </cell>
          <cell r="D1352">
            <v>1347</v>
          </cell>
          <cell r="E1352">
            <v>15.72</v>
          </cell>
          <cell r="F1352">
            <v>1.738638069627596</v>
          </cell>
          <cell r="G1352">
            <v>2.2001146833478331</v>
          </cell>
          <cell r="H1352">
            <v>1.9578</v>
          </cell>
        </row>
        <row r="1353">
          <cell r="B1353">
            <v>38049</v>
          </cell>
          <cell r="C1353">
            <v>38047</v>
          </cell>
          <cell r="D1353">
            <v>1348</v>
          </cell>
          <cell r="E1353">
            <v>15.72</v>
          </cell>
          <cell r="F1353">
            <v>1.738638069627596</v>
          </cell>
          <cell r="G1353">
            <v>2.2013897510631715</v>
          </cell>
          <cell r="H1353">
            <v>1.9578</v>
          </cell>
        </row>
        <row r="1354">
          <cell r="B1354">
            <v>38050</v>
          </cell>
          <cell r="C1354">
            <v>38048</v>
          </cell>
          <cell r="D1354">
            <v>1349</v>
          </cell>
          <cell r="E1354">
            <v>15.72</v>
          </cell>
          <cell r="F1354">
            <v>1.738638069627596</v>
          </cell>
          <cell r="G1354">
            <v>2.2026655577389338</v>
          </cell>
          <cell r="H1354">
            <v>1.9578</v>
          </cell>
        </row>
        <row r="1355">
          <cell r="B1355">
            <v>38051</v>
          </cell>
          <cell r="C1355">
            <v>38049</v>
          </cell>
          <cell r="D1355">
            <v>1350</v>
          </cell>
          <cell r="E1355">
            <v>15.72</v>
          </cell>
          <cell r="F1355">
            <v>1.738638069627596</v>
          </cell>
          <cell r="G1355">
            <v>2.2039421038033811</v>
          </cell>
          <cell r="H1355">
            <v>1.9578</v>
          </cell>
        </row>
        <row r="1356">
          <cell r="B1356">
            <v>38052</v>
          </cell>
          <cell r="C1356">
            <v>38050</v>
          </cell>
          <cell r="D1356">
            <v>1351</v>
          </cell>
          <cell r="E1356">
            <v>15.72</v>
          </cell>
          <cell r="F1356">
            <v>1.738638069627596</v>
          </cell>
          <cell r="G1356">
            <v>2.2052193896850238</v>
          </cell>
          <cell r="H1356">
            <v>1.9578</v>
          </cell>
        </row>
        <row r="1357">
          <cell r="B1357">
            <v>38053</v>
          </cell>
          <cell r="C1357">
            <v>38051</v>
          </cell>
          <cell r="D1357">
            <v>1352</v>
          </cell>
          <cell r="E1357">
            <v>15.72</v>
          </cell>
          <cell r="F1357">
            <v>1.738638069627596</v>
          </cell>
          <cell r="G1357">
            <v>2.2064974158126196</v>
          </cell>
          <cell r="H1357">
            <v>1.9578</v>
          </cell>
        </row>
        <row r="1358">
          <cell r="B1358">
            <v>38054</v>
          </cell>
          <cell r="C1358">
            <v>38052</v>
          </cell>
          <cell r="D1358">
            <v>1353</v>
          </cell>
          <cell r="E1358">
            <v>15.72</v>
          </cell>
          <cell r="F1358">
            <v>1.738638069627596</v>
          </cell>
          <cell r="G1358">
            <v>2.2077761826151754</v>
          </cell>
          <cell r="H1358">
            <v>1.9578</v>
          </cell>
        </row>
        <row r="1359">
          <cell r="B1359">
            <v>38055</v>
          </cell>
          <cell r="C1359">
            <v>38053</v>
          </cell>
          <cell r="D1359">
            <v>1354</v>
          </cell>
          <cell r="E1359">
            <v>15.72</v>
          </cell>
          <cell r="F1359">
            <v>1.738638069627596</v>
          </cell>
          <cell r="G1359">
            <v>2.2090556905219461</v>
          </cell>
          <cell r="H1359">
            <v>1.9578</v>
          </cell>
        </row>
        <row r="1360">
          <cell r="B1360">
            <v>38056</v>
          </cell>
          <cell r="C1360">
            <v>38054</v>
          </cell>
          <cell r="D1360">
            <v>1355</v>
          </cell>
          <cell r="E1360">
            <v>15.72</v>
          </cell>
          <cell r="F1360">
            <v>1.738638069627596</v>
          </cell>
          <cell r="G1360">
            <v>2.2103359399624356</v>
          </cell>
          <cell r="H1360">
            <v>1.9578</v>
          </cell>
        </row>
        <row r="1361">
          <cell r="B1361">
            <v>38057</v>
          </cell>
          <cell r="C1361">
            <v>38055</v>
          </cell>
          <cell r="D1361">
            <v>1356</v>
          </cell>
          <cell r="E1361">
            <v>15.72</v>
          </cell>
          <cell r="F1361">
            <v>1.738638069627596</v>
          </cell>
          <cell r="G1361">
            <v>2.2116169313663971</v>
          </cell>
          <cell r="H1361">
            <v>1.9578</v>
          </cell>
        </row>
        <row r="1362">
          <cell r="B1362">
            <v>38058</v>
          </cell>
          <cell r="C1362">
            <v>38056</v>
          </cell>
          <cell r="D1362">
            <v>1357</v>
          </cell>
          <cell r="E1362">
            <v>15.72</v>
          </cell>
          <cell r="F1362">
            <v>1.738638069627596</v>
          </cell>
          <cell r="G1362">
            <v>2.2128986651638325</v>
          </cell>
          <cell r="H1362">
            <v>1.9578</v>
          </cell>
        </row>
        <row r="1363">
          <cell r="B1363">
            <v>38059</v>
          </cell>
          <cell r="C1363">
            <v>38057</v>
          </cell>
          <cell r="D1363">
            <v>1358</v>
          </cell>
          <cell r="E1363">
            <v>15.72</v>
          </cell>
          <cell r="F1363">
            <v>1.738638069627596</v>
          </cell>
          <cell r="G1363">
            <v>2.214181141784993</v>
          </cell>
          <cell r="H1363">
            <v>1.9578</v>
          </cell>
        </row>
        <row r="1364">
          <cell r="B1364">
            <v>38060</v>
          </cell>
          <cell r="C1364">
            <v>38058</v>
          </cell>
          <cell r="D1364">
            <v>1359</v>
          </cell>
          <cell r="E1364">
            <v>15.72</v>
          </cell>
          <cell r="F1364">
            <v>1.738638069627596</v>
          </cell>
          <cell r="G1364">
            <v>2.2154643616603793</v>
          </cell>
          <cell r="H1364">
            <v>1.9578</v>
          </cell>
        </row>
        <row r="1365">
          <cell r="B1365">
            <v>38061</v>
          </cell>
          <cell r="C1365">
            <v>38059</v>
          </cell>
          <cell r="D1365">
            <v>1360</v>
          </cell>
          <cell r="E1365">
            <v>15.72</v>
          </cell>
          <cell r="F1365">
            <v>1.738638069627596</v>
          </cell>
          <cell r="G1365">
            <v>2.2167483252207414</v>
          </cell>
          <cell r="H1365">
            <v>1.9578</v>
          </cell>
        </row>
        <row r="1366">
          <cell r="B1366">
            <v>38062</v>
          </cell>
          <cell r="C1366">
            <v>38060</v>
          </cell>
          <cell r="D1366">
            <v>1361</v>
          </cell>
          <cell r="E1366">
            <v>15.72</v>
          </cell>
          <cell r="F1366">
            <v>1.738638069627596</v>
          </cell>
          <cell r="G1366">
            <v>2.2180330328970785</v>
          </cell>
          <cell r="H1366">
            <v>1.9578</v>
          </cell>
        </row>
        <row r="1367">
          <cell r="B1367">
            <v>38063</v>
          </cell>
          <cell r="C1367">
            <v>38061</v>
          </cell>
          <cell r="D1367">
            <v>1362</v>
          </cell>
          <cell r="E1367">
            <v>15.72</v>
          </cell>
          <cell r="F1367">
            <v>1.738638069627596</v>
          </cell>
          <cell r="G1367">
            <v>2.2193184851206409</v>
          </cell>
          <cell r="H1367">
            <v>1.9578</v>
          </cell>
        </row>
        <row r="1368">
          <cell r="B1368">
            <v>38064</v>
          </cell>
          <cell r="C1368">
            <v>38062</v>
          </cell>
          <cell r="D1368">
            <v>1363</v>
          </cell>
          <cell r="E1368">
            <v>15.72</v>
          </cell>
          <cell r="F1368">
            <v>1.738638069627596</v>
          </cell>
          <cell r="G1368">
            <v>2.2206046823229273</v>
          </cell>
          <cell r="H1368">
            <v>1.9578</v>
          </cell>
        </row>
        <row r="1369">
          <cell r="B1369">
            <v>38065</v>
          </cell>
          <cell r="C1369">
            <v>38063</v>
          </cell>
          <cell r="D1369">
            <v>1364</v>
          </cell>
          <cell r="E1369">
            <v>15.72</v>
          </cell>
          <cell r="F1369">
            <v>1.738638069627596</v>
          </cell>
          <cell r="G1369">
            <v>2.2218916249356875</v>
          </cell>
          <cell r="H1369">
            <v>1.9578</v>
          </cell>
        </row>
        <row r="1370">
          <cell r="B1370">
            <v>38066</v>
          </cell>
          <cell r="C1370">
            <v>38064</v>
          </cell>
          <cell r="D1370">
            <v>1365</v>
          </cell>
          <cell r="E1370">
            <v>15.72</v>
          </cell>
          <cell r="F1370">
            <v>1.738638069627596</v>
          </cell>
          <cell r="G1370">
            <v>2.2231793133909208</v>
          </cell>
          <cell r="H1370">
            <v>1.9578</v>
          </cell>
        </row>
        <row r="1371">
          <cell r="B1371">
            <v>38067</v>
          </cell>
          <cell r="C1371">
            <v>38065</v>
          </cell>
          <cell r="D1371">
            <v>1366</v>
          </cell>
          <cell r="E1371">
            <v>15.72</v>
          </cell>
          <cell r="F1371">
            <v>1.738638069627596</v>
          </cell>
          <cell r="G1371">
            <v>2.2244677481208774</v>
          </cell>
          <cell r="H1371">
            <v>1.9578</v>
          </cell>
        </row>
        <row r="1372">
          <cell r="B1372">
            <v>38068</v>
          </cell>
          <cell r="C1372">
            <v>38066</v>
          </cell>
          <cell r="D1372">
            <v>1367</v>
          </cell>
          <cell r="E1372">
            <v>15.72</v>
          </cell>
          <cell r="F1372">
            <v>1.738638069627596</v>
          </cell>
          <cell r="G1372">
            <v>2.2257569295580582</v>
          </cell>
          <cell r="H1372">
            <v>1.9578</v>
          </cell>
        </row>
        <row r="1373">
          <cell r="B1373">
            <v>38069</v>
          </cell>
          <cell r="C1373">
            <v>38067</v>
          </cell>
          <cell r="D1373">
            <v>1368</v>
          </cell>
          <cell r="E1373">
            <v>15.72</v>
          </cell>
          <cell r="F1373">
            <v>1.738638069627596</v>
          </cell>
          <cell r="G1373">
            <v>2.2270468581352136</v>
          </cell>
          <cell r="H1373">
            <v>1.9578</v>
          </cell>
        </row>
        <row r="1374">
          <cell r="B1374">
            <v>38070</v>
          </cell>
          <cell r="C1374">
            <v>38068</v>
          </cell>
          <cell r="D1374">
            <v>1369</v>
          </cell>
          <cell r="E1374">
            <v>15.72</v>
          </cell>
          <cell r="F1374">
            <v>1.738638069627596</v>
          </cell>
          <cell r="G1374">
            <v>2.2283375342853464</v>
          </cell>
          <cell r="H1374">
            <v>1.9578</v>
          </cell>
        </row>
        <row r="1375">
          <cell r="B1375">
            <v>38071</v>
          </cell>
          <cell r="C1375">
            <v>38069</v>
          </cell>
          <cell r="D1375">
            <v>1370</v>
          </cell>
          <cell r="E1375">
            <v>15.72</v>
          </cell>
          <cell r="F1375">
            <v>1.738638069627596</v>
          </cell>
          <cell r="G1375">
            <v>2.2296289584417095</v>
          </cell>
          <cell r="H1375">
            <v>1.9578</v>
          </cell>
        </row>
        <row r="1376">
          <cell r="B1376">
            <v>38072</v>
          </cell>
          <cell r="C1376">
            <v>38070</v>
          </cell>
          <cell r="D1376">
            <v>1371</v>
          </cell>
          <cell r="E1376">
            <v>15.72</v>
          </cell>
          <cell r="F1376">
            <v>1.738638069627596</v>
          </cell>
          <cell r="G1376">
            <v>2.2309211310378063</v>
          </cell>
          <cell r="H1376">
            <v>1.9578</v>
          </cell>
        </row>
        <row r="1377">
          <cell r="B1377">
            <v>38073</v>
          </cell>
          <cell r="C1377">
            <v>38071</v>
          </cell>
          <cell r="D1377">
            <v>1372</v>
          </cell>
          <cell r="E1377">
            <v>15.72</v>
          </cell>
          <cell r="F1377">
            <v>1.738638069627596</v>
          </cell>
          <cell r="G1377">
            <v>2.2322140525073926</v>
          </cell>
          <cell r="H1377">
            <v>1.9578</v>
          </cell>
        </row>
        <row r="1378">
          <cell r="B1378">
            <v>38074</v>
          </cell>
          <cell r="C1378">
            <v>38072</v>
          </cell>
          <cell r="D1378">
            <v>1373</v>
          </cell>
          <cell r="E1378">
            <v>15.72</v>
          </cell>
          <cell r="F1378">
            <v>1.738638069627596</v>
          </cell>
          <cell r="G1378">
            <v>2.2335077232844749</v>
          </cell>
          <cell r="H1378">
            <v>1.9578</v>
          </cell>
        </row>
        <row r="1379">
          <cell r="B1379">
            <v>38075</v>
          </cell>
          <cell r="C1379">
            <v>38073</v>
          </cell>
          <cell r="D1379">
            <v>1374</v>
          </cell>
          <cell r="E1379">
            <v>15.72</v>
          </cell>
          <cell r="F1379">
            <v>1.738638069627596</v>
          </cell>
          <cell r="G1379">
            <v>2.2348021438033117</v>
          </cell>
          <cell r="H1379">
            <v>1.9578</v>
          </cell>
        </row>
        <row r="1380">
          <cell r="B1380">
            <v>38076</v>
          </cell>
          <cell r="C1380">
            <v>38074</v>
          </cell>
          <cell r="D1380">
            <v>1375</v>
          </cell>
          <cell r="E1380">
            <v>15.72</v>
          </cell>
          <cell r="F1380">
            <v>1.738638069627596</v>
          </cell>
          <cell r="G1380">
            <v>2.2360973144984122</v>
          </cell>
          <cell r="H1380">
            <v>1.9578</v>
          </cell>
        </row>
        <row r="1381">
          <cell r="B1381">
            <v>38077</v>
          </cell>
          <cell r="C1381">
            <v>38075</v>
          </cell>
          <cell r="D1381">
            <v>1376</v>
          </cell>
          <cell r="E1381">
            <v>15.72</v>
          </cell>
          <cell r="F1381">
            <v>1.738638069627596</v>
          </cell>
          <cell r="G1381">
            <v>2.2373932358045385</v>
          </cell>
          <cell r="H1381">
            <v>1.9578</v>
          </cell>
        </row>
        <row r="1382">
          <cell r="B1382">
            <v>38078</v>
          </cell>
          <cell r="C1382">
            <v>38076</v>
          </cell>
          <cell r="D1382">
            <v>1377</v>
          </cell>
          <cell r="E1382">
            <v>15.72</v>
          </cell>
          <cell r="F1382">
            <v>1.738638069627596</v>
          </cell>
          <cell r="G1382">
            <v>2.238689908156704</v>
          </cell>
          <cell r="H1382">
            <v>1.9578</v>
          </cell>
        </row>
        <row r="1383">
          <cell r="B1383">
            <v>38079</v>
          </cell>
          <cell r="C1383">
            <v>38077</v>
          </cell>
          <cell r="D1383">
            <v>1378</v>
          </cell>
          <cell r="E1383">
            <v>15.72</v>
          </cell>
          <cell r="F1383">
            <v>1.738638069627596</v>
          </cell>
          <cell r="G1383">
            <v>2.2399873319901746</v>
          </cell>
          <cell r="H1383">
            <v>1.9578</v>
          </cell>
        </row>
        <row r="1384">
          <cell r="B1384">
            <v>38080</v>
          </cell>
          <cell r="C1384">
            <v>38078</v>
          </cell>
          <cell r="D1384">
            <v>1379</v>
          </cell>
          <cell r="E1384">
            <v>15.72</v>
          </cell>
          <cell r="F1384">
            <v>1.738638069627596</v>
          </cell>
          <cell r="G1384">
            <v>2.2412855077404683</v>
          </cell>
          <cell r="H1384">
            <v>1.9578</v>
          </cell>
        </row>
        <row r="1385">
          <cell r="B1385">
            <v>38081</v>
          </cell>
          <cell r="C1385">
            <v>38079</v>
          </cell>
          <cell r="D1385">
            <v>1380</v>
          </cell>
          <cell r="E1385">
            <v>15.72</v>
          </cell>
          <cell r="F1385">
            <v>1.738638069627596</v>
          </cell>
          <cell r="G1385">
            <v>2.2425844358433555</v>
          </cell>
          <cell r="H1385">
            <v>1.9578</v>
          </cell>
        </row>
        <row r="1386">
          <cell r="B1386">
            <v>38082</v>
          </cell>
          <cell r="C1386">
            <v>38080</v>
          </cell>
          <cell r="D1386">
            <v>1381</v>
          </cell>
          <cell r="E1386">
            <v>15.72</v>
          </cell>
          <cell r="F1386">
            <v>1.738638069627596</v>
          </cell>
          <cell r="G1386">
            <v>2.2438841167348595</v>
          </cell>
          <cell r="H1386">
            <v>1.9578</v>
          </cell>
        </row>
        <row r="1387">
          <cell r="B1387">
            <v>38083</v>
          </cell>
          <cell r="C1387">
            <v>38081</v>
          </cell>
          <cell r="D1387">
            <v>1382</v>
          </cell>
          <cell r="E1387">
            <v>15.72</v>
          </cell>
          <cell r="F1387">
            <v>1.738638069627596</v>
          </cell>
          <cell r="G1387">
            <v>2.2451845508512553</v>
          </cell>
          <cell r="H1387">
            <v>1.9578</v>
          </cell>
        </row>
        <row r="1388">
          <cell r="B1388">
            <v>38084</v>
          </cell>
          <cell r="C1388">
            <v>38082</v>
          </cell>
          <cell r="D1388">
            <v>1383</v>
          </cell>
          <cell r="E1388">
            <v>15.72</v>
          </cell>
          <cell r="F1388">
            <v>1.738638069627596</v>
          </cell>
          <cell r="G1388">
            <v>2.246485738629072</v>
          </cell>
          <cell r="H1388">
            <v>1.9578</v>
          </cell>
        </row>
        <row r="1389">
          <cell r="B1389">
            <v>38085</v>
          </cell>
          <cell r="C1389">
            <v>38083</v>
          </cell>
          <cell r="D1389">
            <v>1384</v>
          </cell>
          <cell r="E1389">
            <v>15.72</v>
          </cell>
          <cell r="F1389">
            <v>1.738638069627596</v>
          </cell>
          <cell r="G1389">
            <v>2.2477876805050907</v>
          </cell>
          <cell r="H1389">
            <v>1.9578</v>
          </cell>
        </row>
        <row r="1390">
          <cell r="B1390">
            <v>38086</v>
          </cell>
          <cell r="C1390">
            <v>38084</v>
          </cell>
          <cell r="D1390">
            <v>1385</v>
          </cell>
          <cell r="E1390">
            <v>15.72</v>
          </cell>
          <cell r="F1390">
            <v>1.738638069627596</v>
          </cell>
          <cell r="G1390">
            <v>2.2490903769163459</v>
          </cell>
          <cell r="H1390">
            <v>1.9578</v>
          </cell>
        </row>
        <row r="1391">
          <cell r="B1391">
            <v>38087</v>
          </cell>
          <cell r="C1391">
            <v>38085</v>
          </cell>
          <cell r="D1391">
            <v>1386</v>
          </cell>
          <cell r="E1391">
            <v>15.72</v>
          </cell>
          <cell r="F1391">
            <v>1.738638069627596</v>
          </cell>
          <cell r="G1391">
            <v>2.2503938283001257</v>
          </cell>
          <cell r="H1391">
            <v>1.9578</v>
          </cell>
        </row>
        <row r="1392">
          <cell r="B1392">
            <v>38088</v>
          </cell>
          <cell r="C1392">
            <v>38086</v>
          </cell>
          <cell r="D1392">
            <v>1387</v>
          </cell>
          <cell r="E1392">
            <v>15.72</v>
          </cell>
          <cell r="F1392">
            <v>1.738638069627596</v>
          </cell>
          <cell r="G1392">
            <v>2.2516980350939715</v>
          </cell>
          <cell r="H1392">
            <v>1.9578</v>
          </cell>
        </row>
        <row r="1393">
          <cell r="B1393">
            <v>38089</v>
          </cell>
          <cell r="C1393">
            <v>38087</v>
          </cell>
          <cell r="D1393">
            <v>1388</v>
          </cell>
          <cell r="E1393">
            <v>15.72</v>
          </cell>
          <cell r="F1393">
            <v>1.738638069627596</v>
          </cell>
          <cell r="G1393">
            <v>2.253002997735678</v>
          </cell>
          <cell r="H1393">
            <v>1.9578</v>
          </cell>
        </row>
        <row r="1394">
          <cell r="B1394">
            <v>38090</v>
          </cell>
          <cell r="C1394">
            <v>38088</v>
          </cell>
          <cell r="D1394">
            <v>1389</v>
          </cell>
          <cell r="E1394">
            <v>15.72</v>
          </cell>
          <cell r="F1394">
            <v>1.738638069627596</v>
          </cell>
          <cell r="G1394">
            <v>2.254308716663294</v>
          </cell>
          <cell r="H1394">
            <v>1.9578</v>
          </cell>
        </row>
        <row r="1395">
          <cell r="B1395">
            <v>38091</v>
          </cell>
          <cell r="C1395">
            <v>38089</v>
          </cell>
          <cell r="D1395">
            <v>1390</v>
          </cell>
          <cell r="E1395">
            <v>15.72</v>
          </cell>
          <cell r="F1395">
            <v>1.738638069627596</v>
          </cell>
          <cell r="G1395">
            <v>2.2556151923151222</v>
          </cell>
          <cell r="H1395">
            <v>1.9578</v>
          </cell>
        </row>
        <row r="1396">
          <cell r="B1396">
            <v>38092</v>
          </cell>
          <cell r="C1396">
            <v>38090</v>
          </cell>
          <cell r="D1396">
            <v>1391</v>
          </cell>
          <cell r="E1396">
            <v>15.72</v>
          </cell>
          <cell r="F1396">
            <v>1.738638069627596</v>
          </cell>
          <cell r="G1396">
            <v>2.2569224251297189</v>
          </cell>
          <cell r="H1396">
            <v>1.9578</v>
          </cell>
        </row>
        <row r="1397">
          <cell r="B1397">
            <v>38093</v>
          </cell>
          <cell r="C1397">
            <v>38091</v>
          </cell>
          <cell r="D1397">
            <v>1392</v>
          </cell>
          <cell r="E1397">
            <v>15.72</v>
          </cell>
          <cell r="F1397">
            <v>1.738638069627596</v>
          </cell>
          <cell r="G1397">
            <v>2.2582304155458943</v>
          </cell>
          <cell r="H1397">
            <v>1.9578</v>
          </cell>
        </row>
        <row r="1398">
          <cell r="B1398">
            <v>38094</v>
          </cell>
          <cell r="C1398">
            <v>38092</v>
          </cell>
          <cell r="D1398">
            <v>1393</v>
          </cell>
          <cell r="E1398">
            <v>15.72</v>
          </cell>
          <cell r="F1398">
            <v>1.738638069627596</v>
          </cell>
          <cell r="G1398">
            <v>2.2595391640027138</v>
          </cell>
          <cell r="H1398">
            <v>1.9578</v>
          </cell>
        </row>
        <row r="1399">
          <cell r="B1399">
            <v>38095</v>
          </cell>
          <cell r="C1399">
            <v>38093</v>
          </cell>
          <cell r="D1399">
            <v>1394</v>
          </cell>
          <cell r="E1399">
            <v>15.72</v>
          </cell>
          <cell r="F1399">
            <v>1.738638069627596</v>
          </cell>
          <cell r="G1399">
            <v>2.260848670939497</v>
          </cell>
          <cell r="H1399">
            <v>1.9578</v>
          </cell>
        </row>
        <row r="1400">
          <cell r="B1400">
            <v>38096</v>
          </cell>
          <cell r="C1400">
            <v>38094</v>
          </cell>
          <cell r="D1400">
            <v>1395</v>
          </cell>
          <cell r="E1400">
            <v>15.72</v>
          </cell>
          <cell r="F1400">
            <v>1.738638069627596</v>
          </cell>
          <cell r="G1400">
            <v>2.2621589367958177</v>
          </cell>
          <cell r="H1400">
            <v>1.9578</v>
          </cell>
        </row>
        <row r="1401">
          <cell r="B1401">
            <v>38097</v>
          </cell>
          <cell r="C1401">
            <v>38095</v>
          </cell>
          <cell r="D1401">
            <v>1396</v>
          </cell>
          <cell r="E1401">
            <v>15.72</v>
          </cell>
          <cell r="F1401">
            <v>1.738638069627596</v>
          </cell>
          <cell r="G1401">
            <v>2.2634699620115049</v>
          </cell>
          <cell r="H1401">
            <v>1.9578</v>
          </cell>
        </row>
        <row r="1402">
          <cell r="B1402">
            <v>38098</v>
          </cell>
          <cell r="C1402">
            <v>38096</v>
          </cell>
          <cell r="D1402">
            <v>1397</v>
          </cell>
          <cell r="E1402">
            <v>15.72</v>
          </cell>
          <cell r="F1402">
            <v>1.738638069627596</v>
          </cell>
          <cell r="G1402">
            <v>2.264781747026642</v>
          </cell>
          <cell r="H1402">
            <v>1.9578</v>
          </cell>
        </row>
        <row r="1403">
          <cell r="B1403">
            <v>38099</v>
          </cell>
          <cell r="C1403">
            <v>38097</v>
          </cell>
          <cell r="D1403">
            <v>1398</v>
          </cell>
          <cell r="E1403">
            <v>15.72</v>
          </cell>
          <cell r="F1403">
            <v>1.738638069627596</v>
          </cell>
          <cell r="G1403">
            <v>2.2660942922815681</v>
          </cell>
          <cell r="H1403">
            <v>1.9578</v>
          </cell>
        </row>
        <row r="1404">
          <cell r="B1404">
            <v>38100</v>
          </cell>
          <cell r="C1404">
            <v>38098</v>
          </cell>
          <cell r="D1404">
            <v>1399</v>
          </cell>
          <cell r="E1404">
            <v>15.72</v>
          </cell>
          <cell r="F1404">
            <v>1.738638069627596</v>
          </cell>
          <cell r="G1404">
            <v>2.2674075982168769</v>
          </cell>
          <cell r="H1404">
            <v>1.9578</v>
          </cell>
        </row>
        <row r="1405">
          <cell r="B1405">
            <v>38101</v>
          </cell>
          <cell r="C1405">
            <v>38099</v>
          </cell>
          <cell r="D1405">
            <v>1400</v>
          </cell>
          <cell r="E1405">
            <v>15.72</v>
          </cell>
          <cell r="F1405">
            <v>1.738638069627596</v>
          </cell>
          <cell r="G1405">
            <v>2.2687216652734179</v>
          </cell>
          <cell r="H1405">
            <v>1.9578</v>
          </cell>
        </row>
        <row r="1406">
          <cell r="B1406">
            <v>38102</v>
          </cell>
          <cell r="C1406">
            <v>38100</v>
          </cell>
          <cell r="D1406">
            <v>1401</v>
          </cell>
          <cell r="E1406">
            <v>15.72</v>
          </cell>
          <cell r="F1406">
            <v>1.738638069627596</v>
          </cell>
          <cell r="G1406">
            <v>2.2700364938922957</v>
          </cell>
          <cell r="H1406">
            <v>1.9578</v>
          </cell>
        </row>
        <row r="1407">
          <cell r="B1407">
            <v>38103</v>
          </cell>
          <cell r="C1407">
            <v>38101</v>
          </cell>
          <cell r="D1407">
            <v>1402</v>
          </cell>
          <cell r="E1407">
            <v>15.72</v>
          </cell>
          <cell r="F1407">
            <v>1.738638069627596</v>
          </cell>
          <cell r="G1407">
            <v>2.2713520845148709</v>
          </cell>
          <cell r="H1407">
            <v>1.9578</v>
          </cell>
        </row>
        <row r="1408">
          <cell r="B1408">
            <v>38104</v>
          </cell>
          <cell r="C1408">
            <v>38102</v>
          </cell>
          <cell r="D1408">
            <v>1403</v>
          </cell>
          <cell r="E1408">
            <v>15.72</v>
          </cell>
          <cell r="F1408">
            <v>1.738638069627596</v>
          </cell>
          <cell r="G1408">
            <v>2.2726684375827593</v>
          </cell>
          <cell r="H1408">
            <v>1.9578</v>
          </cell>
        </row>
        <row r="1409">
          <cell r="B1409">
            <v>38105</v>
          </cell>
          <cell r="C1409">
            <v>38103</v>
          </cell>
          <cell r="D1409">
            <v>1404</v>
          </cell>
          <cell r="E1409">
            <v>15.72</v>
          </cell>
          <cell r="F1409">
            <v>1.738638069627596</v>
          </cell>
          <cell r="G1409">
            <v>2.2739855535378335</v>
          </cell>
          <cell r="H1409">
            <v>1.9578</v>
          </cell>
        </row>
        <row r="1410">
          <cell r="B1410">
            <v>38106</v>
          </cell>
          <cell r="C1410">
            <v>38104</v>
          </cell>
          <cell r="D1410">
            <v>1405</v>
          </cell>
          <cell r="E1410">
            <v>15.72</v>
          </cell>
          <cell r="F1410">
            <v>1.738638069627596</v>
          </cell>
          <cell r="G1410">
            <v>2.2753034328222217</v>
          </cell>
          <cell r="H1410">
            <v>1.9578</v>
          </cell>
        </row>
        <row r="1411">
          <cell r="B1411">
            <v>38107</v>
          </cell>
          <cell r="C1411">
            <v>38105</v>
          </cell>
          <cell r="D1411">
            <v>1406</v>
          </cell>
          <cell r="E1411">
            <v>15.72</v>
          </cell>
          <cell r="F1411">
            <v>1.738638069627596</v>
          </cell>
          <cell r="G1411">
            <v>2.2766220758783082</v>
          </cell>
          <cell r="H1411">
            <v>1.9578</v>
          </cell>
        </row>
        <row r="1412">
          <cell r="B1412">
            <v>38108</v>
          </cell>
          <cell r="C1412">
            <v>38106</v>
          </cell>
          <cell r="D1412">
            <v>1407</v>
          </cell>
          <cell r="E1412">
            <v>15.72</v>
          </cell>
          <cell r="F1412">
            <v>1.738638069627596</v>
          </cell>
          <cell r="G1412">
            <v>2.2779414831487337</v>
          </cell>
          <cell r="H1412">
            <v>1.9578</v>
          </cell>
        </row>
        <row r="1413">
          <cell r="B1413">
            <v>38109</v>
          </cell>
          <cell r="C1413">
            <v>38107</v>
          </cell>
          <cell r="D1413">
            <v>1408</v>
          </cell>
          <cell r="E1413">
            <v>15.72</v>
          </cell>
          <cell r="F1413">
            <v>1.738638069627596</v>
          </cell>
          <cell r="G1413">
            <v>2.2792616550763958</v>
          </cell>
          <cell r="H1413">
            <v>1.9578</v>
          </cell>
        </row>
        <row r="1414">
          <cell r="B1414">
            <v>38110</v>
          </cell>
          <cell r="C1414">
            <v>38108</v>
          </cell>
          <cell r="D1414">
            <v>1409</v>
          </cell>
          <cell r="E1414">
            <v>15.72</v>
          </cell>
          <cell r="F1414">
            <v>1.738638069627596</v>
          </cell>
          <cell r="G1414">
            <v>2.2805825921044485</v>
          </cell>
          <cell r="H1414">
            <v>1.9578</v>
          </cell>
        </row>
        <row r="1415">
          <cell r="B1415">
            <v>38111</v>
          </cell>
          <cell r="C1415">
            <v>38109</v>
          </cell>
          <cell r="D1415">
            <v>1410</v>
          </cell>
          <cell r="E1415">
            <v>15.72</v>
          </cell>
          <cell r="F1415">
            <v>1.738638069627596</v>
          </cell>
          <cell r="G1415">
            <v>2.2819042946763028</v>
          </cell>
          <cell r="H1415">
            <v>1.9578</v>
          </cell>
        </row>
        <row r="1416">
          <cell r="B1416">
            <v>38112</v>
          </cell>
          <cell r="C1416">
            <v>38110</v>
          </cell>
          <cell r="D1416">
            <v>1411</v>
          </cell>
          <cell r="E1416">
            <v>15.72</v>
          </cell>
          <cell r="F1416">
            <v>1.738638069627596</v>
          </cell>
          <cell r="G1416">
            <v>2.2832267632356267</v>
          </cell>
          <cell r="H1416">
            <v>1.9578</v>
          </cell>
        </row>
        <row r="1417">
          <cell r="B1417">
            <v>38113</v>
          </cell>
          <cell r="C1417">
            <v>38111</v>
          </cell>
          <cell r="D1417">
            <v>1412</v>
          </cell>
          <cell r="E1417">
            <v>15.72</v>
          </cell>
          <cell r="F1417">
            <v>1.738638069627596</v>
          </cell>
          <cell r="G1417">
            <v>2.2845499982263449</v>
          </cell>
          <cell r="H1417">
            <v>1.9578</v>
          </cell>
        </row>
        <row r="1418">
          <cell r="B1418">
            <v>38114</v>
          </cell>
          <cell r="C1418">
            <v>38112</v>
          </cell>
          <cell r="D1418">
            <v>1413</v>
          </cell>
          <cell r="E1418">
            <v>15.72</v>
          </cell>
          <cell r="F1418">
            <v>1.738638069627596</v>
          </cell>
          <cell r="G1418">
            <v>2.2858740000926394</v>
          </cell>
          <cell r="H1418">
            <v>1.9578</v>
          </cell>
        </row>
        <row r="1419">
          <cell r="B1419">
            <v>38115</v>
          </cell>
          <cell r="C1419">
            <v>38113</v>
          </cell>
          <cell r="D1419">
            <v>1414</v>
          </cell>
          <cell r="E1419">
            <v>15.72</v>
          </cell>
          <cell r="F1419">
            <v>1.738638069627596</v>
          </cell>
          <cell r="G1419">
            <v>2.2871987692789504</v>
          </cell>
          <cell r="H1419">
            <v>1.9578</v>
          </cell>
        </row>
        <row r="1420">
          <cell r="B1420">
            <v>38116</v>
          </cell>
          <cell r="C1420">
            <v>38114</v>
          </cell>
          <cell r="D1420">
            <v>1415</v>
          </cell>
          <cell r="E1420">
            <v>15.72</v>
          </cell>
          <cell r="F1420">
            <v>1.738638069627596</v>
          </cell>
          <cell r="G1420">
            <v>2.2885243062299749</v>
          </cell>
          <cell r="H1420">
            <v>1.9578</v>
          </cell>
        </row>
        <row r="1421">
          <cell r="B1421">
            <v>38117</v>
          </cell>
          <cell r="C1421">
            <v>38115</v>
          </cell>
          <cell r="D1421">
            <v>1416</v>
          </cell>
          <cell r="E1421">
            <v>15.72</v>
          </cell>
          <cell r="F1421">
            <v>1.738638069627596</v>
          </cell>
          <cell r="G1421">
            <v>2.2898506113906683</v>
          </cell>
          <cell r="H1421">
            <v>1.9578</v>
          </cell>
        </row>
        <row r="1422">
          <cell r="B1422">
            <v>38118</v>
          </cell>
          <cell r="C1422">
            <v>38116</v>
          </cell>
          <cell r="D1422">
            <v>1417</v>
          </cell>
          <cell r="E1422">
            <v>15.72</v>
          </cell>
          <cell r="F1422">
            <v>1.738638069627596</v>
          </cell>
          <cell r="G1422">
            <v>2.2911776852062427</v>
          </cell>
          <cell r="H1422">
            <v>1.9578</v>
          </cell>
        </row>
        <row r="1423">
          <cell r="B1423">
            <v>38119</v>
          </cell>
          <cell r="C1423">
            <v>38117</v>
          </cell>
          <cell r="D1423">
            <v>1418</v>
          </cell>
          <cell r="E1423">
            <v>15.72</v>
          </cell>
          <cell r="F1423">
            <v>1.738638069627596</v>
          </cell>
          <cell r="G1423">
            <v>2.2925055281221698</v>
          </cell>
          <cell r="H1423">
            <v>1.9578</v>
          </cell>
        </row>
        <row r="1424">
          <cell r="B1424">
            <v>38120</v>
          </cell>
          <cell r="C1424">
            <v>38118</v>
          </cell>
          <cell r="D1424">
            <v>1419</v>
          </cell>
          <cell r="E1424">
            <v>15.72</v>
          </cell>
          <cell r="F1424">
            <v>1.738638069627596</v>
          </cell>
          <cell r="G1424">
            <v>2.293834140584178</v>
          </cell>
          <cell r="H1424">
            <v>1.9578</v>
          </cell>
        </row>
        <row r="1425">
          <cell r="B1425">
            <v>38121</v>
          </cell>
          <cell r="C1425">
            <v>38119</v>
          </cell>
          <cell r="D1425">
            <v>1420</v>
          </cell>
          <cell r="E1425">
            <v>15.72</v>
          </cell>
          <cell r="F1425">
            <v>1.738638069627596</v>
          </cell>
          <cell r="G1425">
            <v>2.295163523038255</v>
          </cell>
          <cell r="H1425">
            <v>1.9578</v>
          </cell>
        </row>
        <row r="1426">
          <cell r="B1426">
            <v>38122</v>
          </cell>
          <cell r="C1426">
            <v>38120</v>
          </cell>
          <cell r="D1426">
            <v>1421</v>
          </cell>
          <cell r="E1426">
            <v>15.72</v>
          </cell>
          <cell r="F1426">
            <v>1.738638069627596</v>
          </cell>
          <cell r="G1426">
            <v>2.2964936759306465</v>
          </cell>
          <cell r="H1426">
            <v>1.9578</v>
          </cell>
        </row>
        <row r="1427">
          <cell r="B1427">
            <v>38123</v>
          </cell>
          <cell r="C1427">
            <v>38121</v>
          </cell>
          <cell r="D1427">
            <v>1422</v>
          </cell>
          <cell r="E1427">
            <v>15.72</v>
          </cell>
          <cell r="F1427">
            <v>1.738638069627596</v>
          </cell>
          <cell r="G1427">
            <v>2.297824599707857</v>
          </cell>
          <cell r="H1427">
            <v>1.9578</v>
          </cell>
        </row>
        <row r="1428">
          <cell r="B1428">
            <v>38124</v>
          </cell>
          <cell r="C1428">
            <v>38122</v>
          </cell>
          <cell r="D1428">
            <v>1423</v>
          </cell>
          <cell r="E1428">
            <v>15.72</v>
          </cell>
          <cell r="F1428">
            <v>1.738638069627596</v>
          </cell>
          <cell r="G1428">
            <v>2.2991562948166502</v>
          </cell>
          <cell r="H1428">
            <v>1.9578</v>
          </cell>
        </row>
        <row r="1429">
          <cell r="B1429">
            <v>38125</v>
          </cell>
          <cell r="C1429">
            <v>38123</v>
          </cell>
          <cell r="D1429">
            <v>1424</v>
          </cell>
          <cell r="E1429">
            <v>15.72</v>
          </cell>
          <cell r="F1429">
            <v>1.738638069627596</v>
          </cell>
          <cell r="G1429">
            <v>2.3004887617040475</v>
          </cell>
          <cell r="H1429">
            <v>1.9578</v>
          </cell>
        </row>
        <row r="1430">
          <cell r="B1430">
            <v>38126</v>
          </cell>
          <cell r="C1430">
            <v>38124</v>
          </cell>
          <cell r="D1430">
            <v>1425</v>
          </cell>
          <cell r="E1430">
            <v>15.72</v>
          </cell>
          <cell r="F1430">
            <v>1.738638069627596</v>
          </cell>
          <cell r="G1430">
            <v>2.3018220008173307</v>
          </cell>
          <cell r="H1430">
            <v>1.9578</v>
          </cell>
        </row>
        <row r="1431">
          <cell r="B1431">
            <v>38127</v>
          </cell>
          <cell r="C1431">
            <v>38125</v>
          </cell>
          <cell r="D1431">
            <v>1426</v>
          </cell>
          <cell r="E1431">
            <v>15.72</v>
          </cell>
          <cell r="F1431">
            <v>1.738638069627596</v>
          </cell>
          <cell r="G1431">
            <v>2.30315601260404</v>
          </cell>
          <cell r="H1431">
            <v>1.9578</v>
          </cell>
        </row>
        <row r="1432">
          <cell r="B1432">
            <v>38128</v>
          </cell>
          <cell r="C1432">
            <v>38126</v>
          </cell>
          <cell r="D1432">
            <v>1427</v>
          </cell>
          <cell r="E1432">
            <v>15.72</v>
          </cell>
          <cell r="F1432">
            <v>1.738638069627596</v>
          </cell>
          <cell r="G1432">
            <v>2.3044907975119751</v>
          </cell>
          <cell r="H1432">
            <v>1.9578</v>
          </cell>
        </row>
        <row r="1433">
          <cell r="B1433">
            <v>38129</v>
          </cell>
          <cell r="C1433">
            <v>38127</v>
          </cell>
          <cell r="D1433">
            <v>1428</v>
          </cell>
          <cell r="E1433">
            <v>15.72</v>
          </cell>
          <cell r="F1433">
            <v>1.738638069627596</v>
          </cell>
          <cell r="G1433">
            <v>2.3058263559891952</v>
          </cell>
          <cell r="H1433">
            <v>1.9578</v>
          </cell>
        </row>
        <row r="1434">
          <cell r="B1434">
            <v>38130</v>
          </cell>
          <cell r="C1434">
            <v>38128</v>
          </cell>
          <cell r="D1434">
            <v>1429</v>
          </cell>
          <cell r="E1434">
            <v>15.72</v>
          </cell>
          <cell r="F1434">
            <v>1.738638069627596</v>
          </cell>
          <cell r="G1434">
            <v>2.3071626884840195</v>
          </cell>
          <cell r="H1434">
            <v>1.9578</v>
          </cell>
        </row>
        <row r="1435">
          <cell r="B1435">
            <v>38131</v>
          </cell>
          <cell r="C1435">
            <v>38129</v>
          </cell>
          <cell r="D1435">
            <v>1430</v>
          </cell>
          <cell r="E1435">
            <v>15.72</v>
          </cell>
          <cell r="F1435">
            <v>1.738638069627596</v>
          </cell>
          <cell r="G1435">
            <v>2.308499795445027</v>
          </cell>
          <cell r="H1435">
            <v>1.9578</v>
          </cell>
        </row>
        <row r="1436">
          <cell r="B1436">
            <v>38132</v>
          </cell>
          <cell r="C1436">
            <v>38130</v>
          </cell>
          <cell r="D1436">
            <v>1431</v>
          </cell>
          <cell r="E1436">
            <v>15.72</v>
          </cell>
          <cell r="F1436">
            <v>1.738638069627596</v>
          </cell>
          <cell r="G1436">
            <v>2.3098376773210565</v>
          </cell>
          <cell r="H1436">
            <v>1.9578</v>
          </cell>
        </row>
        <row r="1437">
          <cell r="B1437">
            <v>38133</v>
          </cell>
          <cell r="C1437">
            <v>38131</v>
          </cell>
          <cell r="D1437">
            <v>1432</v>
          </cell>
          <cell r="E1437">
            <v>15.72</v>
          </cell>
          <cell r="F1437">
            <v>1.738638069627596</v>
          </cell>
          <cell r="G1437">
            <v>2.3111763345612069</v>
          </cell>
          <cell r="H1437">
            <v>1.9578</v>
          </cell>
        </row>
        <row r="1438">
          <cell r="B1438">
            <v>38134</v>
          </cell>
          <cell r="C1438">
            <v>38132</v>
          </cell>
          <cell r="D1438">
            <v>1433</v>
          </cell>
          <cell r="E1438">
            <v>15.72</v>
          </cell>
          <cell r="F1438">
            <v>1.738638069627596</v>
          </cell>
          <cell r="G1438">
            <v>2.3125157676148369</v>
          </cell>
          <cell r="H1438">
            <v>1.9578</v>
          </cell>
        </row>
        <row r="1439">
          <cell r="B1439">
            <v>38135</v>
          </cell>
          <cell r="C1439">
            <v>38133</v>
          </cell>
          <cell r="D1439">
            <v>1434</v>
          </cell>
          <cell r="E1439">
            <v>15.72</v>
          </cell>
          <cell r="F1439">
            <v>1.738638069627596</v>
          </cell>
          <cell r="G1439">
            <v>2.3138559769315665</v>
          </cell>
          <cell r="H1439">
            <v>1.9578</v>
          </cell>
        </row>
        <row r="1440">
          <cell r="B1440">
            <v>38136</v>
          </cell>
          <cell r="C1440">
            <v>38134</v>
          </cell>
          <cell r="D1440">
            <v>1435</v>
          </cell>
          <cell r="E1440">
            <v>15.72</v>
          </cell>
          <cell r="F1440">
            <v>1.738638069627596</v>
          </cell>
          <cell r="G1440">
            <v>2.3151969629612759</v>
          </cell>
          <cell r="H1440">
            <v>1.9578</v>
          </cell>
        </row>
        <row r="1441">
          <cell r="B1441">
            <v>38137</v>
          </cell>
          <cell r="C1441">
            <v>38135</v>
          </cell>
          <cell r="D1441">
            <v>1436</v>
          </cell>
          <cell r="E1441">
            <v>15.72</v>
          </cell>
          <cell r="F1441">
            <v>1.738638069627596</v>
          </cell>
          <cell r="G1441">
            <v>2.3165387261541062</v>
          </cell>
          <cell r="H1441">
            <v>1.9578</v>
          </cell>
        </row>
        <row r="1442">
          <cell r="B1442">
            <v>38138</v>
          </cell>
          <cell r="C1442">
            <v>38136</v>
          </cell>
          <cell r="D1442">
            <v>1437</v>
          </cell>
          <cell r="E1442">
            <v>15.72</v>
          </cell>
          <cell r="F1442">
            <v>1.738638069627596</v>
          </cell>
          <cell r="G1442">
            <v>2.3178812669604589</v>
          </cell>
          <cell r="H1442">
            <v>1.9578</v>
          </cell>
        </row>
        <row r="1443">
          <cell r="B1443">
            <v>38139</v>
          </cell>
          <cell r="C1443">
            <v>38137</v>
          </cell>
          <cell r="D1443">
            <v>1438</v>
          </cell>
          <cell r="E1443">
            <v>15.72</v>
          </cell>
          <cell r="F1443">
            <v>1.738638069627596</v>
          </cell>
          <cell r="G1443">
            <v>2.3192245858309968</v>
          </cell>
          <cell r="H1443">
            <v>1.9578</v>
          </cell>
        </row>
        <row r="1444">
          <cell r="B1444">
            <v>38140</v>
          </cell>
          <cell r="C1444">
            <v>38138</v>
          </cell>
          <cell r="D1444">
            <v>1439</v>
          </cell>
          <cell r="E1444">
            <v>15.72</v>
          </cell>
          <cell r="F1444">
            <v>1.738638069627596</v>
          </cell>
          <cell r="G1444">
            <v>2.3205686832166443</v>
          </cell>
          <cell r="H1444">
            <v>1.9578</v>
          </cell>
        </row>
        <row r="1445">
          <cell r="B1445">
            <v>38141</v>
          </cell>
          <cell r="C1445">
            <v>38139</v>
          </cell>
          <cell r="D1445">
            <v>1440</v>
          </cell>
          <cell r="E1445">
            <v>15.72</v>
          </cell>
          <cell r="F1445">
            <v>1.738638069627596</v>
          </cell>
          <cell r="G1445">
            <v>2.3219135595685865</v>
          </cell>
          <cell r="H1445">
            <v>1.9578</v>
          </cell>
        </row>
        <row r="1446">
          <cell r="B1446">
            <v>38142</v>
          </cell>
          <cell r="C1446">
            <v>38140</v>
          </cell>
          <cell r="D1446">
            <v>1441</v>
          </cell>
          <cell r="E1446">
            <v>15.72</v>
          </cell>
          <cell r="F1446">
            <v>1.738638069627596</v>
          </cell>
          <cell r="G1446">
            <v>2.3232592153382701</v>
          </cell>
          <cell r="H1446">
            <v>1.9578</v>
          </cell>
        </row>
        <row r="1447">
          <cell r="B1447">
            <v>38143</v>
          </cell>
          <cell r="C1447">
            <v>38141</v>
          </cell>
          <cell r="D1447">
            <v>1442</v>
          </cell>
          <cell r="E1447">
            <v>15.72</v>
          </cell>
          <cell r="F1447">
            <v>1.738638069627596</v>
          </cell>
          <cell r="G1447">
            <v>2.3246056509774036</v>
          </cell>
          <cell r="H1447">
            <v>1.9578</v>
          </cell>
        </row>
        <row r="1448">
          <cell r="B1448">
            <v>38144</v>
          </cell>
          <cell r="C1448">
            <v>38142</v>
          </cell>
          <cell r="D1448">
            <v>1443</v>
          </cell>
          <cell r="E1448">
            <v>15.72</v>
          </cell>
          <cell r="F1448">
            <v>1.738638069627596</v>
          </cell>
          <cell r="G1448">
            <v>2.325952866937957</v>
          </cell>
          <cell r="H1448">
            <v>1.9578</v>
          </cell>
        </row>
        <row r="1449">
          <cell r="B1449">
            <v>38145</v>
          </cell>
          <cell r="C1449">
            <v>38143</v>
          </cell>
          <cell r="D1449">
            <v>1444</v>
          </cell>
          <cell r="E1449">
            <v>15.72</v>
          </cell>
          <cell r="F1449">
            <v>1.738638069627596</v>
          </cell>
          <cell r="G1449">
            <v>2.3273008636721628</v>
          </cell>
          <cell r="H1449">
            <v>1.9578</v>
          </cell>
        </row>
        <row r="1450">
          <cell r="B1450">
            <v>38146</v>
          </cell>
          <cell r="C1450">
            <v>38144</v>
          </cell>
          <cell r="D1450">
            <v>1445</v>
          </cell>
          <cell r="E1450">
            <v>15.72</v>
          </cell>
          <cell r="F1450">
            <v>1.738638069627596</v>
          </cell>
          <cell r="G1450">
            <v>2.3286496416325155</v>
          </cell>
          <cell r="H1450">
            <v>1.9578</v>
          </cell>
        </row>
        <row r="1451">
          <cell r="B1451">
            <v>38147</v>
          </cell>
          <cell r="C1451">
            <v>38145</v>
          </cell>
          <cell r="D1451">
            <v>1446</v>
          </cell>
          <cell r="E1451">
            <v>15.72</v>
          </cell>
          <cell r="F1451">
            <v>1.738638069627596</v>
          </cell>
          <cell r="G1451">
            <v>2.3299992012717712</v>
          </cell>
          <cell r="H1451">
            <v>1.9578</v>
          </cell>
        </row>
        <row r="1452">
          <cell r="B1452">
            <v>38148</v>
          </cell>
          <cell r="C1452">
            <v>38146</v>
          </cell>
          <cell r="D1452">
            <v>1447</v>
          </cell>
          <cell r="E1452">
            <v>15.72</v>
          </cell>
          <cell r="F1452">
            <v>1.738638069627596</v>
          </cell>
          <cell r="G1452">
            <v>2.3313495430429487</v>
          </cell>
          <cell r="H1452">
            <v>1.9578</v>
          </cell>
        </row>
        <row r="1453">
          <cell r="B1453">
            <v>38149</v>
          </cell>
          <cell r="C1453">
            <v>38147</v>
          </cell>
          <cell r="D1453">
            <v>1448</v>
          </cell>
          <cell r="E1453">
            <v>15.72</v>
          </cell>
          <cell r="F1453">
            <v>1.738638069627596</v>
          </cell>
          <cell r="G1453">
            <v>2.33270066739933</v>
          </cell>
          <cell r="H1453">
            <v>1.9578</v>
          </cell>
        </row>
        <row r="1454">
          <cell r="B1454">
            <v>38150</v>
          </cell>
          <cell r="C1454">
            <v>38148</v>
          </cell>
          <cell r="D1454">
            <v>1449</v>
          </cell>
          <cell r="E1454">
            <v>15.72</v>
          </cell>
          <cell r="F1454">
            <v>1.738638069627596</v>
          </cell>
          <cell r="G1454">
            <v>2.3340525747944589</v>
          </cell>
          <cell r="H1454">
            <v>1.9578</v>
          </cell>
        </row>
        <row r="1455">
          <cell r="B1455">
            <v>38151</v>
          </cell>
          <cell r="C1455">
            <v>38149</v>
          </cell>
          <cell r="D1455">
            <v>1450</v>
          </cell>
          <cell r="E1455">
            <v>15.72</v>
          </cell>
          <cell r="F1455">
            <v>1.738638069627596</v>
          </cell>
          <cell r="G1455">
            <v>2.3354052656821422</v>
          </cell>
          <cell r="H1455">
            <v>1.9578</v>
          </cell>
        </row>
        <row r="1456">
          <cell r="B1456">
            <v>38152</v>
          </cell>
          <cell r="C1456">
            <v>38150</v>
          </cell>
          <cell r="D1456">
            <v>1451</v>
          </cell>
          <cell r="E1456">
            <v>15.72</v>
          </cell>
          <cell r="F1456">
            <v>1.738638069627596</v>
          </cell>
          <cell r="G1456">
            <v>2.3367587405164501</v>
          </cell>
          <cell r="H1456">
            <v>1.9578</v>
          </cell>
        </row>
        <row r="1457">
          <cell r="B1457">
            <v>38153</v>
          </cell>
          <cell r="C1457">
            <v>38151</v>
          </cell>
          <cell r="D1457">
            <v>1452</v>
          </cell>
          <cell r="E1457">
            <v>15.72</v>
          </cell>
          <cell r="F1457">
            <v>1.738638069627596</v>
          </cell>
          <cell r="G1457">
            <v>2.3381129997517158</v>
          </cell>
          <cell r="H1457">
            <v>1.9578</v>
          </cell>
        </row>
        <row r="1458">
          <cell r="B1458">
            <v>38154</v>
          </cell>
          <cell r="C1458">
            <v>38152</v>
          </cell>
          <cell r="D1458">
            <v>1453</v>
          </cell>
          <cell r="E1458">
            <v>15.72</v>
          </cell>
          <cell r="F1458">
            <v>1.738638069627596</v>
          </cell>
          <cell r="G1458">
            <v>2.3394680438425355</v>
          </cell>
          <cell r="H1458">
            <v>1.9578</v>
          </cell>
        </row>
        <row r="1459">
          <cell r="B1459">
            <v>38155</v>
          </cell>
          <cell r="C1459">
            <v>38153</v>
          </cell>
          <cell r="D1459">
            <v>1454</v>
          </cell>
          <cell r="E1459">
            <v>15.72</v>
          </cell>
          <cell r="F1459">
            <v>1.738638069627596</v>
          </cell>
          <cell r="G1459">
            <v>2.3408238732437696</v>
          </cell>
          <cell r="H1459">
            <v>1.9578</v>
          </cell>
        </row>
        <row r="1460">
          <cell r="B1460">
            <v>38156</v>
          </cell>
          <cell r="C1460">
            <v>38154</v>
          </cell>
          <cell r="D1460">
            <v>1455</v>
          </cell>
          <cell r="E1460">
            <v>15.72</v>
          </cell>
          <cell r="F1460">
            <v>1.738638069627596</v>
          </cell>
          <cell r="G1460">
            <v>2.3421804884105413</v>
          </cell>
          <cell r="H1460">
            <v>1.9578</v>
          </cell>
        </row>
        <row r="1461">
          <cell r="B1461">
            <v>38157</v>
          </cell>
          <cell r="C1461">
            <v>38155</v>
          </cell>
          <cell r="D1461">
            <v>1456</v>
          </cell>
          <cell r="E1461">
            <v>15.72</v>
          </cell>
          <cell r="F1461">
            <v>1.738638069627596</v>
          </cell>
          <cell r="G1461">
            <v>2.3435378897982377</v>
          </cell>
          <cell r="H1461">
            <v>1.9578</v>
          </cell>
        </row>
        <row r="1462">
          <cell r="B1462">
            <v>38158</v>
          </cell>
          <cell r="C1462">
            <v>38156</v>
          </cell>
          <cell r="D1462">
            <v>1457</v>
          </cell>
          <cell r="E1462">
            <v>15.72</v>
          </cell>
          <cell r="F1462">
            <v>1.738638069627596</v>
          </cell>
          <cell r="G1462">
            <v>2.3448960778625105</v>
          </cell>
          <cell r="H1462">
            <v>1.9578</v>
          </cell>
        </row>
        <row r="1463">
          <cell r="B1463">
            <v>38159</v>
          </cell>
          <cell r="C1463">
            <v>38157</v>
          </cell>
          <cell r="D1463">
            <v>1458</v>
          </cell>
          <cell r="E1463">
            <v>15.72</v>
          </cell>
          <cell r="F1463">
            <v>1.738638069627596</v>
          </cell>
          <cell r="G1463">
            <v>2.3462550530592745</v>
          </cell>
          <cell r="H1463">
            <v>1.9578</v>
          </cell>
        </row>
        <row r="1464">
          <cell r="B1464">
            <v>38160</v>
          </cell>
          <cell r="C1464">
            <v>38158</v>
          </cell>
          <cell r="D1464">
            <v>1459</v>
          </cell>
          <cell r="E1464">
            <v>15.72</v>
          </cell>
          <cell r="F1464">
            <v>1.738638069627596</v>
          </cell>
          <cell r="G1464">
            <v>2.3476148158447097</v>
          </cell>
          <cell r="H1464">
            <v>1.9578</v>
          </cell>
        </row>
        <row r="1465">
          <cell r="B1465">
            <v>38161</v>
          </cell>
          <cell r="C1465">
            <v>38159</v>
          </cell>
          <cell r="D1465">
            <v>1460</v>
          </cell>
          <cell r="E1465">
            <v>15.72</v>
          </cell>
          <cell r="F1465">
            <v>1.738638069627596</v>
          </cell>
          <cell r="G1465">
            <v>2.3489753666752593</v>
          </cell>
          <cell r="H1465">
            <v>1.9578</v>
          </cell>
        </row>
        <row r="1466">
          <cell r="B1466">
            <v>38162</v>
          </cell>
          <cell r="C1466">
            <v>38160</v>
          </cell>
          <cell r="D1466">
            <v>1461</v>
          </cell>
          <cell r="E1466">
            <v>15.72</v>
          </cell>
          <cell r="F1466">
            <v>1.738638069627596</v>
          </cell>
          <cell r="G1466">
            <v>2.3503367060076323</v>
          </cell>
          <cell r="H1466">
            <v>1.9578</v>
          </cell>
        </row>
        <row r="1467">
          <cell r="B1467">
            <v>38163</v>
          </cell>
          <cell r="C1467">
            <v>38161</v>
          </cell>
          <cell r="D1467">
            <v>1462</v>
          </cell>
          <cell r="E1467">
            <v>15.72</v>
          </cell>
          <cell r="F1467">
            <v>1.738638069627596</v>
          </cell>
          <cell r="G1467">
            <v>2.3516988342988019</v>
          </cell>
          <cell r="H1467">
            <v>1.9578</v>
          </cell>
        </row>
        <row r="1468">
          <cell r="B1468">
            <v>38164</v>
          </cell>
          <cell r="C1468">
            <v>38162</v>
          </cell>
          <cell r="D1468">
            <v>1463</v>
          </cell>
          <cell r="E1468">
            <v>15.72</v>
          </cell>
          <cell r="F1468">
            <v>1.738638069627596</v>
          </cell>
          <cell r="G1468">
            <v>2.3530617520060053</v>
          </cell>
          <cell r="H1468">
            <v>1.9578</v>
          </cell>
        </row>
        <row r="1469">
          <cell r="B1469">
            <v>38165</v>
          </cell>
          <cell r="C1469">
            <v>38163</v>
          </cell>
          <cell r="D1469">
            <v>1464</v>
          </cell>
          <cell r="E1469">
            <v>15.72</v>
          </cell>
          <cell r="F1469">
            <v>1.738638069627596</v>
          </cell>
          <cell r="G1469">
            <v>2.354425459586746</v>
          </cell>
          <cell r="H1469">
            <v>1.9578</v>
          </cell>
        </row>
        <row r="1470">
          <cell r="B1470">
            <v>38166</v>
          </cell>
          <cell r="C1470">
            <v>38164</v>
          </cell>
          <cell r="D1470">
            <v>1465</v>
          </cell>
          <cell r="E1470">
            <v>15.72</v>
          </cell>
          <cell r="F1470">
            <v>1.738638069627596</v>
          </cell>
          <cell r="G1470">
            <v>2.3557899574987919</v>
          </cell>
          <cell r="H1470">
            <v>1.9578</v>
          </cell>
        </row>
        <row r="1471">
          <cell r="B1471">
            <v>38167</v>
          </cell>
          <cell r="C1471">
            <v>38165</v>
          </cell>
          <cell r="D1471">
            <v>1466</v>
          </cell>
          <cell r="E1471">
            <v>15.72</v>
          </cell>
          <cell r="F1471">
            <v>1.738638069627596</v>
          </cell>
          <cell r="G1471">
            <v>2.3571552462001764</v>
          </cell>
          <cell r="H1471">
            <v>1.9578</v>
          </cell>
        </row>
        <row r="1472">
          <cell r="B1472">
            <v>38168</v>
          </cell>
          <cell r="C1472">
            <v>38166</v>
          </cell>
          <cell r="D1472">
            <v>1467</v>
          </cell>
          <cell r="E1472">
            <v>15.72</v>
          </cell>
          <cell r="F1472">
            <v>1.738638069627596</v>
          </cell>
          <cell r="G1472">
            <v>2.3585213261491984</v>
          </cell>
          <cell r="H1472">
            <v>1.9578</v>
          </cell>
        </row>
        <row r="1473">
          <cell r="B1473">
            <v>38169</v>
          </cell>
          <cell r="C1473">
            <v>38167</v>
          </cell>
          <cell r="D1473">
            <v>1468</v>
          </cell>
          <cell r="E1473">
            <v>15.72</v>
          </cell>
          <cell r="F1473">
            <v>1.738638069627596</v>
          </cell>
          <cell r="G1473">
            <v>2.3598881978044224</v>
          </cell>
          <cell r="H1473">
            <v>1.9578</v>
          </cell>
        </row>
        <row r="1474">
          <cell r="B1474">
            <v>38170</v>
          </cell>
          <cell r="C1474">
            <v>38168</v>
          </cell>
          <cell r="D1474">
            <v>1469</v>
          </cell>
          <cell r="E1474">
            <v>15.72</v>
          </cell>
          <cell r="F1474">
            <v>1.738638069627596</v>
          </cell>
          <cell r="G1474">
            <v>2.3612558616246782</v>
          </cell>
          <cell r="H1474">
            <v>1.9578</v>
          </cell>
        </row>
        <row r="1475">
          <cell r="B1475">
            <v>38171</v>
          </cell>
          <cell r="C1475">
            <v>38169</v>
          </cell>
          <cell r="D1475">
            <v>1470</v>
          </cell>
          <cell r="E1475">
            <v>15.72</v>
          </cell>
          <cell r="F1475">
            <v>1.738638069627596</v>
          </cell>
          <cell r="G1475">
            <v>2.362624318069062</v>
          </cell>
          <cell r="H1475">
            <v>1.9578</v>
          </cell>
        </row>
        <row r="1476">
          <cell r="B1476">
            <v>38172</v>
          </cell>
          <cell r="C1476">
            <v>38170</v>
          </cell>
          <cell r="D1476">
            <v>1471</v>
          </cell>
          <cell r="E1476">
            <v>15.72</v>
          </cell>
          <cell r="F1476">
            <v>1.738638069627596</v>
          </cell>
          <cell r="G1476">
            <v>2.3639935675969364</v>
          </cell>
          <cell r="H1476">
            <v>1.9578</v>
          </cell>
        </row>
        <row r="1477">
          <cell r="B1477">
            <v>38173</v>
          </cell>
          <cell r="C1477">
            <v>38171</v>
          </cell>
          <cell r="D1477">
            <v>1472</v>
          </cell>
          <cell r="E1477">
            <v>15.72</v>
          </cell>
          <cell r="F1477">
            <v>1.738638069627596</v>
          </cell>
          <cell r="G1477">
            <v>2.3653636106679294</v>
          </cell>
          <cell r="H1477">
            <v>1.9578</v>
          </cell>
        </row>
        <row r="1478">
          <cell r="B1478">
            <v>38174</v>
          </cell>
          <cell r="C1478">
            <v>38172</v>
          </cell>
          <cell r="D1478">
            <v>1473</v>
          </cell>
          <cell r="E1478">
            <v>15.72</v>
          </cell>
          <cell r="F1478">
            <v>1.738638069627596</v>
          </cell>
          <cell r="G1478">
            <v>2.3667344477419356</v>
          </cell>
          <cell r="H1478">
            <v>1.9578</v>
          </cell>
        </row>
        <row r="1479">
          <cell r="B1479">
            <v>38175</v>
          </cell>
          <cell r="C1479">
            <v>38173</v>
          </cell>
          <cell r="D1479">
            <v>1474</v>
          </cell>
          <cell r="E1479">
            <v>15.72</v>
          </cell>
          <cell r="F1479">
            <v>1.738638069627596</v>
          </cell>
          <cell r="G1479">
            <v>2.3681060792791166</v>
          </cell>
          <cell r="H1479">
            <v>1.9578</v>
          </cell>
        </row>
        <row r="1480">
          <cell r="B1480">
            <v>38176</v>
          </cell>
          <cell r="C1480">
            <v>38174</v>
          </cell>
          <cell r="D1480">
            <v>1475</v>
          </cell>
          <cell r="E1480">
            <v>15.72</v>
          </cell>
          <cell r="F1480">
            <v>1.738638069627596</v>
          </cell>
          <cell r="G1480">
            <v>2.3694785057399006</v>
          </cell>
          <cell r="H1480">
            <v>1.9578</v>
          </cell>
        </row>
        <row r="1481">
          <cell r="B1481">
            <v>38177</v>
          </cell>
          <cell r="C1481">
            <v>38175</v>
          </cell>
          <cell r="D1481">
            <v>1476</v>
          </cell>
          <cell r="E1481">
            <v>15.72</v>
          </cell>
          <cell r="F1481">
            <v>1.738638069627596</v>
          </cell>
          <cell r="G1481">
            <v>2.3708517275849816</v>
          </cell>
          <cell r="H1481">
            <v>1.9578</v>
          </cell>
        </row>
        <row r="1482">
          <cell r="B1482">
            <v>38178</v>
          </cell>
          <cell r="C1482">
            <v>38176</v>
          </cell>
          <cell r="D1482">
            <v>1477</v>
          </cell>
          <cell r="E1482">
            <v>15.72</v>
          </cell>
          <cell r="F1482">
            <v>1.738638069627596</v>
          </cell>
          <cell r="G1482">
            <v>2.3722257452753222</v>
          </cell>
          <cell r="H1482">
            <v>1.9578</v>
          </cell>
        </row>
        <row r="1483">
          <cell r="B1483">
            <v>38179</v>
          </cell>
          <cell r="C1483">
            <v>38177</v>
          </cell>
          <cell r="D1483">
            <v>1478</v>
          </cell>
          <cell r="E1483">
            <v>15.72</v>
          </cell>
          <cell r="F1483">
            <v>1.738638069627596</v>
          </cell>
          <cell r="G1483">
            <v>2.373600559272151</v>
          </cell>
          <cell r="H1483">
            <v>1.9578</v>
          </cell>
        </row>
        <row r="1484">
          <cell r="B1484">
            <v>38180</v>
          </cell>
          <cell r="C1484">
            <v>38178</v>
          </cell>
          <cell r="D1484">
            <v>1479</v>
          </cell>
          <cell r="E1484">
            <v>15.72</v>
          </cell>
          <cell r="F1484">
            <v>1.738638069627596</v>
          </cell>
          <cell r="G1484">
            <v>2.3749761700369643</v>
          </cell>
          <cell r="H1484">
            <v>1.9578</v>
          </cell>
        </row>
        <row r="1485">
          <cell r="B1485">
            <v>38181</v>
          </cell>
          <cell r="C1485">
            <v>38179</v>
          </cell>
          <cell r="D1485">
            <v>1480</v>
          </cell>
          <cell r="E1485">
            <v>15.72</v>
          </cell>
          <cell r="F1485">
            <v>1.738638069627596</v>
          </cell>
          <cell r="G1485">
            <v>2.376352578031526</v>
          </cell>
          <cell r="H1485">
            <v>1.9578</v>
          </cell>
        </row>
        <row r="1486">
          <cell r="B1486">
            <v>38182</v>
          </cell>
          <cell r="C1486">
            <v>38180</v>
          </cell>
          <cell r="D1486">
            <v>1481</v>
          </cell>
          <cell r="E1486">
            <v>15.72</v>
          </cell>
          <cell r="F1486">
            <v>1.738638069627596</v>
          </cell>
          <cell r="G1486">
            <v>2.377729783717867</v>
          </cell>
          <cell r="H1486">
            <v>1.9578</v>
          </cell>
        </row>
        <row r="1487">
          <cell r="B1487">
            <v>38183</v>
          </cell>
          <cell r="C1487">
            <v>38181</v>
          </cell>
          <cell r="D1487">
            <v>1482</v>
          </cell>
          <cell r="E1487">
            <v>15.72</v>
          </cell>
          <cell r="F1487">
            <v>1.738638069627596</v>
          </cell>
          <cell r="G1487">
            <v>2.3791077875582869</v>
          </cell>
          <cell r="H1487">
            <v>1.9578</v>
          </cell>
        </row>
        <row r="1488">
          <cell r="B1488">
            <v>38184</v>
          </cell>
          <cell r="C1488">
            <v>38182</v>
          </cell>
          <cell r="D1488">
            <v>1483</v>
          </cell>
          <cell r="E1488">
            <v>15.72</v>
          </cell>
          <cell r="F1488">
            <v>1.738638069627596</v>
          </cell>
          <cell r="G1488">
            <v>2.3804865900153525</v>
          </cell>
          <cell r="H1488">
            <v>1.9578</v>
          </cell>
        </row>
        <row r="1489">
          <cell r="B1489">
            <v>38185</v>
          </cell>
          <cell r="C1489">
            <v>38183</v>
          </cell>
          <cell r="D1489">
            <v>1484</v>
          </cell>
          <cell r="E1489">
            <v>15.72</v>
          </cell>
          <cell r="F1489">
            <v>1.738638069627596</v>
          </cell>
          <cell r="G1489">
            <v>2.3818661915518988</v>
          </cell>
          <cell r="H1489">
            <v>1.9578</v>
          </cell>
        </row>
        <row r="1490">
          <cell r="B1490">
            <v>38186</v>
          </cell>
          <cell r="C1490">
            <v>38184</v>
          </cell>
          <cell r="D1490">
            <v>1485</v>
          </cell>
          <cell r="E1490">
            <v>15.72</v>
          </cell>
          <cell r="F1490">
            <v>1.738638069627596</v>
          </cell>
          <cell r="G1490">
            <v>2.3832465926310293</v>
          </cell>
          <cell r="H1490">
            <v>1.9578</v>
          </cell>
        </row>
        <row r="1491">
          <cell r="B1491">
            <v>38187</v>
          </cell>
          <cell r="C1491">
            <v>38185</v>
          </cell>
          <cell r="D1491">
            <v>1486</v>
          </cell>
          <cell r="E1491">
            <v>15.72</v>
          </cell>
          <cell r="F1491">
            <v>1.738638069627596</v>
          </cell>
          <cell r="G1491">
            <v>2.3846277937161156</v>
          </cell>
          <cell r="H1491">
            <v>1.9578</v>
          </cell>
        </row>
        <row r="1492">
          <cell r="B1492">
            <v>38188</v>
          </cell>
          <cell r="C1492">
            <v>38186</v>
          </cell>
          <cell r="D1492">
            <v>1487</v>
          </cell>
          <cell r="E1492">
            <v>15.72</v>
          </cell>
          <cell r="F1492">
            <v>1.738638069627596</v>
          </cell>
          <cell r="G1492">
            <v>2.3860097952707977</v>
          </cell>
          <cell r="H1492">
            <v>1.9578</v>
          </cell>
        </row>
        <row r="1493">
          <cell r="B1493">
            <v>38189</v>
          </cell>
          <cell r="C1493">
            <v>38187</v>
          </cell>
          <cell r="D1493">
            <v>1488</v>
          </cell>
          <cell r="E1493">
            <v>15.72</v>
          </cell>
          <cell r="F1493">
            <v>1.738638069627596</v>
          </cell>
          <cell r="G1493">
            <v>2.3873925977589852</v>
          </cell>
          <cell r="H1493">
            <v>1.9578</v>
          </cell>
        </row>
        <row r="1494">
          <cell r="B1494">
            <v>38190</v>
          </cell>
          <cell r="C1494">
            <v>38188</v>
          </cell>
          <cell r="D1494">
            <v>1489</v>
          </cell>
          <cell r="E1494">
            <v>15.72</v>
          </cell>
          <cell r="F1494">
            <v>1.738638069627596</v>
          </cell>
          <cell r="G1494">
            <v>2.3887762016448555</v>
          </cell>
          <cell r="H1494">
            <v>1.9578</v>
          </cell>
        </row>
        <row r="1495">
          <cell r="B1495">
            <v>38191</v>
          </cell>
          <cell r="C1495">
            <v>38189</v>
          </cell>
          <cell r="D1495">
            <v>1490</v>
          </cell>
          <cell r="E1495">
            <v>15.72</v>
          </cell>
          <cell r="F1495">
            <v>1.738638069627596</v>
          </cell>
          <cell r="G1495">
            <v>2.3901606073928554</v>
          </cell>
          <cell r="H1495">
            <v>1.9578</v>
          </cell>
        </row>
        <row r="1496">
          <cell r="B1496">
            <v>38192</v>
          </cell>
          <cell r="C1496">
            <v>38190</v>
          </cell>
          <cell r="D1496">
            <v>1491</v>
          </cell>
          <cell r="E1496">
            <v>15.72</v>
          </cell>
          <cell r="F1496">
            <v>1.738638069627596</v>
          </cell>
          <cell r="G1496">
            <v>2.3915458154677012</v>
          </cell>
          <cell r="H1496">
            <v>1.9578</v>
          </cell>
        </row>
        <row r="1497">
          <cell r="B1497">
            <v>38193</v>
          </cell>
          <cell r="C1497">
            <v>38191</v>
          </cell>
          <cell r="D1497">
            <v>1492</v>
          </cell>
          <cell r="E1497">
            <v>15.72</v>
          </cell>
          <cell r="F1497">
            <v>1.738638069627596</v>
          </cell>
          <cell r="G1497">
            <v>2.3929318263343782</v>
          </cell>
          <cell r="H1497">
            <v>1.9578</v>
          </cell>
        </row>
        <row r="1498">
          <cell r="B1498">
            <v>38194</v>
          </cell>
          <cell r="C1498">
            <v>38192</v>
          </cell>
          <cell r="D1498">
            <v>1493</v>
          </cell>
          <cell r="E1498">
            <v>15.72</v>
          </cell>
          <cell r="F1498">
            <v>1.738638069627596</v>
          </cell>
          <cell r="G1498">
            <v>2.3943186404581409</v>
          </cell>
          <cell r="H1498">
            <v>1.9578</v>
          </cell>
        </row>
        <row r="1499">
          <cell r="B1499">
            <v>38195</v>
          </cell>
          <cell r="C1499">
            <v>38193</v>
          </cell>
          <cell r="D1499">
            <v>1494</v>
          </cell>
          <cell r="E1499">
            <v>15.72</v>
          </cell>
          <cell r="F1499">
            <v>1.738638069627596</v>
          </cell>
          <cell r="G1499">
            <v>2.3957062583045139</v>
          </cell>
          <cell r="H1499">
            <v>1.9578</v>
          </cell>
        </row>
        <row r="1500">
          <cell r="B1500">
            <v>38196</v>
          </cell>
          <cell r="C1500">
            <v>38194</v>
          </cell>
          <cell r="D1500">
            <v>1495</v>
          </cell>
          <cell r="E1500">
            <v>15.72</v>
          </cell>
          <cell r="F1500">
            <v>1.738638069627596</v>
          </cell>
          <cell r="G1500">
            <v>2.3970946803392916</v>
          </cell>
          <cell r="H1500">
            <v>1.9578</v>
          </cell>
        </row>
        <row r="1501">
          <cell r="B1501">
            <v>38197</v>
          </cell>
          <cell r="C1501">
            <v>38195</v>
          </cell>
          <cell r="D1501">
            <v>1496</v>
          </cell>
          <cell r="E1501">
            <v>15.72</v>
          </cell>
          <cell r="F1501">
            <v>1.738638069627596</v>
          </cell>
          <cell r="G1501">
            <v>2.3984839070285382</v>
          </cell>
          <cell r="H1501">
            <v>1.9578</v>
          </cell>
        </row>
        <row r="1502">
          <cell r="B1502">
            <v>38198</v>
          </cell>
          <cell r="C1502">
            <v>38196</v>
          </cell>
          <cell r="D1502">
            <v>1497</v>
          </cell>
          <cell r="E1502">
            <v>15.72</v>
          </cell>
          <cell r="F1502">
            <v>1.738638069627596</v>
          </cell>
          <cell r="G1502">
            <v>2.3998739388385877</v>
          </cell>
          <cell r="H1502">
            <v>1.9578</v>
          </cell>
        </row>
        <row r="1503">
          <cell r="B1503">
            <v>38199</v>
          </cell>
          <cell r="C1503">
            <v>38197</v>
          </cell>
          <cell r="D1503">
            <v>1498</v>
          </cell>
          <cell r="E1503">
            <v>15.72</v>
          </cell>
          <cell r="F1503">
            <v>1.738638069627596</v>
          </cell>
          <cell r="G1503">
            <v>2.4012647762360451</v>
          </cell>
          <cell r="H1503">
            <v>1.9578</v>
          </cell>
        </row>
        <row r="1504">
          <cell r="B1504">
            <v>38200</v>
          </cell>
          <cell r="C1504">
            <v>38198</v>
          </cell>
          <cell r="D1504">
            <v>1499</v>
          </cell>
          <cell r="E1504">
            <v>15.72</v>
          </cell>
          <cell r="F1504">
            <v>1.738638069627596</v>
          </cell>
          <cell r="G1504">
            <v>2.4026564196877849</v>
          </cell>
          <cell r="H1504">
            <v>1.9578</v>
          </cell>
        </row>
        <row r="1505">
          <cell r="B1505">
            <v>38201</v>
          </cell>
          <cell r="C1505">
            <v>38199</v>
          </cell>
          <cell r="D1505">
            <v>1500</v>
          </cell>
          <cell r="E1505">
            <v>15.72</v>
          </cell>
          <cell r="F1505">
            <v>1.738638069627596</v>
          </cell>
          <cell r="G1505">
            <v>2.404048869660953</v>
          </cell>
          <cell r="H1505">
            <v>1.9578</v>
          </cell>
        </row>
        <row r="1506">
          <cell r="B1506">
            <v>38202</v>
          </cell>
          <cell r="C1506">
            <v>38200</v>
          </cell>
          <cell r="D1506">
            <v>1501</v>
          </cell>
          <cell r="E1506">
            <v>15.72</v>
          </cell>
          <cell r="F1506">
            <v>1.738638069627596</v>
          </cell>
          <cell r="G1506">
            <v>2.4054421266229657</v>
          </cell>
          <cell r="H1506">
            <v>1.9578</v>
          </cell>
        </row>
        <row r="1507">
          <cell r="B1507">
            <v>38203</v>
          </cell>
          <cell r="C1507">
            <v>38201</v>
          </cell>
          <cell r="D1507">
            <v>1502</v>
          </cell>
          <cell r="E1507">
            <v>15.72</v>
          </cell>
          <cell r="F1507">
            <v>1.738638069627596</v>
          </cell>
          <cell r="G1507">
            <v>2.4068361910415099</v>
          </cell>
          <cell r="H1507">
            <v>1.9578</v>
          </cell>
        </row>
        <row r="1508">
          <cell r="B1508">
            <v>38204</v>
          </cell>
          <cell r="C1508">
            <v>38202</v>
          </cell>
          <cell r="D1508">
            <v>1503</v>
          </cell>
          <cell r="E1508">
            <v>15.72</v>
          </cell>
          <cell r="F1508">
            <v>1.738638069627596</v>
          </cell>
          <cell r="G1508">
            <v>2.4082310633845441</v>
          </cell>
          <cell r="H1508">
            <v>1.9578</v>
          </cell>
        </row>
        <row r="1509">
          <cell r="B1509">
            <v>38205</v>
          </cell>
          <cell r="C1509">
            <v>38203</v>
          </cell>
          <cell r="D1509">
            <v>1504</v>
          </cell>
          <cell r="E1509">
            <v>15.72</v>
          </cell>
          <cell r="F1509">
            <v>1.738638069627596</v>
          </cell>
          <cell r="G1509">
            <v>2.4096267441202976</v>
          </cell>
          <cell r="H1509">
            <v>1.9578</v>
          </cell>
        </row>
        <row r="1510">
          <cell r="B1510">
            <v>38206</v>
          </cell>
          <cell r="C1510">
            <v>38204</v>
          </cell>
          <cell r="D1510">
            <v>1505</v>
          </cell>
          <cell r="E1510">
            <v>15.72</v>
          </cell>
          <cell r="F1510">
            <v>1.738638069627596</v>
          </cell>
          <cell r="G1510">
            <v>2.411023233717271</v>
          </cell>
          <cell r="H1510">
            <v>1.9578</v>
          </cell>
        </row>
        <row r="1511">
          <cell r="B1511">
            <v>38207</v>
          </cell>
          <cell r="C1511">
            <v>38205</v>
          </cell>
          <cell r="D1511">
            <v>1506</v>
          </cell>
          <cell r="E1511">
            <v>15.72</v>
          </cell>
          <cell r="F1511">
            <v>1.738638069627596</v>
          </cell>
          <cell r="G1511">
            <v>2.4124205326442367</v>
          </cell>
          <cell r="H1511">
            <v>1.9578</v>
          </cell>
        </row>
        <row r="1512">
          <cell r="B1512">
            <v>38208</v>
          </cell>
          <cell r="C1512">
            <v>38206</v>
          </cell>
          <cell r="D1512">
            <v>1507</v>
          </cell>
          <cell r="E1512">
            <v>15.72</v>
          </cell>
          <cell r="F1512">
            <v>1.738638069627596</v>
          </cell>
          <cell r="G1512">
            <v>2.4138186413702387</v>
          </cell>
          <cell r="H1512">
            <v>1.9578</v>
          </cell>
        </row>
        <row r="1513">
          <cell r="B1513">
            <v>38209</v>
          </cell>
          <cell r="C1513">
            <v>38207</v>
          </cell>
          <cell r="D1513">
            <v>1508</v>
          </cell>
          <cell r="E1513">
            <v>15.72</v>
          </cell>
          <cell r="F1513">
            <v>1.738638069627596</v>
          </cell>
          <cell r="G1513">
            <v>2.4152175603645931</v>
          </cell>
          <cell r="H1513">
            <v>1.9578</v>
          </cell>
        </row>
        <row r="1514">
          <cell r="B1514">
            <v>38210</v>
          </cell>
          <cell r="C1514">
            <v>38208</v>
          </cell>
          <cell r="D1514">
            <v>1509</v>
          </cell>
          <cell r="E1514">
            <v>15.72</v>
          </cell>
          <cell r="F1514">
            <v>1.738638069627596</v>
          </cell>
          <cell r="G1514">
            <v>2.4166172900968874</v>
          </cell>
          <cell r="H1514">
            <v>1.9578</v>
          </cell>
        </row>
        <row r="1515">
          <cell r="B1515">
            <v>38211</v>
          </cell>
          <cell r="C1515">
            <v>38209</v>
          </cell>
          <cell r="D1515">
            <v>1510</v>
          </cell>
          <cell r="E1515">
            <v>15.72</v>
          </cell>
          <cell r="F1515">
            <v>1.738638069627596</v>
          </cell>
          <cell r="G1515">
            <v>2.4180178310369818</v>
          </cell>
          <cell r="H1515">
            <v>1.9578</v>
          </cell>
        </row>
        <row r="1516">
          <cell r="B1516">
            <v>38212</v>
          </cell>
          <cell r="C1516">
            <v>38210</v>
          </cell>
          <cell r="D1516">
            <v>1511</v>
          </cell>
          <cell r="E1516">
            <v>15.72</v>
          </cell>
          <cell r="F1516">
            <v>1.738638069627596</v>
          </cell>
          <cell r="G1516">
            <v>2.4194191836550081</v>
          </cell>
          <cell r="H1516">
            <v>1.9578</v>
          </cell>
        </row>
        <row r="1517">
          <cell r="B1517">
            <v>38213</v>
          </cell>
          <cell r="C1517">
            <v>38211</v>
          </cell>
          <cell r="D1517">
            <v>1512</v>
          </cell>
          <cell r="E1517">
            <v>15.72</v>
          </cell>
          <cell r="F1517">
            <v>1.738638069627596</v>
          </cell>
          <cell r="G1517">
            <v>2.4208213484213714</v>
          </cell>
          <cell r="H1517">
            <v>1.9578</v>
          </cell>
        </row>
        <row r="1518">
          <cell r="B1518">
            <v>38214</v>
          </cell>
          <cell r="C1518">
            <v>38212</v>
          </cell>
          <cell r="D1518">
            <v>1513</v>
          </cell>
          <cell r="E1518">
            <v>15.72</v>
          </cell>
          <cell r="F1518">
            <v>1.738638069627596</v>
          </cell>
          <cell r="G1518">
            <v>2.4222243258067491</v>
          </cell>
          <cell r="H1518">
            <v>1.9578</v>
          </cell>
        </row>
        <row r="1519">
          <cell r="B1519">
            <v>38215</v>
          </cell>
          <cell r="C1519">
            <v>38213</v>
          </cell>
          <cell r="D1519">
            <v>1514</v>
          </cell>
          <cell r="E1519">
            <v>15.72</v>
          </cell>
          <cell r="F1519">
            <v>1.738638069627596</v>
          </cell>
          <cell r="G1519">
            <v>2.423628116282091</v>
          </cell>
          <cell r="H1519">
            <v>1.9578</v>
          </cell>
        </row>
        <row r="1520">
          <cell r="B1520">
            <v>38216</v>
          </cell>
          <cell r="C1520">
            <v>38214</v>
          </cell>
          <cell r="D1520">
            <v>1515</v>
          </cell>
          <cell r="E1520">
            <v>15.72</v>
          </cell>
          <cell r="F1520">
            <v>1.738638069627596</v>
          </cell>
          <cell r="G1520">
            <v>2.4250327203186202</v>
          </cell>
          <cell r="H1520">
            <v>1.9578</v>
          </cell>
        </row>
        <row r="1521">
          <cell r="B1521">
            <v>38217</v>
          </cell>
          <cell r="C1521">
            <v>38215</v>
          </cell>
          <cell r="D1521">
            <v>1516</v>
          </cell>
          <cell r="E1521">
            <v>15.72</v>
          </cell>
          <cell r="F1521">
            <v>1.738638069627596</v>
          </cell>
          <cell r="G1521">
            <v>2.4264381383878328</v>
          </cell>
          <cell r="H1521">
            <v>1.9578</v>
          </cell>
        </row>
        <row r="1522">
          <cell r="B1522">
            <v>38218</v>
          </cell>
          <cell r="C1522">
            <v>38216</v>
          </cell>
          <cell r="D1522">
            <v>1517</v>
          </cell>
          <cell r="E1522">
            <v>15.72</v>
          </cell>
          <cell r="F1522">
            <v>1.738638069627596</v>
          </cell>
          <cell r="G1522">
            <v>2.4278443709614987</v>
          </cell>
          <cell r="H1522">
            <v>1.9578</v>
          </cell>
        </row>
        <row r="1523">
          <cell r="B1523">
            <v>38219</v>
          </cell>
          <cell r="C1523">
            <v>38217</v>
          </cell>
          <cell r="D1523">
            <v>1518</v>
          </cell>
          <cell r="E1523">
            <v>15.72</v>
          </cell>
          <cell r="F1523">
            <v>1.738638069627596</v>
          </cell>
          <cell r="G1523">
            <v>2.4292514185116603</v>
          </cell>
          <cell r="H1523">
            <v>1.9578</v>
          </cell>
        </row>
        <row r="1524">
          <cell r="B1524">
            <v>38220</v>
          </cell>
          <cell r="C1524">
            <v>38218</v>
          </cell>
          <cell r="D1524">
            <v>1519</v>
          </cell>
          <cell r="E1524">
            <v>15.72</v>
          </cell>
          <cell r="F1524">
            <v>1.738638069627596</v>
          </cell>
          <cell r="G1524">
            <v>2.4306592815106338</v>
          </cell>
          <cell r="H1524">
            <v>1.9578</v>
          </cell>
        </row>
        <row r="1525">
          <cell r="B1525">
            <v>38221</v>
          </cell>
          <cell r="C1525">
            <v>38219</v>
          </cell>
          <cell r="D1525">
            <v>1520</v>
          </cell>
          <cell r="E1525">
            <v>15.72</v>
          </cell>
          <cell r="F1525">
            <v>1.738638069627596</v>
          </cell>
          <cell r="G1525">
            <v>2.4320679604310098</v>
          </cell>
          <cell r="H1525">
            <v>1.9578</v>
          </cell>
        </row>
        <row r="1526">
          <cell r="B1526">
            <v>38222</v>
          </cell>
          <cell r="C1526">
            <v>38220</v>
          </cell>
          <cell r="D1526">
            <v>1521</v>
          </cell>
          <cell r="E1526">
            <v>15.72</v>
          </cell>
          <cell r="F1526">
            <v>1.738638069627596</v>
          </cell>
          <cell r="G1526">
            <v>2.4334774557456522</v>
          </cell>
          <cell r="H1526">
            <v>1.9578</v>
          </cell>
        </row>
        <row r="1527">
          <cell r="B1527">
            <v>38223</v>
          </cell>
          <cell r="C1527">
            <v>38221</v>
          </cell>
          <cell r="D1527">
            <v>1522</v>
          </cell>
          <cell r="E1527">
            <v>15.72</v>
          </cell>
          <cell r="F1527">
            <v>1.738638069627596</v>
          </cell>
          <cell r="G1527">
            <v>2.434887767927699</v>
          </cell>
          <cell r="H1527">
            <v>1.9578</v>
          </cell>
        </row>
        <row r="1528">
          <cell r="B1528">
            <v>38224</v>
          </cell>
          <cell r="C1528">
            <v>38222</v>
          </cell>
          <cell r="D1528">
            <v>1523</v>
          </cell>
          <cell r="E1528">
            <v>15.72</v>
          </cell>
          <cell r="F1528">
            <v>1.738638069627596</v>
          </cell>
          <cell r="G1528">
            <v>2.4362988974505622</v>
          </cell>
          <cell r="H1528">
            <v>1.9578</v>
          </cell>
        </row>
        <row r="1529">
          <cell r="B1529">
            <v>38225</v>
          </cell>
          <cell r="C1529">
            <v>38223</v>
          </cell>
          <cell r="D1529">
            <v>1524</v>
          </cell>
          <cell r="E1529">
            <v>15.72</v>
          </cell>
          <cell r="F1529">
            <v>1.738638069627596</v>
          </cell>
          <cell r="G1529">
            <v>2.4377108447879285</v>
          </cell>
          <cell r="H1529">
            <v>1.9578</v>
          </cell>
        </row>
        <row r="1530">
          <cell r="B1530">
            <v>38226</v>
          </cell>
          <cell r="C1530">
            <v>38224</v>
          </cell>
          <cell r="D1530">
            <v>1525</v>
          </cell>
          <cell r="E1530">
            <v>15.72</v>
          </cell>
          <cell r="F1530">
            <v>1.738638069627596</v>
          </cell>
          <cell r="G1530">
            <v>2.4391236104137595</v>
          </cell>
          <cell r="H1530">
            <v>1.9578</v>
          </cell>
        </row>
        <row r="1531">
          <cell r="B1531">
            <v>38227</v>
          </cell>
          <cell r="C1531">
            <v>38225</v>
          </cell>
          <cell r="D1531">
            <v>1526</v>
          </cell>
          <cell r="E1531">
            <v>15.72</v>
          </cell>
          <cell r="F1531">
            <v>1.738638069627596</v>
          </cell>
          <cell r="G1531">
            <v>2.4405371948022903</v>
          </cell>
          <cell r="H1531">
            <v>1.9578</v>
          </cell>
        </row>
        <row r="1532">
          <cell r="B1532">
            <v>38228</v>
          </cell>
          <cell r="C1532">
            <v>38226</v>
          </cell>
          <cell r="D1532">
            <v>1527</v>
          </cell>
          <cell r="E1532">
            <v>15.72</v>
          </cell>
          <cell r="F1532">
            <v>1.738638069627596</v>
          </cell>
          <cell r="G1532">
            <v>2.441951598428032</v>
          </cell>
          <cell r="H1532">
            <v>1.9578</v>
          </cell>
        </row>
        <row r="1533">
          <cell r="B1533">
            <v>38229</v>
          </cell>
          <cell r="C1533">
            <v>38227</v>
          </cell>
          <cell r="D1533">
            <v>1528</v>
          </cell>
          <cell r="E1533">
            <v>15.72</v>
          </cell>
          <cell r="F1533">
            <v>1.738638069627596</v>
          </cell>
          <cell r="G1533">
            <v>2.4433668217657702</v>
          </cell>
          <cell r="H1533">
            <v>1.9578</v>
          </cell>
        </row>
        <row r="1534">
          <cell r="B1534">
            <v>38230</v>
          </cell>
          <cell r="C1534">
            <v>38228</v>
          </cell>
          <cell r="D1534">
            <v>1529</v>
          </cell>
          <cell r="E1534">
            <v>15.72</v>
          </cell>
          <cell r="F1534">
            <v>1.738638069627596</v>
          </cell>
          <cell r="G1534">
            <v>2.4447828652905659</v>
          </cell>
          <cell r="H1534">
            <v>1.9578</v>
          </cell>
        </row>
        <row r="1535">
          <cell r="B1535">
            <v>38231</v>
          </cell>
          <cell r="C1535">
            <v>38229</v>
          </cell>
          <cell r="D1535">
            <v>1530</v>
          </cell>
          <cell r="E1535">
            <v>15.72</v>
          </cell>
          <cell r="F1535">
            <v>1.738638069627596</v>
          </cell>
          <cell r="G1535">
            <v>2.4461997294777551</v>
          </cell>
          <cell r="H1535">
            <v>1.9578</v>
          </cell>
        </row>
        <row r="1536">
          <cell r="B1536">
            <v>38232</v>
          </cell>
          <cell r="C1536">
            <v>38230</v>
          </cell>
          <cell r="D1536">
            <v>1531</v>
          </cell>
          <cell r="E1536">
            <v>15.72</v>
          </cell>
          <cell r="F1536">
            <v>1.738638069627596</v>
          </cell>
          <cell r="G1536">
            <v>2.4476174148029495</v>
          </cell>
          <cell r="H1536">
            <v>1.9578</v>
          </cell>
        </row>
        <row r="1537">
          <cell r="B1537">
            <v>38233</v>
          </cell>
          <cell r="C1537">
            <v>38231</v>
          </cell>
          <cell r="D1537">
            <v>1532</v>
          </cell>
          <cell r="E1537">
            <v>15.72</v>
          </cell>
          <cell r="F1537">
            <v>1.738638069627596</v>
          </cell>
          <cell r="G1537">
            <v>2.4490359217420363</v>
          </cell>
          <cell r="H1537">
            <v>1.9578</v>
          </cell>
        </row>
        <row r="1538">
          <cell r="B1538">
            <v>38234</v>
          </cell>
          <cell r="C1538">
            <v>38232</v>
          </cell>
          <cell r="D1538">
            <v>1533</v>
          </cell>
          <cell r="E1538">
            <v>15.72</v>
          </cell>
          <cell r="F1538">
            <v>1.738638069627596</v>
          </cell>
          <cell r="G1538">
            <v>2.4504552507711783</v>
          </cell>
          <cell r="H1538">
            <v>1.9578</v>
          </cell>
        </row>
        <row r="1539">
          <cell r="B1539">
            <v>38235</v>
          </cell>
          <cell r="C1539">
            <v>38233</v>
          </cell>
          <cell r="D1539">
            <v>1534</v>
          </cell>
          <cell r="E1539">
            <v>15.72</v>
          </cell>
          <cell r="F1539">
            <v>1.738638069627596</v>
          </cell>
          <cell r="G1539">
            <v>2.4518754023668148</v>
          </cell>
          <cell r="H1539">
            <v>1.9578</v>
          </cell>
        </row>
        <row r="1540">
          <cell r="B1540">
            <v>38236</v>
          </cell>
          <cell r="C1540">
            <v>38234</v>
          </cell>
          <cell r="D1540">
            <v>1535</v>
          </cell>
          <cell r="E1540">
            <v>15.72</v>
          </cell>
          <cell r="F1540">
            <v>1.738638069627596</v>
          </cell>
          <cell r="G1540">
            <v>2.4532963770056608</v>
          </cell>
          <cell r="H1540">
            <v>1.9578</v>
          </cell>
        </row>
        <row r="1541">
          <cell r="B1541">
            <v>38237</v>
          </cell>
          <cell r="C1541">
            <v>38235</v>
          </cell>
          <cell r="D1541">
            <v>1536</v>
          </cell>
          <cell r="E1541">
            <v>15.72</v>
          </cell>
          <cell r="F1541">
            <v>1.738638069627596</v>
          </cell>
          <cell r="G1541">
            <v>2.4547181751647078</v>
          </cell>
          <cell r="H1541">
            <v>1.9578</v>
          </cell>
        </row>
        <row r="1542">
          <cell r="B1542">
            <v>38238</v>
          </cell>
          <cell r="C1542">
            <v>38236</v>
          </cell>
          <cell r="D1542">
            <v>1537</v>
          </cell>
          <cell r="E1542">
            <v>15.72</v>
          </cell>
          <cell r="F1542">
            <v>1.738638069627596</v>
          </cell>
          <cell r="G1542">
            <v>2.4561407973212237</v>
          </cell>
          <cell r="H1542">
            <v>1.9578</v>
          </cell>
        </row>
        <row r="1543">
          <cell r="B1543">
            <v>38239</v>
          </cell>
          <cell r="C1543">
            <v>38237</v>
          </cell>
          <cell r="D1543">
            <v>1538</v>
          </cell>
          <cell r="E1543">
            <v>15.72</v>
          </cell>
          <cell r="F1543">
            <v>1.738638069627596</v>
          </cell>
          <cell r="G1543">
            <v>2.4575642439527532</v>
          </cell>
          <cell r="H1543">
            <v>1.9578</v>
          </cell>
        </row>
        <row r="1544">
          <cell r="B1544">
            <v>38240</v>
          </cell>
          <cell r="C1544">
            <v>38238</v>
          </cell>
          <cell r="D1544">
            <v>1539</v>
          </cell>
          <cell r="E1544">
            <v>15.72</v>
          </cell>
          <cell r="F1544">
            <v>1.738638069627596</v>
          </cell>
          <cell r="G1544">
            <v>2.4589885155371172</v>
          </cell>
          <cell r="H1544">
            <v>1.9578</v>
          </cell>
        </row>
        <row r="1545">
          <cell r="B1545">
            <v>38241</v>
          </cell>
          <cell r="C1545">
            <v>38239</v>
          </cell>
          <cell r="D1545">
            <v>1540</v>
          </cell>
          <cell r="E1545">
            <v>15.72</v>
          </cell>
          <cell r="F1545">
            <v>1.738638069627596</v>
          </cell>
          <cell r="G1545">
            <v>2.4604136125524136</v>
          </cell>
          <cell r="H1545">
            <v>1.9578</v>
          </cell>
        </row>
        <row r="1546">
          <cell r="B1546">
            <v>38242</v>
          </cell>
          <cell r="C1546">
            <v>38240</v>
          </cell>
          <cell r="D1546">
            <v>1541</v>
          </cell>
          <cell r="E1546">
            <v>15.72</v>
          </cell>
          <cell r="F1546">
            <v>1.738638069627596</v>
          </cell>
          <cell r="G1546">
            <v>2.4618395354770182</v>
          </cell>
          <cell r="H1546">
            <v>1.9578</v>
          </cell>
        </row>
        <row r="1547">
          <cell r="B1547">
            <v>38243</v>
          </cell>
          <cell r="C1547">
            <v>38241</v>
          </cell>
          <cell r="D1547">
            <v>1542</v>
          </cell>
          <cell r="E1547">
            <v>15.72</v>
          </cell>
          <cell r="F1547">
            <v>1.738638069627596</v>
          </cell>
          <cell r="G1547">
            <v>2.463266284789583</v>
          </cell>
          <cell r="H1547">
            <v>1.9578</v>
          </cell>
        </row>
        <row r="1548">
          <cell r="B1548">
            <v>38244</v>
          </cell>
          <cell r="C1548">
            <v>38242</v>
          </cell>
          <cell r="D1548">
            <v>1543</v>
          </cell>
          <cell r="E1548">
            <v>15.72</v>
          </cell>
          <cell r="F1548">
            <v>1.738638069627596</v>
          </cell>
          <cell r="G1548">
            <v>2.4646938609690379</v>
          </cell>
          <cell r="H1548">
            <v>1.9578</v>
          </cell>
        </row>
        <row r="1549">
          <cell r="B1549">
            <v>38245</v>
          </cell>
          <cell r="C1549">
            <v>38243</v>
          </cell>
          <cell r="D1549">
            <v>1544</v>
          </cell>
          <cell r="E1549">
            <v>15.72</v>
          </cell>
          <cell r="F1549">
            <v>1.738638069627596</v>
          </cell>
          <cell r="G1549">
            <v>2.4661222644945906</v>
          </cell>
          <cell r="H1549">
            <v>1.9578</v>
          </cell>
        </row>
        <row r="1550">
          <cell r="B1550">
            <v>38246</v>
          </cell>
          <cell r="C1550">
            <v>38244</v>
          </cell>
          <cell r="D1550">
            <v>1545</v>
          </cell>
          <cell r="E1550">
            <v>15.72</v>
          </cell>
          <cell r="F1550">
            <v>1.738638069627596</v>
          </cell>
          <cell r="G1550">
            <v>2.4675514958457261</v>
          </cell>
          <cell r="H1550">
            <v>1.9578</v>
          </cell>
        </row>
        <row r="1551">
          <cell r="B1551">
            <v>38247</v>
          </cell>
          <cell r="C1551">
            <v>38245</v>
          </cell>
          <cell r="D1551">
            <v>1546</v>
          </cell>
          <cell r="E1551">
            <v>15.72</v>
          </cell>
          <cell r="F1551">
            <v>1.738638069627596</v>
          </cell>
          <cell r="G1551">
            <v>2.4689815555022072</v>
          </cell>
          <cell r="H1551">
            <v>1.9578</v>
          </cell>
        </row>
        <row r="1552">
          <cell r="B1552">
            <v>38248</v>
          </cell>
          <cell r="C1552">
            <v>38246</v>
          </cell>
          <cell r="D1552">
            <v>1547</v>
          </cell>
          <cell r="E1552">
            <v>15.72</v>
          </cell>
          <cell r="F1552">
            <v>1.738638069627596</v>
          </cell>
          <cell r="G1552">
            <v>2.4704124439440753</v>
          </cell>
          <cell r="H1552">
            <v>1.9578</v>
          </cell>
        </row>
        <row r="1553">
          <cell r="B1553">
            <v>38249</v>
          </cell>
          <cell r="C1553">
            <v>38247</v>
          </cell>
          <cell r="D1553">
            <v>1548</v>
          </cell>
          <cell r="E1553">
            <v>15.72</v>
          </cell>
          <cell r="F1553">
            <v>1.738638069627596</v>
          </cell>
          <cell r="G1553">
            <v>2.4718441616516498</v>
          </cell>
          <cell r="H1553">
            <v>1.9578</v>
          </cell>
        </row>
        <row r="1554">
          <cell r="B1554">
            <v>38250</v>
          </cell>
          <cell r="C1554">
            <v>38248</v>
          </cell>
          <cell r="D1554">
            <v>1549</v>
          </cell>
          <cell r="E1554">
            <v>15.72</v>
          </cell>
          <cell r="F1554">
            <v>1.738638069627596</v>
          </cell>
          <cell r="G1554">
            <v>2.4732767091055279</v>
          </cell>
          <cell r="H1554">
            <v>1.9578</v>
          </cell>
        </row>
        <row r="1555">
          <cell r="B1555">
            <v>38251</v>
          </cell>
          <cell r="C1555">
            <v>38249</v>
          </cell>
          <cell r="D1555">
            <v>1550</v>
          </cell>
          <cell r="E1555">
            <v>15.72</v>
          </cell>
          <cell r="F1555">
            <v>1.738638069627596</v>
          </cell>
          <cell r="G1555">
            <v>2.4747100867865859</v>
          </cell>
          <cell r="H1555">
            <v>1.9578</v>
          </cell>
        </row>
        <row r="1556">
          <cell r="B1556">
            <v>38252</v>
          </cell>
          <cell r="C1556">
            <v>38250</v>
          </cell>
          <cell r="D1556">
            <v>1551</v>
          </cell>
          <cell r="E1556">
            <v>15.72</v>
          </cell>
          <cell r="F1556">
            <v>1.738638069627596</v>
          </cell>
          <cell r="G1556">
            <v>2.4761442951759789</v>
          </cell>
          <cell r="H1556">
            <v>1.9578</v>
          </cell>
        </row>
        <row r="1557">
          <cell r="B1557">
            <v>38253</v>
          </cell>
          <cell r="C1557">
            <v>38251</v>
          </cell>
          <cell r="D1557">
            <v>1552</v>
          </cell>
          <cell r="E1557">
            <v>15.72</v>
          </cell>
          <cell r="F1557">
            <v>1.738638069627596</v>
          </cell>
          <cell r="G1557">
            <v>2.4775793347551405</v>
          </cell>
          <cell r="H1557">
            <v>1.9578</v>
          </cell>
        </row>
        <row r="1558">
          <cell r="B1558">
            <v>38254</v>
          </cell>
          <cell r="C1558">
            <v>38252</v>
          </cell>
          <cell r="D1558">
            <v>1553</v>
          </cell>
          <cell r="E1558">
            <v>15.72</v>
          </cell>
          <cell r="F1558">
            <v>1.738638069627596</v>
          </cell>
          <cell r="G1558">
            <v>2.4790152060057831</v>
          </cell>
          <cell r="H1558">
            <v>1.9578</v>
          </cell>
        </row>
        <row r="1559">
          <cell r="B1559">
            <v>38255</v>
          </cell>
          <cell r="C1559">
            <v>38253</v>
          </cell>
          <cell r="D1559">
            <v>1554</v>
          </cell>
          <cell r="E1559">
            <v>15.72</v>
          </cell>
          <cell r="F1559">
            <v>1.738638069627596</v>
          </cell>
          <cell r="G1559">
            <v>2.4804519094098989</v>
          </cell>
          <cell r="H1559">
            <v>1.9578</v>
          </cell>
        </row>
        <row r="1560">
          <cell r="B1560">
            <v>38256</v>
          </cell>
          <cell r="C1560">
            <v>38254</v>
          </cell>
          <cell r="D1560">
            <v>1555</v>
          </cell>
          <cell r="E1560">
            <v>15.72</v>
          </cell>
          <cell r="F1560">
            <v>1.738638069627596</v>
          </cell>
          <cell r="G1560">
            <v>2.4818894454497591</v>
          </cell>
          <cell r="H1560">
            <v>1.9578</v>
          </cell>
        </row>
        <row r="1561">
          <cell r="B1561">
            <v>38257</v>
          </cell>
          <cell r="C1561">
            <v>38255</v>
          </cell>
          <cell r="D1561">
            <v>1556</v>
          </cell>
          <cell r="E1561">
            <v>15.72</v>
          </cell>
          <cell r="F1561">
            <v>1.738638069627596</v>
          </cell>
          <cell r="G1561">
            <v>2.4833278146079145</v>
          </cell>
          <cell r="H1561">
            <v>1.9578</v>
          </cell>
        </row>
        <row r="1562">
          <cell r="B1562">
            <v>38258</v>
          </cell>
          <cell r="C1562">
            <v>38256</v>
          </cell>
          <cell r="D1562">
            <v>1557</v>
          </cell>
          <cell r="E1562">
            <v>15.72</v>
          </cell>
          <cell r="F1562">
            <v>1.738638069627596</v>
          </cell>
          <cell r="G1562">
            <v>2.4847670173671954</v>
          </cell>
          <cell r="H1562">
            <v>1.9578</v>
          </cell>
        </row>
        <row r="1563">
          <cell r="B1563">
            <v>38259</v>
          </cell>
          <cell r="C1563">
            <v>38257</v>
          </cell>
          <cell r="D1563">
            <v>1558</v>
          </cell>
          <cell r="E1563">
            <v>15.72</v>
          </cell>
          <cell r="F1563">
            <v>1.738638069627596</v>
          </cell>
          <cell r="G1563">
            <v>2.4862070542107118</v>
          </cell>
          <cell r="H1563">
            <v>1.9578</v>
          </cell>
        </row>
        <row r="1564">
          <cell r="B1564">
            <v>38260</v>
          </cell>
          <cell r="C1564">
            <v>38258</v>
          </cell>
          <cell r="D1564">
            <v>1559</v>
          </cell>
          <cell r="E1564">
            <v>15.72</v>
          </cell>
          <cell r="F1564">
            <v>1.738638069627596</v>
          </cell>
          <cell r="G1564">
            <v>2.4876479256218542</v>
          </cell>
          <cell r="H1564">
            <v>1.9578</v>
          </cell>
        </row>
        <row r="1565">
          <cell r="B1565">
            <v>38261</v>
          </cell>
          <cell r="C1565">
            <v>38259</v>
          </cell>
          <cell r="D1565">
            <v>1560</v>
          </cell>
          <cell r="E1565">
            <v>15.72</v>
          </cell>
          <cell r="F1565">
            <v>1.738638069627596</v>
          </cell>
          <cell r="G1565">
            <v>2.4890896320842928</v>
          </cell>
          <cell r="H1565">
            <v>1.9578</v>
          </cell>
        </row>
        <row r="1566">
          <cell r="B1566">
            <v>38262</v>
          </cell>
          <cell r="C1566">
            <v>38260</v>
          </cell>
          <cell r="D1566">
            <v>1561</v>
          </cell>
          <cell r="E1566">
            <v>15.72</v>
          </cell>
          <cell r="F1566">
            <v>1.738638069627596</v>
          </cell>
          <cell r="G1566">
            <v>2.4905321740819786</v>
          </cell>
          <cell r="H1566">
            <v>1.9578</v>
          </cell>
        </row>
        <row r="1567">
          <cell r="B1567">
            <v>38263</v>
          </cell>
          <cell r="C1567">
            <v>38261</v>
          </cell>
          <cell r="D1567">
            <v>1562</v>
          </cell>
          <cell r="E1567">
            <v>15.72</v>
          </cell>
          <cell r="F1567">
            <v>1.738638069627596</v>
          </cell>
          <cell r="G1567">
            <v>2.4919755520991425</v>
          </cell>
          <cell r="H1567">
            <v>1.9578</v>
          </cell>
        </row>
        <row r="1568">
          <cell r="B1568">
            <v>38264</v>
          </cell>
          <cell r="C1568">
            <v>38262</v>
          </cell>
          <cell r="D1568">
            <v>1563</v>
          </cell>
          <cell r="E1568">
            <v>15.72</v>
          </cell>
          <cell r="F1568">
            <v>1.738638069627596</v>
          </cell>
          <cell r="G1568">
            <v>2.493419766620296</v>
          </cell>
          <cell r="H1568">
            <v>1.9578</v>
          </cell>
        </row>
        <row r="1569">
          <cell r="B1569">
            <v>38265</v>
          </cell>
          <cell r="C1569">
            <v>38263</v>
          </cell>
          <cell r="D1569">
            <v>1564</v>
          </cell>
          <cell r="E1569">
            <v>15.72</v>
          </cell>
          <cell r="F1569">
            <v>1.738638069627596</v>
          </cell>
          <cell r="G1569">
            <v>2.4948648181302318</v>
          </cell>
          <cell r="H1569">
            <v>1.9578</v>
          </cell>
        </row>
        <row r="1570">
          <cell r="B1570">
            <v>38266</v>
          </cell>
          <cell r="C1570">
            <v>38264</v>
          </cell>
          <cell r="D1570">
            <v>1565</v>
          </cell>
          <cell r="E1570">
            <v>15.72</v>
          </cell>
          <cell r="F1570">
            <v>1.738638069627596</v>
          </cell>
          <cell r="G1570">
            <v>2.4963107071140236</v>
          </cell>
          <cell r="H1570">
            <v>1.9578</v>
          </cell>
        </row>
        <row r="1571">
          <cell r="B1571">
            <v>38267</v>
          </cell>
          <cell r="C1571">
            <v>38265</v>
          </cell>
          <cell r="D1571">
            <v>1566</v>
          </cell>
          <cell r="E1571">
            <v>15.72</v>
          </cell>
          <cell r="F1571">
            <v>1.738638069627596</v>
          </cell>
          <cell r="G1571">
            <v>2.4977574340570259</v>
          </cell>
          <cell r="H1571">
            <v>1.9578</v>
          </cell>
        </row>
        <row r="1572">
          <cell r="B1572">
            <v>38268</v>
          </cell>
          <cell r="C1572">
            <v>38266</v>
          </cell>
          <cell r="D1572">
            <v>1567</v>
          </cell>
          <cell r="E1572">
            <v>15.72</v>
          </cell>
          <cell r="F1572">
            <v>1.738638069627596</v>
          </cell>
          <cell r="G1572">
            <v>2.4992049994448751</v>
          </cell>
          <cell r="H1572">
            <v>1.9578</v>
          </cell>
        </row>
        <row r="1573">
          <cell r="B1573">
            <v>38269</v>
          </cell>
          <cell r="C1573">
            <v>38267</v>
          </cell>
          <cell r="D1573">
            <v>1568</v>
          </cell>
          <cell r="E1573">
            <v>15.72</v>
          </cell>
          <cell r="F1573">
            <v>1.738638069627596</v>
          </cell>
          <cell r="G1573">
            <v>2.5006534037634878</v>
          </cell>
          <cell r="H1573">
            <v>1.9578</v>
          </cell>
        </row>
        <row r="1574">
          <cell r="B1574">
            <v>38270</v>
          </cell>
          <cell r="C1574">
            <v>38268</v>
          </cell>
          <cell r="D1574">
            <v>1569</v>
          </cell>
          <cell r="E1574">
            <v>15.72</v>
          </cell>
          <cell r="F1574">
            <v>1.738638069627596</v>
          </cell>
          <cell r="G1574">
            <v>2.5021026474990635</v>
          </cell>
          <cell r="H1574">
            <v>1.9578</v>
          </cell>
        </row>
        <row r="1575">
          <cell r="B1575">
            <v>38271</v>
          </cell>
          <cell r="C1575">
            <v>38269</v>
          </cell>
          <cell r="D1575">
            <v>1570</v>
          </cell>
          <cell r="E1575">
            <v>15.72</v>
          </cell>
          <cell r="F1575">
            <v>1.738638069627596</v>
          </cell>
          <cell r="G1575">
            <v>2.503552731138083</v>
          </cell>
          <cell r="H1575">
            <v>1.9578</v>
          </cell>
        </row>
        <row r="1576">
          <cell r="B1576">
            <v>38272</v>
          </cell>
          <cell r="C1576">
            <v>38270</v>
          </cell>
          <cell r="D1576">
            <v>1571</v>
          </cell>
          <cell r="E1576">
            <v>15.72</v>
          </cell>
          <cell r="F1576">
            <v>1.738638069627596</v>
          </cell>
          <cell r="G1576">
            <v>2.5050036551673087</v>
          </cell>
          <cell r="H1576">
            <v>1.9578</v>
          </cell>
        </row>
        <row r="1577">
          <cell r="B1577">
            <v>38273</v>
          </cell>
          <cell r="C1577">
            <v>38271</v>
          </cell>
          <cell r="D1577">
            <v>1572</v>
          </cell>
          <cell r="E1577">
            <v>15.72</v>
          </cell>
          <cell r="F1577">
            <v>1.738638069627596</v>
          </cell>
          <cell r="G1577">
            <v>2.5064554200737854</v>
          </cell>
          <cell r="H1577">
            <v>1.9578</v>
          </cell>
        </row>
        <row r="1578">
          <cell r="B1578">
            <v>38274</v>
          </cell>
          <cell r="C1578">
            <v>38272</v>
          </cell>
          <cell r="D1578">
            <v>1573</v>
          </cell>
          <cell r="E1578">
            <v>15.72</v>
          </cell>
          <cell r="F1578">
            <v>1.738638069627596</v>
          </cell>
          <cell r="G1578">
            <v>2.5079080263448401</v>
          </cell>
          <cell r="H1578">
            <v>1.9578</v>
          </cell>
        </row>
        <row r="1579">
          <cell r="B1579">
            <v>38275</v>
          </cell>
          <cell r="C1579">
            <v>38273</v>
          </cell>
          <cell r="D1579">
            <v>1574</v>
          </cell>
          <cell r="E1579">
            <v>15.72</v>
          </cell>
          <cell r="F1579">
            <v>1.738638069627596</v>
          </cell>
          <cell r="G1579">
            <v>2.5093614744680828</v>
          </cell>
          <cell r="H1579">
            <v>1.9578</v>
          </cell>
        </row>
        <row r="1580">
          <cell r="B1580">
            <v>38276</v>
          </cell>
          <cell r="C1580">
            <v>38274</v>
          </cell>
          <cell r="D1580">
            <v>1575</v>
          </cell>
          <cell r="E1580">
            <v>15.72</v>
          </cell>
          <cell r="F1580">
            <v>1.738638069627596</v>
          </cell>
          <cell r="G1580">
            <v>2.5108157649314049</v>
          </cell>
          <cell r="H1580">
            <v>1.9578</v>
          </cell>
        </row>
        <row r="1581">
          <cell r="B1581">
            <v>38277</v>
          </cell>
          <cell r="C1581">
            <v>38275</v>
          </cell>
          <cell r="D1581">
            <v>1576</v>
          </cell>
          <cell r="E1581">
            <v>15.72</v>
          </cell>
          <cell r="F1581">
            <v>1.738638069627596</v>
          </cell>
          <cell r="G1581">
            <v>2.5122708982229818</v>
          </cell>
          <cell r="H1581">
            <v>1.9578</v>
          </cell>
        </row>
        <row r="1582">
          <cell r="B1582">
            <v>38278</v>
          </cell>
          <cell r="C1582">
            <v>38276</v>
          </cell>
          <cell r="D1582">
            <v>1577</v>
          </cell>
          <cell r="E1582">
            <v>15.72</v>
          </cell>
          <cell r="F1582">
            <v>1.738638069627596</v>
          </cell>
          <cell r="G1582">
            <v>2.5137268748312711</v>
          </cell>
          <cell r="H1582">
            <v>1.9578</v>
          </cell>
        </row>
        <row r="1583">
          <cell r="B1583">
            <v>38279</v>
          </cell>
          <cell r="C1583">
            <v>38277</v>
          </cell>
          <cell r="D1583">
            <v>1578</v>
          </cell>
          <cell r="E1583">
            <v>15.72</v>
          </cell>
          <cell r="F1583">
            <v>1.738638069627596</v>
          </cell>
          <cell r="G1583">
            <v>2.5151836952450135</v>
          </cell>
          <cell r="H1583">
            <v>1.9578</v>
          </cell>
        </row>
        <row r="1584">
          <cell r="B1584">
            <v>38280</v>
          </cell>
          <cell r="C1584">
            <v>38278</v>
          </cell>
          <cell r="D1584">
            <v>1579</v>
          </cell>
          <cell r="E1584">
            <v>15.72</v>
          </cell>
          <cell r="F1584">
            <v>1.738638069627596</v>
          </cell>
          <cell r="G1584">
            <v>2.5166413599532333</v>
          </cell>
          <cell r="H1584">
            <v>1.9578</v>
          </cell>
        </row>
        <row r="1585">
          <cell r="B1585">
            <v>38281</v>
          </cell>
          <cell r="C1585">
            <v>38279</v>
          </cell>
          <cell r="D1585">
            <v>1580</v>
          </cell>
          <cell r="E1585">
            <v>15.72</v>
          </cell>
          <cell r="F1585">
            <v>1.738638069627596</v>
          </cell>
          <cell r="G1585">
            <v>2.5180998694452379</v>
          </cell>
          <cell r="H1585">
            <v>1.9578</v>
          </cell>
        </row>
        <row r="1586">
          <cell r="B1586">
            <v>38282</v>
          </cell>
          <cell r="C1586">
            <v>38280</v>
          </cell>
          <cell r="D1586">
            <v>1581</v>
          </cell>
          <cell r="E1586">
            <v>15.72</v>
          </cell>
          <cell r="F1586">
            <v>1.738638069627596</v>
          </cell>
          <cell r="G1586">
            <v>2.5195592242106186</v>
          </cell>
          <cell r="H1586">
            <v>1.9578</v>
          </cell>
        </row>
        <row r="1587">
          <cell r="B1587">
            <v>38283</v>
          </cell>
          <cell r="C1587">
            <v>38281</v>
          </cell>
          <cell r="D1587">
            <v>1582</v>
          </cell>
          <cell r="E1587">
            <v>15.72</v>
          </cell>
          <cell r="F1587">
            <v>1.738638069627596</v>
          </cell>
          <cell r="G1587">
            <v>2.5210194247392499</v>
          </cell>
          <cell r="H1587">
            <v>1.9578</v>
          </cell>
        </row>
        <row r="1588">
          <cell r="B1588">
            <v>38284</v>
          </cell>
          <cell r="C1588">
            <v>38282</v>
          </cell>
          <cell r="D1588">
            <v>1583</v>
          </cell>
          <cell r="E1588">
            <v>15.72</v>
          </cell>
          <cell r="F1588">
            <v>1.738638069627596</v>
          </cell>
          <cell r="G1588">
            <v>2.5224804715212907</v>
          </cell>
          <cell r="H1588">
            <v>1.9578</v>
          </cell>
        </row>
        <row r="1589">
          <cell r="B1589">
            <v>38285</v>
          </cell>
          <cell r="C1589">
            <v>38283</v>
          </cell>
          <cell r="D1589">
            <v>1584</v>
          </cell>
          <cell r="E1589">
            <v>15.72</v>
          </cell>
          <cell r="F1589">
            <v>1.738638069627596</v>
          </cell>
          <cell r="G1589">
            <v>2.5239423650471839</v>
          </cell>
          <cell r="H1589">
            <v>1.9578</v>
          </cell>
        </row>
        <row r="1590">
          <cell r="B1590">
            <v>38286</v>
          </cell>
          <cell r="C1590">
            <v>38284</v>
          </cell>
          <cell r="D1590">
            <v>1585</v>
          </cell>
          <cell r="E1590">
            <v>15.72</v>
          </cell>
          <cell r="F1590">
            <v>1.738638069627596</v>
          </cell>
          <cell r="G1590">
            <v>2.5254051058076561</v>
          </cell>
          <cell r="H1590">
            <v>1.9578</v>
          </cell>
        </row>
        <row r="1591">
          <cell r="B1591">
            <v>38287</v>
          </cell>
          <cell r="C1591">
            <v>38285</v>
          </cell>
          <cell r="D1591">
            <v>1586</v>
          </cell>
          <cell r="E1591">
            <v>15.72</v>
          </cell>
          <cell r="F1591">
            <v>1.738638069627596</v>
          </cell>
          <cell r="G1591">
            <v>2.5268686942937193</v>
          </cell>
          <cell r="H1591">
            <v>1.9578</v>
          </cell>
        </row>
        <row r="1592">
          <cell r="B1592">
            <v>38288</v>
          </cell>
          <cell r="C1592">
            <v>38286</v>
          </cell>
          <cell r="D1592">
            <v>1587</v>
          </cell>
          <cell r="E1592">
            <v>15.72</v>
          </cell>
          <cell r="F1592">
            <v>1.738638069627596</v>
          </cell>
          <cell r="G1592">
            <v>2.528333130996669</v>
          </cell>
          <cell r="H1592">
            <v>1.9578</v>
          </cell>
        </row>
        <row r="1593">
          <cell r="B1593">
            <v>38289</v>
          </cell>
          <cell r="C1593">
            <v>38287</v>
          </cell>
          <cell r="D1593">
            <v>1588</v>
          </cell>
          <cell r="E1593">
            <v>15.72</v>
          </cell>
          <cell r="F1593">
            <v>1.738638069627596</v>
          </cell>
          <cell r="G1593">
            <v>2.5297984164080862</v>
          </cell>
          <cell r="H1593">
            <v>1.9578</v>
          </cell>
        </row>
        <row r="1594">
          <cell r="B1594">
            <v>38290</v>
          </cell>
          <cell r="C1594">
            <v>38288</v>
          </cell>
          <cell r="D1594">
            <v>1589</v>
          </cell>
          <cell r="E1594">
            <v>15.72</v>
          </cell>
          <cell r="F1594">
            <v>1.738638069627596</v>
          </cell>
          <cell r="G1594">
            <v>2.5312645510198366</v>
          </cell>
          <cell r="H1594">
            <v>1.9578</v>
          </cell>
        </row>
        <row r="1595">
          <cell r="B1595">
            <v>38291</v>
          </cell>
          <cell r="C1595">
            <v>38289</v>
          </cell>
          <cell r="D1595">
            <v>1590</v>
          </cell>
          <cell r="E1595">
            <v>15.72</v>
          </cell>
          <cell r="F1595">
            <v>1.738638069627596</v>
          </cell>
          <cell r="G1595">
            <v>2.5327315353240705</v>
          </cell>
          <cell r="H1595">
            <v>1.9578</v>
          </cell>
        </row>
        <row r="1596">
          <cell r="B1596">
            <v>38292</v>
          </cell>
          <cell r="C1596">
            <v>38290</v>
          </cell>
          <cell r="D1596">
            <v>1591</v>
          </cell>
          <cell r="E1596">
            <v>15.72</v>
          </cell>
          <cell r="F1596">
            <v>1.738638069627596</v>
          </cell>
          <cell r="G1596">
            <v>2.5341993698132241</v>
          </cell>
          <cell r="H1596">
            <v>1.9578</v>
          </cell>
        </row>
        <row r="1597">
          <cell r="B1597">
            <v>38293</v>
          </cell>
          <cell r="C1597">
            <v>38291</v>
          </cell>
          <cell r="D1597">
            <v>1592</v>
          </cell>
          <cell r="E1597">
            <v>15.72</v>
          </cell>
          <cell r="F1597">
            <v>1.738638069627596</v>
          </cell>
          <cell r="G1597">
            <v>2.5356680549800186</v>
          </cell>
          <cell r="H1597">
            <v>1.9578</v>
          </cell>
        </row>
        <row r="1598">
          <cell r="B1598">
            <v>38294</v>
          </cell>
          <cell r="C1598">
            <v>38292</v>
          </cell>
          <cell r="D1598">
            <v>1593</v>
          </cell>
          <cell r="E1598">
            <v>15.72</v>
          </cell>
          <cell r="F1598">
            <v>1.738638069627596</v>
          </cell>
          <cell r="G1598">
            <v>2.5371375913174607</v>
          </cell>
          <cell r="H1598">
            <v>1.9578</v>
          </cell>
        </row>
        <row r="1599">
          <cell r="B1599">
            <v>38295</v>
          </cell>
          <cell r="C1599">
            <v>38293</v>
          </cell>
          <cell r="D1599">
            <v>1594</v>
          </cell>
          <cell r="E1599">
            <v>15.72</v>
          </cell>
          <cell r="F1599">
            <v>1.738638069627596</v>
          </cell>
          <cell r="G1599">
            <v>2.5386079793188432</v>
          </cell>
          <cell r="H1599">
            <v>1.9578</v>
          </cell>
        </row>
        <row r="1600">
          <cell r="B1600">
            <v>38296</v>
          </cell>
          <cell r="C1600">
            <v>38294</v>
          </cell>
          <cell r="D1600">
            <v>1595</v>
          </cell>
          <cell r="E1600">
            <v>15.72</v>
          </cell>
          <cell r="F1600">
            <v>1.738638069627596</v>
          </cell>
          <cell r="G1600">
            <v>2.5400792194777444</v>
          </cell>
          <cell r="H1600">
            <v>1.9578</v>
          </cell>
        </row>
        <row r="1601">
          <cell r="B1601">
            <v>38297</v>
          </cell>
          <cell r="C1601">
            <v>38295</v>
          </cell>
          <cell r="D1601">
            <v>1596</v>
          </cell>
          <cell r="E1601">
            <v>15.72</v>
          </cell>
          <cell r="F1601">
            <v>1.738638069627596</v>
          </cell>
          <cell r="G1601">
            <v>2.5415513122880289</v>
          </cell>
          <cell r="H1601">
            <v>1.9578</v>
          </cell>
        </row>
        <row r="1602">
          <cell r="B1602">
            <v>38298</v>
          </cell>
          <cell r="C1602">
            <v>38296</v>
          </cell>
          <cell r="D1602">
            <v>1597</v>
          </cell>
          <cell r="E1602">
            <v>15.72</v>
          </cell>
          <cell r="F1602">
            <v>1.738638069627596</v>
          </cell>
          <cell r="G1602">
            <v>2.5430242582438476</v>
          </cell>
          <cell r="H1602">
            <v>1.9578</v>
          </cell>
        </row>
        <row r="1603">
          <cell r="B1603">
            <v>38299</v>
          </cell>
          <cell r="C1603">
            <v>38297</v>
          </cell>
          <cell r="D1603">
            <v>1598</v>
          </cell>
          <cell r="E1603">
            <v>15.72</v>
          </cell>
          <cell r="F1603">
            <v>1.738638069627596</v>
          </cell>
          <cell r="G1603">
            <v>2.5444980578396375</v>
          </cell>
          <cell r="H1603">
            <v>1.9578</v>
          </cell>
        </row>
        <row r="1604">
          <cell r="B1604">
            <v>38300</v>
          </cell>
          <cell r="C1604">
            <v>38298</v>
          </cell>
          <cell r="D1604">
            <v>1599</v>
          </cell>
          <cell r="E1604">
            <v>15.72</v>
          </cell>
          <cell r="F1604">
            <v>1.738638069627596</v>
          </cell>
          <cell r="G1604">
            <v>2.5459727115701218</v>
          </cell>
          <cell r="H1604">
            <v>1.9578</v>
          </cell>
        </row>
        <row r="1605">
          <cell r="B1605">
            <v>38301</v>
          </cell>
          <cell r="C1605">
            <v>38299</v>
          </cell>
          <cell r="D1605">
            <v>1600</v>
          </cell>
          <cell r="E1605">
            <v>15.72</v>
          </cell>
          <cell r="F1605">
            <v>1.738638069627596</v>
          </cell>
          <cell r="G1605">
            <v>2.5474482199303115</v>
          </cell>
          <cell r="H1605">
            <v>1.9578</v>
          </cell>
        </row>
        <row r="1606">
          <cell r="B1606">
            <v>38302</v>
          </cell>
          <cell r="C1606">
            <v>38300</v>
          </cell>
          <cell r="D1606">
            <v>1601</v>
          </cell>
          <cell r="E1606">
            <v>15.72</v>
          </cell>
          <cell r="F1606">
            <v>1.738638069627596</v>
          </cell>
          <cell r="G1606">
            <v>2.5489245834155034</v>
          </cell>
          <cell r="H1606">
            <v>1.9578</v>
          </cell>
        </row>
        <row r="1607">
          <cell r="B1607">
            <v>38303</v>
          </cell>
          <cell r="C1607">
            <v>38301</v>
          </cell>
          <cell r="D1607">
            <v>1602</v>
          </cell>
          <cell r="E1607">
            <v>15.72</v>
          </cell>
          <cell r="F1607">
            <v>1.738638069627596</v>
          </cell>
          <cell r="G1607">
            <v>2.5504018025212822</v>
          </cell>
          <cell r="H1607">
            <v>1.9578</v>
          </cell>
        </row>
        <row r="1608">
          <cell r="B1608">
            <v>38304</v>
          </cell>
          <cell r="C1608">
            <v>38302</v>
          </cell>
          <cell r="D1608">
            <v>1603</v>
          </cell>
          <cell r="E1608">
            <v>15.72</v>
          </cell>
          <cell r="F1608">
            <v>1.738638069627596</v>
          </cell>
          <cell r="G1608">
            <v>2.5518798777435192</v>
          </cell>
          <cell r="H1608">
            <v>1.9578</v>
          </cell>
        </row>
        <row r="1609">
          <cell r="B1609">
            <v>38305</v>
          </cell>
          <cell r="C1609">
            <v>38303</v>
          </cell>
          <cell r="D1609">
            <v>1604</v>
          </cell>
          <cell r="E1609">
            <v>15.72</v>
          </cell>
          <cell r="F1609">
            <v>1.738638069627596</v>
          </cell>
          <cell r="G1609">
            <v>2.553358809578373</v>
          </cell>
          <cell r="H1609">
            <v>1.9578</v>
          </cell>
        </row>
        <row r="1610">
          <cell r="B1610">
            <v>38306</v>
          </cell>
          <cell r="C1610">
            <v>38304</v>
          </cell>
          <cell r="D1610">
            <v>1605</v>
          </cell>
          <cell r="E1610">
            <v>15.72</v>
          </cell>
          <cell r="F1610">
            <v>1.738638069627596</v>
          </cell>
          <cell r="G1610">
            <v>2.5548385985222906</v>
          </cell>
          <cell r="H1610">
            <v>1.9578</v>
          </cell>
        </row>
        <row r="1611">
          <cell r="B1611">
            <v>38307</v>
          </cell>
          <cell r="C1611">
            <v>38305</v>
          </cell>
          <cell r="D1611">
            <v>1606</v>
          </cell>
          <cell r="E1611">
            <v>15.72</v>
          </cell>
          <cell r="F1611">
            <v>1.738638069627596</v>
          </cell>
          <cell r="G1611">
            <v>2.5563192450720056</v>
          </cell>
          <cell r="H1611">
            <v>1.9578</v>
          </cell>
        </row>
        <row r="1612">
          <cell r="B1612">
            <v>38308</v>
          </cell>
          <cell r="C1612">
            <v>38306</v>
          </cell>
          <cell r="D1612">
            <v>1607</v>
          </cell>
          <cell r="E1612">
            <v>15.72</v>
          </cell>
          <cell r="F1612">
            <v>1.738638069627596</v>
          </cell>
          <cell r="G1612">
            <v>2.5578007497245401</v>
          </cell>
          <cell r="H1612">
            <v>1.9578</v>
          </cell>
        </row>
        <row r="1613">
          <cell r="B1613">
            <v>38309</v>
          </cell>
          <cell r="C1613">
            <v>38307</v>
          </cell>
          <cell r="D1613">
            <v>1608</v>
          </cell>
          <cell r="E1613">
            <v>15.72</v>
          </cell>
          <cell r="F1613">
            <v>1.738638069627596</v>
          </cell>
          <cell r="G1613">
            <v>2.5592831129772042</v>
          </cell>
          <cell r="H1613">
            <v>1.9578</v>
          </cell>
        </row>
        <row r="1614">
          <cell r="B1614">
            <v>38310</v>
          </cell>
          <cell r="C1614">
            <v>38308</v>
          </cell>
          <cell r="D1614">
            <v>1609</v>
          </cell>
          <cell r="E1614">
            <v>15.72</v>
          </cell>
          <cell r="F1614">
            <v>1.738638069627596</v>
          </cell>
          <cell r="G1614">
            <v>2.5607663353275965</v>
          </cell>
          <cell r="H1614">
            <v>1.9578</v>
          </cell>
        </row>
        <row r="1615">
          <cell r="B1615">
            <v>38311</v>
          </cell>
          <cell r="C1615">
            <v>38309</v>
          </cell>
          <cell r="D1615">
            <v>1610</v>
          </cell>
          <cell r="E1615">
            <v>15.72</v>
          </cell>
          <cell r="F1615">
            <v>1.738638069627596</v>
          </cell>
          <cell r="G1615">
            <v>2.5622504172736034</v>
          </cell>
          <cell r="H1615">
            <v>1.9578</v>
          </cell>
        </row>
        <row r="1616">
          <cell r="B1616">
            <v>38312</v>
          </cell>
          <cell r="C1616">
            <v>38310</v>
          </cell>
          <cell r="D1616">
            <v>1611</v>
          </cell>
          <cell r="E1616">
            <v>15.72</v>
          </cell>
          <cell r="F1616">
            <v>1.738638069627596</v>
          </cell>
          <cell r="G1616">
            <v>2.5637353593134002</v>
          </cell>
          <cell r="H1616">
            <v>1.9578</v>
          </cell>
        </row>
        <row r="1617">
          <cell r="B1617">
            <v>38313</v>
          </cell>
          <cell r="C1617">
            <v>38311</v>
          </cell>
          <cell r="D1617">
            <v>1612</v>
          </cell>
          <cell r="E1617">
            <v>15.72</v>
          </cell>
          <cell r="F1617">
            <v>1.738638069627596</v>
          </cell>
          <cell r="G1617">
            <v>2.565221161945451</v>
          </cell>
          <cell r="H1617">
            <v>1.9578</v>
          </cell>
        </row>
        <row r="1618">
          <cell r="B1618">
            <v>38314</v>
          </cell>
          <cell r="C1618">
            <v>38312</v>
          </cell>
          <cell r="D1618">
            <v>1613</v>
          </cell>
          <cell r="E1618">
            <v>15.72</v>
          </cell>
          <cell r="F1618">
            <v>1.738638069627596</v>
          </cell>
          <cell r="G1618">
            <v>2.5667078256685087</v>
          </cell>
          <cell r="H1618">
            <v>1.9578</v>
          </cell>
        </row>
        <row r="1619">
          <cell r="B1619">
            <v>38315</v>
          </cell>
          <cell r="C1619">
            <v>38313</v>
          </cell>
          <cell r="D1619">
            <v>1614</v>
          </cell>
          <cell r="E1619">
            <v>15.72</v>
          </cell>
          <cell r="F1619">
            <v>1.738638069627596</v>
          </cell>
          <cell r="G1619">
            <v>2.5681953509816147</v>
          </cell>
          <cell r="H1619">
            <v>1.9578</v>
          </cell>
        </row>
        <row r="1620">
          <cell r="B1620">
            <v>38316</v>
          </cell>
          <cell r="C1620">
            <v>38314</v>
          </cell>
          <cell r="D1620">
            <v>1615</v>
          </cell>
          <cell r="E1620">
            <v>15.72</v>
          </cell>
          <cell r="F1620">
            <v>1.738638069627596</v>
          </cell>
          <cell r="G1620">
            <v>2.5696837383841005</v>
          </cell>
          <cell r="H1620">
            <v>1.9578</v>
          </cell>
        </row>
        <row r="1621">
          <cell r="B1621">
            <v>38317</v>
          </cell>
          <cell r="C1621">
            <v>38315</v>
          </cell>
          <cell r="D1621">
            <v>1616</v>
          </cell>
          <cell r="E1621">
            <v>15.72</v>
          </cell>
          <cell r="F1621">
            <v>1.738638069627596</v>
          </cell>
          <cell r="G1621">
            <v>2.5711729883755865</v>
          </cell>
          <cell r="H1621">
            <v>1.9578</v>
          </cell>
        </row>
        <row r="1622">
          <cell r="B1622">
            <v>38318</v>
          </cell>
          <cell r="C1622">
            <v>38316</v>
          </cell>
          <cell r="D1622">
            <v>1617</v>
          </cell>
          <cell r="E1622">
            <v>15.72</v>
          </cell>
          <cell r="F1622">
            <v>1.738638069627596</v>
          </cell>
          <cell r="G1622">
            <v>2.5726631014559826</v>
          </cell>
          <cell r="H1622">
            <v>1.9578</v>
          </cell>
        </row>
        <row r="1623">
          <cell r="B1623">
            <v>38319</v>
          </cell>
          <cell r="C1623">
            <v>38317</v>
          </cell>
          <cell r="D1623">
            <v>1618</v>
          </cell>
          <cell r="E1623">
            <v>15.72</v>
          </cell>
          <cell r="F1623">
            <v>1.738638069627596</v>
          </cell>
          <cell r="G1623">
            <v>2.5741540781254884</v>
          </cell>
          <cell r="H1623">
            <v>1.9578</v>
          </cell>
        </row>
        <row r="1624">
          <cell r="B1624">
            <v>38320</v>
          </cell>
          <cell r="C1624">
            <v>38318</v>
          </cell>
          <cell r="D1624">
            <v>1619</v>
          </cell>
          <cell r="E1624">
            <v>15.72</v>
          </cell>
          <cell r="F1624">
            <v>1.738638069627596</v>
          </cell>
          <cell r="G1624">
            <v>2.5756459188845939</v>
          </cell>
          <cell r="H1624">
            <v>1.9578</v>
          </cell>
        </row>
        <row r="1625">
          <cell r="B1625">
            <v>38321</v>
          </cell>
          <cell r="C1625">
            <v>38319</v>
          </cell>
          <cell r="D1625">
            <v>1620</v>
          </cell>
          <cell r="E1625">
            <v>15.72</v>
          </cell>
          <cell r="F1625">
            <v>1.738638069627596</v>
          </cell>
          <cell r="G1625">
            <v>2.5771386242340784</v>
          </cell>
          <cell r="H1625">
            <v>1.9578</v>
          </cell>
        </row>
        <row r="1626">
          <cell r="B1626">
            <v>38322</v>
          </cell>
          <cell r="C1626">
            <v>38320</v>
          </cell>
          <cell r="D1626">
            <v>1621</v>
          </cell>
          <cell r="E1626">
            <v>15.72</v>
          </cell>
          <cell r="F1626">
            <v>1.738638069627596</v>
          </cell>
          <cell r="G1626">
            <v>2.5786321946750119</v>
          </cell>
          <cell r="H1626">
            <v>1.9578</v>
          </cell>
        </row>
        <row r="1627">
          <cell r="B1627">
            <v>38323</v>
          </cell>
          <cell r="C1627">
            <v>38321</v>
          </cell>
          <cell r="D1627">
            <v>1622</v>
          </cell>
          <cell r="E1627">
            <v>15.72</v>
          </cell>
          <cell r="F1627">
            <v>1.738638069627596</v>
          </cell>
          <cell r="G1627">
            <v>2.5801266307087549</v>
          </cell>
          <cell r="H1627">
            <v>1.9578</v>
          </cell>
        </row>
        <row r="1628">
          <cell r="B1628">
            <v>38324</v>
          </cell>
          <cell r="C1628">
            <v>38322</v>
          </cell>
          <cell r="D1628">
            <v>1623</v>
          </cell>
          <cell r="E1628">
            <v>15.72</v>
          </cell>
          <cell r="F1628">
            <v>1.738638069627596</v>
          </cell>
          <cell r="G1628">
            <v>2.5816219328369585</v>
          </cell>
          <cell r="H1628">
            <v>1.9578</v>
          </cell>
        </row>
        <row r="1629">
          <cell r="B1629">
            <v>38325</v>
          </cell>
          <cell r="C1629">
            <v>38323</v>
          </cell>
          <cell r="D1629">
            <v>1624</v>
          </cell>
          <cell r="E1629">
            <v>15.72</v>
          </cell>
          <cell r="F1629">
            <v>1.738638069627596</v>
          </cell>
          <cell r="G1629">
            <v>2.5831181015615639</v>
          </cell>
          <cell r="H1629">
            <v>1.9578</v>
          </cell>
        </row>
        <row r="1630">
          <cell r="B1630">
            <v>38326</v>
          </cell>
          <cell r="C1630">
            <v>38324</v>
          </cell>
          <cell r="D1630">
            <v>1625</v>
          </cell>
          <cell r="E1630">
            <v>15.72</v>
          </cell>
          <cell r="F1630">
            <v>1.738638069627596</v>
          </cell>
          <cell r="G1630">
            <v>2.5846151373848034</v>
          </cell>
          <cell r="H1630">
            <v>1.9578</v>
          </cell>
        </row>
        <row r="1631">
          <cell r="B1631">
            <v>38327</v>
          </cell>
          <cell r="C1631">
            <v>38325</v>
          </cell>
          <cell r="D1631">
            <v>1626</v>
          </cell>
          <cell r="E1631">
            <v>15.72</v>
          </cell>
          <cell r="F1631">
            <v>1.738638069627596</v>
          </cell>
          <cell r="G1631">
            <v>2.586113040809201</v>
          </cell>
          <cell r="H1631">
            <v>1.9578</v>
          </cell>
        </row>
        <row r="1632">
          <cell r="B1632">
            <v>38328</v>
          </cell>
          <cell r="C1632">
            <v>38326</v>
          </cell>
          <cell r="D1632">
            <v>1627</v>
          </cell>
          <cell r="E1632">
            <v>15.72</v>
          </cell>
          <cell r="F1632">
            <v>1.738638069627596</v>
          </cell>
          <cell r="G1632">
            <v>2.5876118123375713</v>
          </cell>
          <cell r="H1632">
            <v>1.9578</v>
          </cell>
        </row>
        <row r="1633">
          <cell r="B1633">
            <v>38329</v>
          </cell>
          <cell r="C1633">
            <v>38327</v>
          </cell>
          <cell r="D1633">
            <v>1628</v>
          </cell>
          <cell r="E1633">
            <v>15.72</v>
          </cell>
          <cell r="F1633">
            <v>1.738638069627596</v>
          </cell>
          <cell r="G1633">
            <v>2.5891114524730208</v>
          </cell>
          <cell r="H1633">
            <v>1.9578</v>
          </cell>
        </row>
        <row r="1634">
          <cell r="B1634">
            <v>38330</v>
          </cell>
          <cell r="C1634">
            <v>38328</v>
          </cell>
          <cell r="D1634">
            <v>1629</v>
          </cell>
          <cell r="E1634">
            <v>15.72</v>
          </cell>
          <cell r="F1634">
            <v>1.738638069627596</v>
          </cell>
          <cell r="G1634">
            <v>2.5906119617189467</v>
          </cell>
          <cell r="H1634">
            <v>1.9578</v>
          </cell>
        </row>
        <row r="1635">
          <cell r="B1635">
            <v>38331</v>
          </cell>
          <cell r="C1635">
            <v>38329</v>
          </cell>
          <cell r="D1635">
            <v>1630</v>
          </cell>
          <cell r="E1635">
            <v>15.72</v>
          </cell>
          <cell r="F1635">
            <v>1.738638069627596</v>
          </cell>
          <cell r="G1635">
            <v>2.5921133405790391</v>
          </cell>
          <cell r="H1635">
            <v>1.9578</v>
          </cell>
        </row>
        <row r="1636">
          <cell r="B1636">
            <v>38332</v>
          </cell>
          <cell r="C1636">
            <v>38330</v>
          </cell>
          <cell r="D1636">
            <v>1631</v>
          </cell>
          <cell r="E1636">
            <v>15.72</v>
          </cell>
          <cell r="F1636">
            <v>1.738638069627596</v>
          </cell>
          <cell r="G1636">
            <v>2.5936155895572792</v>
          </cell>
          <cell r="H1636">
            <v>1.9578</v>
          </cell>
        </row>
        <row r="1637">
          <cell r="B1637">
            <v>38333</v>
          </cell>
          <cell r="C1637">
            <v>38331</v>
          </cell>
          <cell r="D1637">
            <v>1632</v>
          </cell>
          <cell r="E1637">
            <v>15.72</v>
          </cell>
          <cell r="F1637">
            <v>1.738638069627596</v>
          </cell>
          <cell r="G1637">
            <v>2.5951187091579406</v>
          </cell>
          <cell r="H1637">
            <v>1.9578</v>
          </cell>
        </row>
        <row r="1638">
          <cell r="B1638">
            <v>38334</v>
          </cell>
          <cell r="C1638">
            <v>38332</v>
          </cell>
          <cell r="D1638">
            <v>1633</v>
          </cell>
          <cell r="E1638">
            <v>15.72</v>
          </cell>
          <cell r="F1638">
            <v>1.738638069627596</v>
          </cell>
          <cell r="G1638">
            <v>2.596622699885589</v>
          </cell>
          <cell r="H1638">
            <v>1.9578</v>
          </cell>
        </row>
        <row r="1639">
          <cell r="B1639">
            <v>38335</v>
          </cell>
          <cell r="C1639">
            <v>38333</v>
          </cell>
          <cell r="D1639">
            <v>1634</v>
          </cell>
          <cell r="E1639">
            <v>15.72</v>
          </cell>
          <cell r="F1639">
            <v>1.738638069627596</v>
          </cell>
          <cell r="G1639">
            <v>2.5981275622450823</v>
          </cell>
          <cell r="H1639">
            <v>1.9578</v>
          </cell>
        </row>
        <row r="1640">
          <cell r="B1640">
            <v>38336</v>
          </cell>
          <cell r="C1640">
            <v>38334</v>
          </cell>
          <cell r="D1640">
            <v>1635</v>
          </cell>
          <cell r="E1640">
            <v>15.72</v>
          </cell>
          <cell r="F1640">
            <v>1.738638069627596</v>
          </cell>
          <cell r="G1640">
            <v>2.5996332967415716</v>
          </cell>
          <cell r="H1640">
            <v>1.9578</v>
          </cell>
        </row>
        <row r="1641">
          <cell r="B1641">
            <v>38337</v>
          </cell>
          <cell r="C1641">
            <v>38335</v>
          </cell>
          <cell r="D1641">
            <v>1636</v>
          </cell>
          <cell r="E1641">
            <v>15.72</v>
          </cell>
          <cell r="F1641">
            <v>1.738638069627596</v>
          </cell>
          <cell r="G1641">
            <v>2.6011399038805005</v>
          </cell>
          <cell r="H1641">
            <v>1.9578</v>
          </cell>
        </row>
        <row r="1642">
          <cell r="B1642">
            <v>38338</v>
          </cell>
          <cell r="C1642">
            <v>38336</v>
          </cell>
          <cell r="D1642">
            <v>1637</v>
          </cell>
          <cell r="E1642">
            <v>15.72</v>
          </cell>
          <cell r="F1642">
            <v>1.738638069627596</v>
          </cell>
          <cell r="G1642">
            <v>2.6026473841676054</v>
          </cell>
          <cell r="H1642">
            <v>1.9578</v>
          </cell>
        </row>
        <row r="1643">
          <cell r="B1643">
            <v>38339</v>
          </cell>
          <cell r="C1643">
            <v>38337</v>
          </cell>
          <cell r="D1643">
            <v>1638</v>
          </cell>
          <cell r="E1643">
            <v>15.72</v>
          </cell>
          <cell r="F1643">
            <v>1.738638069627596</v>
          </cell>
          <cell r="G1643">
            <v>2.6041557381089158</v>
          </cell>
          <cell r="H1643">
            <v>1.9578</v>
          </cell>
        </row>
        <row r="1644">
          <cell r="B1644">
            <v>38340</v>
          </cell>
          <cell r="C1644">
            <v>38338</v>
          </cell>
          <cell r="D1644">
            <v>1639</v>
          </cell>
          <cell r="E1644">
            <v>15.72</v>
          </cell>
          <cell r="F1644">
            <v>1.738638069627596</v>
          </cell>
          <cell r="G1644">
            <v>2.6056649662107541</v>
          </cell>
          <cell r="H1644">
            <v>1.9578</v>
          </cell>
        </row>
        <row r="1645">
          <cell r="B1645">
            <v>38341</v>
          </cell>
          <cell r="C1645">
            <v>38339</v>
          </cell>
          <cell r="D1645">
            <v>1640</v>
          </cell>
          <cell r="E1645">
            <v>15.72</v>
          </cell>
          <cell r="F1645">
            <v>1.738638069627596</v>
          </cell>
          <cell r="G1645">
            <v>2.6071750689797368</v>
          </cell>
          <cell r="H1645">
            <v>1.9578</v>
          </cell>
        </row>
        <row r="1646">
          <cell r="B1646">
            <v>38342</v>
          </cell>
          <cell r="C1646">
            <v>38340</v>
          </cell>
          <cell r="D1646">
            <v>1641</v>
          </cell>
          <cell r="E1646">
            <v>15.72</v>
          </cell>
          <cell r="F1646">
            <v>1.738638069627596</v>
          </cell>
          <cell r="G1646">
            <v>2.6086860469227742</v>
          </cell>
          <cell r="H1646">
            <v>1.9578</v>
          </cell>
        </row>
        <row r="1647">
          <cell r="B1647">
            <v>38343</v>
          </cell>
          <cell r="C1647">
            <v>38341</v>
          </cell>
          <cell r="D1647">
            <v>1642</v>
          </cell>
          <cell r="E1647">
            <v>15.72</v>
          </cell>
          <cell r="F1647">
            <v>1.738638069627596</v>
          </cell>
          <cell r="G1647">
            <v>2.6101979005470697</v>
          </cell>
          <cell r="H1647">
            <v>1.9578</v>
          </cell>
        </row>
        <row r="1648">
          <cell r="B1648">
            <v>38344</v>
          </cell>
          <cell r="C1648">
            <v>38342</v>
          </cell>
          <cell r="D1648">
            <v>1643</v>
          </cell>
          <cell r="E1648">
            <v>15.72</v>
          </cell>
          <cell r="F1648">
            <v>1.738638069627596</v>
          </cell>
          <cell r="G1648">
            <v>2.6117106303601205</v>
          </cell>
          <cell r="H1648">
            <v>1.9578</v>
          </cell>
        </row>
        <row r="1649">
          <cell r="B1649">
            <v>38345</v>
          </cell>
          <cell r="C1649">
            <v>38343</v>
          </cell>
          <cell r="D1649">
            <v>1644</v>
          </cell>
          <cell r="E1649">
            <v>15.72</v>
          </cell>
          <cell r="F1649">
            <v>1.738638069627596</v>
          </cell>
          <cell r="G1649">
            <v>2.6132242368697187</v>
          </cell>
          <cell r="H1649">
            <v>1.9578</v>
          </cell>
        </row>
        <row r="1650">
          <cell r="B1650">
            <v>38346</v>
          </cell>
          <cell r="C1650">
            <v>38344</v>
          </cell>
          <cell r="D1650">
            <v>1645</v>
          </cell>
          <cell r="E1650">
            <v>15.72</v>
          </cell>
          <cell r="F1650">
            <v>1.738638069627596</v>
          </cell>
          <cell r="G1650">
            <v>2.6147387205839503</v>
          </cell>
          <cell r="H1650">
            <v>1.9578</v>
          </cell>
        </row>
        <row r="1651">
          <cell r="B1651">
            <v>38347</v>
          </cell>
          <cell r="C1651">
            <v>38345</v>
          </cell>
          <cell r="D1651">
            <v>1646</v>
          </cell>
          <cell r="E1651">
            <v>15.72</v>
          </cell>
          <cell r="F1651">
            <v>1.738638069627596</v>
          </cell>
          <cell r="G1651">
            <v>2.6162540820111957</v>
          </cell>
          <cell r="H1651">
            <v>1.9578</v>
          </cell>
        </row>
        <row r="1652">
          <cell r="B1652">
            <v>38348</v>
          </cell>
          <cell r="C1652">
            <v>38346</v>
          </cell>
          <cell r="D1652">
            <v>1647</v>
          </cell>
          <cell r="E1652">
            <v>15.72</v>
          </cell>
          <cell r="F1652">
            <v>1.738638069627596</v>
          </cell>
          <cell r="G1652">
            <v>2.6177703216601302</v>
          </cell>
          <cell r="H1652">
            <v>1.9578</v>
          </cell>
        </row>
        <row r="1653">
          <cell r="B1653">
            <v>38349</v>
          </cell>
          <cell r="C1653">
            <v>38347</v>
          </cell>
          <cell r="D1653">
            <v>1648</v>
          </cell>
          <cell r="E1653">
            <v>15.72</v>
          </cell>
          <cell r="F1653">
            <v>1.738638069627596</v>
          </cell>
          <cell r="G1653">
            <v>2.6192874400397232</v>
          </cell>
          <cell r="H1653">
            <v>1.9578</v>
          </cell>
        </row>
        <row r="1654">
          <cell r="B1654">
            <v>38350</v>
          </cell>
          <cell r="C1654">
            <v>38348</v>
          </cell>
          <cell r="D1654">
            <v>1649</v>
          </cell>
          <cell r="E1654">
            <v>15.72</v>
          </cell>
          <cell r="F1654">
            <v>1.738638069627596</v>
          </cell>
          <cell r="G1654">
            <v>2.6208054376592402</v>
          </cell>
          <cell r="H1654">
            <v>1.9578</v>
          </cell>
        </row>
        <row r="1655">
          <cell r="B1655">
            <v>38351</v>
          </cell>
          <cell r="C1655">
            <v>38349</v>
          </cell>
          <cell r="D1655">
            <v>1650</v>
          </cell>
          <cell r="E1655">
            <v>15.72</v>
          </cell>
          <cell r="F1655">
            <v>1.738638069627596</v>
          </cell>
          <cell r="G1655">
            <v>2.6223243150282407</v>
          </cell>
          <cell r="H1655">
            <v>1.9578</v>
          </cell>
        </row>
        <row r="1656">
          <cell r="B1656">
            <v>38352</v>
          </cell>
          <cell r="C1656">
            <v>38350</v>
          </cell>
          <cell r="D1656">
            <v>1651</v>
          </cell>
          <cell r="E1656">
            <v>15.72</v>
          </cell>
          <cell r="F1656">
            <v>1.738638069627596</v>
          </cell>
          <cell r="G1656">
            <v>2.6238440726565799</v>
          </cell>
          <cell r="H1656">
            <v>1.9578</v>
          </cell>
        </row>
        <row r="1657">
          <cell r="B1657">
            <v>38353</v>
          </cell>
          <cell r="C1657">
            <v>38351</v>
          </cell>
          <cell r="D1657">
            <v>1652</v>
          </cell>
          <cell r="E1657">
            <v>15.72</v>
          </cell>
          <cell r="F1657">
            <v>1.738638069627596</v>
          </cell>
          <cell r="G1657">
            <v>2.6253647110544089</v>
          </cell>
          <cell r="H1657">
            <v>1.9578</v>
          </cell>
        </row>
        <row r="1658">
          <cell r="B1658">
            <v>38354</v>
          </cell>
          <cell r="C1658">
            <v>38352</v>
          </cell>
          <cell r="D1658">
            <v>1653</v>
          </cell>
          <cell r="E1658">
            <v>15.72</v>
          </cell>
          <cell r="F1658">
            <v>1.738638069627596</v>
          </cell>
          <cell r="G1658">
            <v>2.6268862307321741</v>
          </cell>
          <cell r="H1658">
            <v>1.9578</v>
          </cell>
        </row>
        <row r="1659">
          <cell r="B1659">
            <v>38355</v>
          </cell>
          <cell r="C1659">
            <v>38353</v>
          </cell>
          <cell r="D1659">
            <v>1654</v>
          </cell>
          <cell r="E1659">
            <v>15.72</v>
          </cell>
          <cell r="F1659">
            <v>1.738638069627596</v>
          </cell>
          <cell r="G1659">
            <v>2.6284086322006179</v>
          </cell>
          <cell r="H1659">
            <v>1.9578</v>
          </cell>
        </row>
        <row r="1660">
          <cell r="B1660">
            <v>38356</v>
          </cell>
          <cell r="C1660">
            <v>38354</v>
          </cell>
          <cell r="D1660">
            <v>1655</v>
          </cell>
          <cell r="E1660">
            <v>15.72</v>
          </cell>
          <cell r="F1660">
            <v>1.738638069627596</v>
          </cell>
          <cell r="G1660">
            <v>2.6299319159707784</v>
          </cell>
          <cell r="H1660">
            <v>1.9578</v>
          </cell>
        </row>
        <row r="1661">
          <cell r="B1661">
            <v>38357</v>
          </cell>
          <cell r="C1661">
            <v>38355</v>
          </cell>
          <cell r="D1661">
            <v>1656</v>
          </cell>
          <cell r="E1661">
            <v>15.72</v>
          </cell>
          <cell r="F1661">
            <v>1.738638069627596</v>
          </cell>
          <cell r="G1661">
            <v>2.6314560825539903</v>
          </cell>
          <cell r="H1661">
            <v>1.9578</v>
          </cell>
        </row>
        <row r="1662">
          <cell r="B1662">
            <v>38358</v>
          </cell>
          <cell r="C1662">
            <v>38356</v>
          </cell>
          <cell r="D1662">
            <v>1657</v>
          </cell>
          <cell r="E1662">
            <v>15.72</v>
          </cell>
          <cell r="F1662">
            <v>1.738638069627596</v>
          </cell>
          <cell r="G1662">
            <v>2.6329811324618841</v>
          </cell>
          <cell r="H1662">
            <v>1.9578</v>
          </cell>
        </row>
        <row r="1663">
          <cell r="B1663">
            <v>38359</v>
          </cell>
          <cell r="C1663">
            <v>38357</v>
          </cell>
          <cell r="D1663">
            <v>1658</v>
          </cell>
          <cell r="E1663">
            <v>15.72</v>
          </cell>
          <cell r="F1663">
            <v>1.738638069627596</v>
          </cell>
          <cell r="G1663">
            <v>2.6345070662063872</v>
          </cell>
          <cell r="H1663">
            <v>1.9578</v>
          </cell>
        </row>
        <row r="1664">
          <cell r="B1664">
            <v>38360</v>
          </cell>
          <cell r="C1664">
            <v>38358</v>
          </cell>
          <cell r="D1664">
            <v>1659</v>
          </cell>
          <cell r="E1664">
            <v>15.72</v>
          </cell>
          <cell r="F1664">
            <v>1.738638069627596</v>
          </cell>
          <cell r="G1664">
            <v>2.6360338842997235</v>
          </cell>
          <cell r="H1664">
            <v>1.9578</v>
          </cell>
        </row>
        <row r="1665">
          <cell r="B1665">
            <v>38361</v>
          </cell>
          <cell r="C1665">
            <v>38359</v>
          </cell>
          <cell r="D1665">
            <v>1660</v>
          </cell>
          <cell r="E1665">
            <v>15.72</v>
          </cell>
          <cell r="F1665">
            <v>1.738638069627596</v>
          </cell>
          <cell r="G1665">
            <v>2.6375615872544143</v>
          </cell>
          <cell r="H1665">
            <v>1.9578</v>
          </cell>
        </row>
        <row r="1666">
          <cell r="B1666">
            <v>38362</v>
          </cell>
          <cell r="C1666">
            <v>38360</v>
          </cell>
          <cell r="D1666">
            <v>1661</v>
          </cell>
          <cell r="E1666">
            <v>15.72</v>
          </cell>
          <cell r="F1666">
            <v>1.738638069627596</v>
          </cell>
          <cell r="G1666">
            <v>2.6390901755832767</v>
          </cell>
          <cell r="H1666">
            <v>1.9578</v>
          </cell>
        </row>
        <row r="1667">
          <cell r="B1667">
            <v>38363</v>
          </cell>
          <cell r="C1667">
            <v>38361</v>
          </cell>
          <cell r="D1667">
            <v>1662</v>
          </cell>
          <cell r="E1667">
            <v>15.72</v>
          </cell>
          <cell r="F1667">
            <v>1.738638069627596</v>
          </cell>
          <cell r="G1667">
            <v>2.6406196497994263</v>
          </cell>
          <cell r="H1667">
            <v>1.9578</v>
          </cell>
        </row>
        <row r="1668">
          <cell r="B1668">
            <v>38364</v>
          </cell>
          <cell r="C1668">
            <v>38362</v>
          </cell>
          <cell r="D1668">
            <v>1663</v>
          </cell>
          <cell r="E1668">
            <v>15.72</v>
          </cell>
          <cell r="F1668">
            <v>1.738638069627596</v>
          </cell>
          <cell r="G1668">
            <v>2.6421500104162758</v>
          </cell>
          <cell r="H1668">
            <v>1.9578</v>
          </cell>
        </row>
        <row r="1669">
          <cell r="B1669">
            <v>38365</v>
          </cell>
          <cell r="C1669">
            <v>38363</v>
          </cell>
          <cell r="D1669">
            <v>1664</v>
          </cell>
          <cell r="E1669">
            <v>15.72</v>
          </cell>
          <cell r="F1669">
            <v>1.738638069627596</v>
          </cell>
          <cell r="G1669">
            <v>2.6436812579475348</v>
          </cell>
          <cell r="H1669">
            <v>1.9578</v>
          </cell>
        </row>
        <row r="1670">
          <cell r="B1670">
            <v>38366</v>
          </cell>
          <cell r="C1670">
            <v>38364</v>
          </cell>
          <cell r="D1670">
            <v>1665</v>
          </cell>
          <cell r="E1670">
            <v>15.72</v>
          </cell>
          <cell r="F1670">
            <v>1.738638069627596</v>
          </cell>
          <cell r="G1670">
            <v>2.6452133929072108</v>
          </cell>
          <cell r="H1670">
            <v>1.9578</v>
          </cell>
        </row>
        <row r="1671">
          <cell r="B1671">
            <v>38367</v>
          </cell>
          <cell r="C1671">
            <v>38365</v>
          </cell>
          <cell r="D1671">
            <v>1666</v>
          </cell>
          <cell r="E1671">
            <v>15.72</v>
          </cell>
          <cell r="F1671">
            <v>1.738638069627596</v>
          </cell>
          <cell r="G1671">
            <v>2.6467464158096097</v>
          </cell>
          <cell r="H1671">
            <v>1.9578</v>
          </cell>
        </row>
        <row r="1672">
          <cell r="B1672">
            <v>38368</v>
          </cell>
          <cell r="C1672">
            <v>38366</v>
          </cell>
          <cell r="D1672">
            <v>1667</v>
          </cell>
          <cell r="E1672">
            <v>15.72</v>
          </cell>
          <cell r="F1672">
            <v>1.738638069627596</v>
          </cell>
          <cell r="G1672">
            <v>2.6482803271693354</v>
          </cell>
          <cell r="H1672">
            <v>1.9578</v>
          </cell>
        </row>
        <row r="1673">
          <cell r="B1673">
            <v>38369</v>
          </cell>
          <cell r="C1673">
            <v>38367</v>
          </cell>
          <cell r="D1673">
            <v>1668</v>
          </cell>
          <cell r="E1673">
            <v>15.72</v>
          </cell>
          <cell r="F1673">
            <v>1.738638069627596</v>
          </cell>
          <cell r="G1673">
            <v>2.6498151275012893</v>
          </cell>
          <cell r="H1673">
            <v>1.9578</v>
          </cell>
        </row>
        <row r="1674">
          <cell r="B1674">
            <v>38370</v>
          </cell>
          <cell r="C1674">
            <v>38368</v>
          </cell>
          <cell r="D1674">
            <v>1669</v>
          </cell>
          <cell r="E1674">
            <v>15.72</v>
          </cell>
          <cell r="F1674">
            <v>1.738638069627596</v>
          </cell>
          <cell r="G1674">
            <v>2.6513508173206723</v>
          </cell>
          <cell r="H1674">
            <v>1.9578</v>
          </cell>
        </row>
        <row r="1675">
          <cell r="B1675">
            <v>38371</v>
          </cell>
          <cell r="C1675">
            <v>38369</v>
          </cell>
          <cell r="D1675">
            <v>1670</v>
          </cell>
          <cell r="E1675">
            <v>15.72</v>
          </cell>
          <cell r="F1675">
            <v>1.738638069627596</v>
          </cell>
          <cell r="G1675">
            <v>2.6528873971429832</v>
          </cell>
          <cell r="H1675">
            <v>1.9578</v>
          </cell>
        </row>
        <row r="1676">
          <cell r="B1676">
            <v>38372</v>
          </cell>
          <cell r="C1676">
            <v>38370</v>
          </cell>
          <cell r="D1676">
            <v>1671</v>
          </cell>
          <cell r="E1676">
            <v>15.72</v>
          </cell>
          <cell r="F1676">
            <v>1.738638069627596</v>
          </cell>
          <cell r="G1676">
            <v>2.6544248674840194</v>
          </cell>
          <cell r="H1676">
            <v>1.9578</v>
          </cell>
        </row>
        <row r="1677">
          <cell r="B1677">
            <v>38373</v>
          </cell>
          <cell r="C1677">
            <v>38371</v>
          </cell>
          <cell r="D1677">
            <v>1672</v>
          </cell>
          <cell r="E1677">
            <v>15.72</v>
          </cell>
          <cell r="F1677">
            <v>1.738638069627596</v>
          </cell>
          <cell r="G1677">
            <v>2.6559632288598776</v>
          </cell>
          <cell r="H1677">
            <v>1.9578</v>
          </cell>
        </row>
        <row r="1678">
          <cell r="B1678">
            <v>38374</v>
          </cell>
          <cell r="C1678">
            <v>38372</v>
          </cell>
          <cell r="D1678">
            <v>1673</v>
          </cell>
          <cell r="E1678">
            <v>15.72</v>
          </cell>
          <cell r="F1678">
            <v>1.738638069627596</v>
          </cell>
          <cell r="G1678">
            <v>2.657502481786953</v>
          </cell>
          <cell r="H1678">
            <v>1.9578</v>
          </cell>
        </row>
        <row r="1679">
          <cell r="B1679">
            <v>38375</v>
          </cell>
          <cell r="C1679">
            <v>38373</v>
          </cell>
          <cell r="D1679">
            <v>1674</v>
          </cell>
          <cell r="E1679">
            <v>15.72</v>
          </cell>
          <cell r="F1679">
            <v>1.738638069627596</v>
          </cell>
          <cell r="G1679">
            <v>2.6590426267819414</v>
          </cell>
          <cell r="H1679">
            <v>1.9578</v>
          </cell>
        </row>
        <row r="1680">
          <cell r="B1680">
            <v>38376</v>
          </cell>
          <cell r="C1680">
            <v>38374</v>
          </cell>
          <cell r="D1680">
            <v>1675</v>
          </cell>
          <cell r="E1680">
            <v>15.72</v>
          </cell>
          <cell r="F1680">
            <v>1.738638069627596</v>
          </cell>
          <cell r="G1680">
            <v>2.6605836643618366</v>
          </cell>
          <cell r="H1680">
            <v>1.9578</v>
          </cell>
        </row>
        <row r="1681">
          <cell r="B1681">
            <v>38377</v>
          </cell>
          <cell r="C1681">
            <v>38375</v>
          </cell>
          <cell r="D1681">
            <v>1676</v>
          </cell>
          <cell r="E1681">
            <v>15.72</v>
          </cell>
          <cell r="F1681">
            <v>1.738638069627596</v>
          </cell>
          <cell r="G1681">
            <v>2.6621255950439329</v>
          </cell>
          <cell r="H1681">
            <v>1.9578</v>
          </cell>
        </row>
        <row r="1682">
          <cell r="B1682">
            <v>38378</v>
          </cell>
          <cell r="C1682">
            <v>38376</v>
          </cell>
          <cell r="D1682">
            <v>1677</v>
          </cell>
          <cell r="E1682">
            <v>15.72</v>
          </cell>
          <cell r="F1682">
            <v>1.738638069627596</v>
          </cell>
          <cell r="G1682">
            <v>2.6636684193458242</v>
          </cell>
          <cell r="H1682">
            <v>1.9578</v>
          </cell>
        </row>
        <row r="1683">
          <cell r="B1683">
            <v>38379</v>
          </cell>
          <cell r="C1683">
            <v>38377</v>
          </cell>
          <cell r="D1683">
            <v>1678</v>
          </cell>
          <cell r="E1683">
            <v>15.72</v>
          </cell>
          <cell r="F1683">
            <v>1.738638069627596</v>
          </cell>
          <cell r="G1683">
            <v>2.6652121377854039</v>
          </cell>
          <cell r="H1683">
            <v>1.9578</v>
          </cell>
        </row>
        <row r="1684">
          <cell r="B1684">
            <v>38380</v>
          </cell>
          <cell r="C1684">
            <v>38378</v>
          </cell>
          <cell r="D1684">
            <v>1679</v>
          </cell>
          <cell r="E1684">
            <v>15.72</v>
          </cell>
          <cell r="F1684">
            <v>1.738638069627596</v>
          </cell>
          <cell r="G1684">
            <v>2.6667567508808663</v>
          </cell>
          <cell r="H1684">
            <v>1.9578</v>
          </cell>
        </row>
        <row r="1685">
          <cell r="B1685">
            <v>38381</v>
          </cell>
          <cell r="C1685">
            <v>38379</v>
          </cell>
          <cell r="D1685">
            <v>1680</v>
          </cell>
          <cell r="E1685">
            <v>15.72</v>
          </cell>
          <cell r="F1685">
            <v>1.738638069627596</v>
          </cell>
          <cell r="G1685">
            <v>2.6683022591507055</v>
          </cell>
          <cell r="H1685">
            <v>1.9578</v>
          </cell>
        </row>
        <row r="1686">
          <cell r="B1686">
            <v>38382</v>
          </cell>
          <cell r="C1686">
            <v>38380</v>
          </cell>
          <cell r="D1686">
            <v>1681</v>
          </cell>
          <cell r="E1686">
            <v>15.72</v>
          </cell>
          <cell r="F1686">
            <v>1.738638069627596</v>
          </cell>
          <cell r="G1686">
            <v>2.6698486631137164</v>
          </cell>
          <cell r="H1686">
            <v>1.9578</v>
          </cell>
        </row>
        <row r="1687">
          <cell r="B1687">
            <v>38383</v>
          </cell>
          <cell r="C1687">
            <v>38381</v>
          </cell>
          <cell r="D1687">
            <v>1682</v>
          </cell>
          <cell r="E1687">
            <v>15.72</v>
          </cell>
          <cell r="F1687">
            <v>1.738638069627596</v>
          </cell>
          <cell r="G1687">
            <v>2.6713959632889943</v>
          </cell>
          <cell r="H1687">
            <v>1.9578</v>
          </cell>
        </row>
        <row r="1688">
          <cell r="B1688">
            <v>38384</v>
          </cell>
          <cell r="C1688">
            <v>38382</v>
          </cell>
          <cell r="D1688">
            <v>1683</v>
          </cell>
          <cell r="E1688">
            <v>15.72</v>
          </cell>
          <cell r="F1688">
            <v>1.738638069627596</v>
          </cell>
          <cell r="G1688">
            <v>2.6729441601959354</v>
          </cell>
          <cell r="H1688">
            <v>1.9578</v>
          </cell>
        </row>
        <row r="1689">
          <cell r="B1689">
            <v>38385</v>
          </cell>
          <cell r="C1689">
            <v>38383</v>
          </cell>
          <cell r="D1689">
            <v>1684</v>
          </cell>
          <cell r="E1689">
            <v>15.72</v>
          </cell>
          <cell r="F1689">
            <v>1.738638069627596</v>
          </cell>
          <cell r="G1689">
            <v>2.6744932543542372</v>
          </cell>
          <cell r="H1689">
            <v>1.9578</v>
          </cell>
        </row>
        <row r="1690">
          <cell r="B1690">
            <v>38386</v>
          </cell>
          <cell r="C1690">
            <v>38384</v>
          </cell>
          <cell r="D1690">
            <v>1685</v>
          </cell>
          <cell r="E1690">
            <v>15.72</v>
          </cell>
          <cell r="F1690">
            <v>1.738638069627596</v>
          </cell>
          <cell r="G1690">
            <v>2.6760432462838981</v>
          </cell>
          <cell r="H1690">
            <v>1.9578</v>
          </cell>
        </row>
        <row r="1691">
          <cell r="B1691">
            <v>38387</v>
          </cell>
          <cell r="C1691">
            <v>38385</v>
          </cell>
          <cell r="D1691">
            <v>1686</v>
          </cell>
          <cell r="E1691">
            <v>15.72</v>
          </cell>
          <cell r="F1691">
            <v>1.738638069627596</v>
          </cell>
          <cell r="G1691">
            <v>2.6775941365052178</v>
          </cell>
          <cell r="H1691">
            <v>1.9578</v>
          </cell>
        </row>
        <row r="1692">
          <cell r="B1692">
            <v>38388</v>
          </cell>
          <cell r="C1692">
            <v>38386</v>
          </cell>
          <cell r="D1692">
            <v>1687</v>
          </cell>
          <cell r="E1692">
            <v>15.72</v>
          </cell>
          <cell r="F1692">
            <v>1.738638069627596</v>
          </cell>
          <cell r="G1692">
            <v>2.6791459255387977</v>
          </cell>
          <cell r="H1692">
            <v>1.9578</v>
          </cell>
        </row>
        <row r="1693">
          <cell r="B1693">
            <v>38389</v>
          </cell>
          <cell r="C1693">
            <v>38387</v>
          </cell>
          <cell r="D1693">
            <v>1688</v>
          </cell>
          <cell r="E1693">
            <v>15.72</v>
          </cell>
          <cell r="F1693">
            <v>1.738638069627596</v>
          </cell>
          <cell r="G1693">
            <v>2.6806986139055407</v>
          </cell>
          <cell r="H1693">
            <v>1.9578</v>
          </cell>
        </row>
        <row r="1694">
          <cell r="B1694">
            <v>38390</v>
          </cell>
          <cell r="C1694">
            <v>38388</v>
          </cell>
          <cell r="D1694">
            <v>1689</v>
          </cell>
          <cell r="E1694">
            <v>15.72</v>
          </cell>
          <cell r="F1694">
            <v>1.738638069627596</v>
          </cell>
          <cell r="G1694">
            <v>2.6822522021266519</v>
          </cell>
          <cell r="H1694">
            <v>1.9578</v>
          </cell>
        </row>
        <row r="1695">
          <cell r="B1695">
            <v>38391</v>
          </cell>
          <cell r="C1695">
            <v>38389</v>
          </cell>
          <cell r="D1695">
            <v>1690</v>
          </cell>
          <cell r="E1695">
            <v>15.72</v>
          </cell>
          <cell r="F1695">
            <v>1.738638069627596</v>
          </cell>
          <cell r="G1695">
            <v>2.6838066907236384</v>
          </cell>
          <cell r="H1695">
            <v>1.9578</v>
          </cell>
        </row>
        <row r="1696">
          <cell r="B1696">
            <v>38392</v>
          </cell>
          <cell r="C1696">
            <v>38390</v>
          </cell>
          <cell r="D1696">
            <v>1691</v>
          </cell>
          <cell r="E1696">
            <v>15.72</v>
          </cell>
          <cell r="F1696">
            <v>1.738638069627596</v>
          </cell>
          <cell r="G1696">
            <v>2.6853620802183094</v>
          </cell>
          <cell r="H1696">
            <v>1.9578</v>
          </cell>
        </row>
        <row r="1697">
          <cell r="B1697">
            <v>38393</v>
          </cell>
          <cell r="C1697">
            <v>38391</v>
          </cell>
          <cell r="D1697">
            <v>1692</v>
          </cell>
          <cell r="E1697">
            <v>15.72</v>
          </cell>
          <cell r="F1697">
            <v>1.738638069627596</v>
          </cell>
          <cell r="G1697">
            <v>2.6869183711327769</v>
          </cell>
          <cell r="H1697">
            <v>1.9578</v>
          </cell>
        </row>
        <row r="1698">
          <cell r="B1698">
            <v>38394</v>
          </cell>
          <cell r="C1698">
            <v>38392</v>
          </cell>
          <cell r="D1698">
            <v>1693</v>
          </cell>
          <cell r="E1698">
            <v>15.72</v>
          </cell>
          <cell r="F1698">
            <v>1.738638069627596</v>
          </cell>
          <cell r="G1698">
            <v>2.6884755639894546</v>
          </cell>
          <cell r="H1698">
            <v>1.9578</v>
          </cell>
        </row>
        <row r="1699">
          <cell r="B1699">
            <v>38395</v>
          </cell>
          <cell r="C1699">
            <v>38393</v>
          </cell>
          <cell r="D1699">
            <v>1694</v>
          </cell>
          <cell r="E1699">
            <v>15.72</v>
          </cell>
          <cell r="F1699">
            <v>1.738638069627596</v>
          </cell>
          <cell r="G1699">
            <v>2.6900336593110596</v>
          </cell>
          <cell r="H1699">
            <v>1.9578</v>
          </cell>
        </row>
        <row r="1700">
          <cell r="B1700">
            <v>38396</v>
          </cell>
          <cell r="C1700">
            <v>38394</v>
          </cell>
          <cell r="D1700">
            <v>1695</v>
          </cell>
          <cell r="E1700">
            <v>15.72</v>
          </cell>
          <cell r="F1700">
            <v>1.738638069627596</v>
          </cell>
          <cell r="G1700">
            <v>2.6915926576206122</v>
          </cell>
          <cell r="H1700">
            <v>1.9578</v>
          </cell>
        </row>
        <row r="1701">
          <cell r="B1701">
            <v>38397</v>
          </cell>
          <cell r="C1701">
            <v>38395</v>
          </cell>
          <cell r="D1701">
            <v>1696</v>
          </cell>
          <cell r="E1701">
            <v>15.72</v>
          </cell>
          <cell r="F1701">
            <v>1.738638069627596</v>
          </cell>
          <cell r="G1701">
            <v>2.6931525594414354</v>
          </cell>
          <cell r="H1701">
            <v>1.9578</v>
          </cell>
        </row>
        <row r="1702">
          <cell r="B1702">
            <v>38398</v>
          </cell>
          <cell r="C1702">
            <v>38396</v>
          </cell>
          <cell r="D1702">
            <v>1697</v>
          </cell>
          <cell r="E1702">
            <v>15.72</v>
          </cell>
          <cell r="F1702">
            <v>1.738638069627596</v>
          </cell>
          <cell r="G1702">
            <v>2.6947133652971553</v>
          </cell>
          <cell r="H1702">
            <v>1.9578</v>
          </cell>
        </row>
        <row r="1703">
          <cell r="B1703">
            <v>38399</v>
          </cell>
          <cell r="C1703">
            <v>38397</v>
          </cell>
          <cell r="D1703">
            <v>1698</v>
          </cell>
          <cell r="E1703">
            <v>15.72</v>
          </cell>
          <cell r="F1703">
            <v>1.738638069627596</v>
          </cell>
          <cell r="G1703">
            <v>2.6962750757117018</v>
          </cell>
          <cell r="H1703">
            <v>1.9578</v>
          </cell>
        </row>
        <row r="1704">
          <cell r="B1704">
            <v>38400</v>
          </cell>
          <cell r="C1704">
            <v>38398</v>
          </cell>
          <cell r="D1704">
            <v>1699</v>
          </cell>
          <cell r="E1704">
            <v>15.72</v>
          </cell>
          <cell r="F1704">
            <v>1.738638069627596</v>
          </cell>
          <cell r="G1704">
            <v>2.6978376912093087</v>
          </cell>
          <cell r="H1704">
            <v>1.9578</v>
          </cell>
        </row>
        <row r="1705">
          <cell r="B1705">
            <v>38401</v>
          </cell>
          <cell r="C1705">
            <v>38399</v>
          </cell>
          <cell r="D1705">
            <v>1700</v>
          </cell>
          <cell r="E1705">
            <v>15.72</v>
          </cell>
          <cell r="F1705">
            <v>1.738638069627596</v>
          </cell>
          <cell r="G1705">
            <v>2.699401212314513</v>
          </cell>
          <cell r="H1705">
            <v>1.9578</v>
          </cell>
        </row>
        <row r="1706">
          <cell r="B1706">
            <v>38402</v>
          </cell>
          <cell r="C1706">
            <v>38400</v>
          </cell>
          <cell r="D1706">
            <v>1701</v>
          </cell>
          <cell r="E1706">
            <v>15.72</v>
          </cell>
          <cell r="F1706">
            <v>1.738638069627596</v>
          </cell>
          <cell r="G1706">
            <v>2.7009656395521562</v>
          </cell>
          <cell r="H1706">
            <v>1.9578</v>
          </cell>
        </row>
        <row r="1707">
          <cell r="B1707">
            <v>38403</v>
          </cell>
          <cell r="C1707">
            <v>38401</v>
          </cell>
          <cell r="D1707">
            <v>1702</v>
          </cell>
          <cell r="E1707">
            <v>15.72</v>
          </cell>
          <cell r="F1707">
            <v>1.738638069627596</v>
          </cell>
          <cell r="G1707">
            <v>2.7025309734473835</v>
          </cell>
          <cell r="H1707">
            <v>1.9578</v>
          </cell>
        </row>
        <row r="1708">
          <cell r="B1708">
            <v>38404</v>
          </cell>
          <cell r="C1708">
            <v>38402</v>
          </cell>
          <cell r="D1708">
            <v>1703</v>
          </cell>
          <cell r="E1708">
            <v>15.72</v>
          </cell>
          <cell r="F1708">
            <v>1.738638069627596</v>
          </cell>
          <cell r="G1708">
            <v>2.7040972145256448</v>
          </cell>
          <cell r="H1708">
            <v>1.9578</v>
          </cell>
        </row>
        <row r="1709">
          <cell r="B1709">
            <v>38405</v>
          </cell>
          <cell r="C1709">
            <v>38403</v>
          </cell>
          <cell r="D1709">
            <v>1704</v>
          </cell>
          <cell r="E1709">
            <v>15.72</v>
          </cell>
          <cell r="F1709">
            <v>1.738638069627596</v>
          </cell>
          <cell r="G1709">
            <v>2.7056643633126942</v>
          </cell>
          <cell r="H1709">
            <v>1.9578</v>
          </cell>
        </row>
        <row r="1710">
          <cell r="B1710">
            <v>38406</v>
          </cell>
          <cell r="C1710">
            <v>38404</v>
          </cell>
          <cell r="D1710">
            <v>1705</v>
          </cell>
          <cell r="E1710">
            <v>15.72</v>
          </cell>
          <cell r="F1710">
            <v>1.738638069627596</v>
          </cell>
          <cell r="G1710">
            <v>2.707232420334591</v>
          </cell>
          <cell r="H1710">
            <v>1.9578</v>
          </cell>
        </row>
        <row r="1711">
          <cell r="B1711">
            <v>38407</v>
          </cell>
          <cell r="C1711">
            <v>38405</v>
          </cell>
          <cell r="D1711">
            <v>1706</v>
          </cell>
          <cell r="E1711">
            <v>15.72</v>
          </cell>
          <cell r="F1711">
            <v>1.738638069627596</v>
          </cell>
          <cell r="G1711">
            <v>2.7088013861176989</v>
          </cell>
          <cell r="H1711">
            <v>1.9578</v>
          </cell>
        </row>
        <row r="1712">
          <cell r="B1712">
            <v>38408</v>
          </cell>
          <cell r="C1712">
            <v>38406</v>
          </cell>
          <cell r="D1712">
            <v>1707</v>
          </cell>
          <cell r="E1712">
            <v>15.72</v>
          </cell>
          <cell r="F1712">
            <v>1.738638069627596</v>
          </cell>
          <cell r="G1712">
            <v>2.710371261188687</v>
          </cell>
          <cell r="H1712">
            <v>1.9578</v>
          </cell>
        </row>
        <row r="1713">
          <cell r="B1713">
            <v>38409</v>
          </cell>
          <cell r="C1713">
            <v>38407</v>
          </cell>
          <cell r="D1713">
            <v>1708</v>
          </cell>
          <cell r="E1713">
            <v>15.72</v>
          </cell>
          <cell r="F1713">
            <v>1.738638069627596</v>
          </cell>
          <cell r="G1713">
            <v>2.7119420460745296</v>
          </cell>
          <cell r="H1713">
            <v>1.9578</v>
          </cell>
        </row>
        <row r="1714">
          <cell r="B1714">
            <v>38410</v>
          </cell>
          <cell r="C1714">
            <v>38408</v>
          </cell>
          <cell r="D1714">
            <v>1709</v>
          </cell>
          <cell r="E1714">
            <v>15.72</v>
          </cell>
          <cell r="F1714">
            <v>1.738638069627596</v>
          </cell>
          <cell r="G1714">
            <v>2.7135137413025059</v>
          </cell>
          <cell r="H1714">
            <v>1.9578</v>
          </cell>
        </row>
        <row r="1715">
          <cell r="B1715">
            <v>38411</v>
          </cell>
          <cell r="C1715">
            <v>38409</v>
          </cell>
          <cell r="D1715">
            <v>1710</v>
          </cell>
          <cell r="E1715">
            <v>15.72</v>
          </cell>
          <cell r="F1715">
            <v>1.738638069627596</v>
          </cell>
          <cell r="G1715">
            <v>2.7150863474002014</v>
          </cell>
          <cell r="H1715">
            <v>1.9578</v>
          </cell>
        </row>
        <row r="1716">
          <cell r="B1716">
            <v>38412</v>
          </cell>
          <cell r="C1716">
            <v>38410</v>
          </cell>
          <cell r="D1716">
            <v>1711</v>
          </cell>
          <cell r="E1716">
            <v>15.72</v>
          </cell>
          <cell r="F1716">
            <v>1.738638069627596</v>
          </cell>
          <cell r="G1716">
            <v>2.7166598648955067</v>
          </cell>
          <cell r="H1716">
            <v>1.9578</v>
          </cell>
        </row>
        <row r="1717">
          <cell r="B1717">
            <v>38413</v>
          </cell>
          <cell r="C1717">
            <v>38411</v>
          </cell>
          <cell r="D1717">
            <v>1712</v>
          </cell>
          <cell r="E1717">
            <v>15.72</v>
          </cell>
          <cell r="F1717">
            <v>1.738638069627596</v>
          </cell>
          <cell r="G1717">
            <v>2.7182342943166189</v>
          </cell>
          <cell r="H1717">
            <v>1.9578</v>
          </cell>
        </row>
        <row r="1718">
          <cell r="B1718">
            <v>38414</v>
          </cell>
          <cell r="C1718">
            <v>38412</v>
          </cell>
          <cell r="D1718">
            <v>1713</v>
          </cell>
          <cell r="E1718">
            <v>15.72</v>
          </cell>
          <cell r="F1718">
            <v>1.738638069627596</v>
          </cell>
          <cell r="G1718">
            <v>2.719809636192041</v>
          </cell>
          <cell r="H1718">
            <v>1.9578</v>
          </cell>
        </row>
        <row r="1719">
          <cell r="B1719">
            <v>38415</v>
          </cell>
          <cell r="C1719">
            <v>38413</v>
          </cell>
          <cell r="D1719">
            <v>1714</v>
          </cell>
          <cell r="E1719">
            <v>15.72</v>
          </cell>
          <cell r="F1719">
            <v>1.738638069627596</v>
          </cell>
          <cell r="G1719">
            <v>2.7213858910505819</v>
          </cell>
          <cell r="H1719">
            <v>1.9578</v>
          </cell>
        </row>
        <row r="1720">
          <cell r="B1720">
            <v>38416</v>
          </cell>
          <cell r="C1720">
            <v>38414</v>
          </cell>
          <cell r="D1720">
            <v>1715</v>
          </cell>
          <cell r="E1720">
            <v>15.72</v>
          </cell>
          <cell r="F1720">
            <v>1.738638069627596</v>
          </cell>
          <cell r="G1720">
            <v>2.7229630594213581</v>
          </cell>
          <cell r="H1720">
            <v>1.9578</v>
          </cell>
        </row>
        <row r="1721">
          <cell r="B1721">
            <v>38417</v>
          </cell>
          <cell r="C1721">
            <v>38415</v>
          </cell>
          <cell r="D1721">
            <v>1716</v>
          </cell>
          <cell r="E1721">
            <v>15.72</v>
          </cell>
          <cell r="F1721">
            <v>1.738638069627596</v>
          </cell>
          <cell r="G1721">
            <v>2.7245411418337913</v>
          </cell>
          <cell r="H1721">
            <v>1.9578</v>
          </cell>
        </row>
        <row r="1722">
          <cell r="B1722">
            <v>38418</v>
          </cell>
          <cell r="C1722">
            <v>38416</v>
          </cell>
          <cell r="D1722">
            <v>1717</v>
          </cell>
          <cell r="E1722">
            <v>15.72</v>
          </cell>
          <cell r="F1722">
            <v>1.738638069627596</v>
          </cell>
          <cell r="G1722">
            <v>2.7261201388176111</v>
          </cell>
          <cell r="H1722">
            <v>1.9578</v>
          </cell>
        </row>
        <row r="1723">
          <cell r="B1723">
            <v>38419</v>
          </cell>
          <cell r="C1723">
            <v>38417</v>
          </cell>
          <cell r="D1723">
            <v>1718</v>
          </cell>
          <cell r="E1723">
            <v>15.72</v>
          </cell>
          <cell r="F1723">
            <v>1.738638069627596</v>
          </cell>
          <cell r="G1723">
            <v>2.7277000509028535</v>
          </cell>
          <cell r="H1723">
            <v>1.9578</v>
          </cell>
        </row>
        <row r="1724">
          <cell r="B1724">
            <v>38420</v>
          </cell>
          <cell r="C1724">
            <v>38418</v>
          </cell>
          <cell r="D1724">
            <v>1719</v>
          </cell>
          <cell r="E1724">
            <v>15.72</v>
          </cell>
          <cell r="F1724">
            <v>1.738638069627596</v>
          </cell>
          <cell r="G1724">
            <v>2.7292808786198619</v>
          </cell>
          <cell r="H1724">
            <v>1.9578</v>
          </cell>
        </row>
        <row r="1725">
          <cell r="B1725">
            <v>38421</v>
          </cell>
          <cell r="C1725">
            <v>38419</v>
          </cell>
          <cell r="D1725">
            <v>1720</v>
          </cell>
          <cell r="E1725">
            <v>15.72</v>
          </cell>
          <cell r="F1725">
            <v>1.738638069627596</v>
          </cell>
          <cell r="G1725">
            <v>2.7308626224992869</v>
          </cell>
          <cell r="H1725">
            <v>1.9578</v>
          </cell>
        </row>
        <row r="1726">
          <cell r="B1726">
            <v>38422</v>
          </cell>
          <cell r="C1726">
            <v>38420</v>
          </cell>
          <cell r="D1726">
            <v>1721</v>
          </cell>
          <cell r="E1726">
            <v>15.72</v>
          </cell>
          <cell r="F1726">
            <v>1.738638069627596</v>
          </cell>
          <cell r="G1726">
            <v>2.7324452830720869</v>
          </cell>
          <cell r="H1726">
            <v>1.9578</v>
          </cell>
        </row>
        <row r="1727">
          <cell r="B1727">
            <v>38423</v>
          </cell>
          <cell r="C1727">
            <v>38421</v>
          </cell>
          <cell r="D1727">
            <v>1722</v>
          </cell>
          <cell r="E1727">
            <v>15.72</v>
          </cell>
          <cell r="F1727">
            <v>1.738638069627596</v>
          </cell>
          <cell r="G1727">
            <v>2.734028860869528</v>
          </cell>
          <cell r="H1727">
            <v>1.9578</v>
          </cell>
        </row>
        <row r="1728">
          <cell r="B1728">
            <v>38424</v>
          </cell>
          <cell r="C1728">
            <v>38422</v>
          </cell>
          <cell r="D1728">
            <v>1723</v>
          </cell>
          <cell r="E1728">
            <v>15.72</v>
          </cell>
          <cell r="F1728">
            <v>1.738638069627596</v>
          </cell>
          <cell r="G1728">
            <v>2.7356133564231842</v>
          </cell>
          <cell r="H1728">
            <v>1.9578</v>
          </cell>
        </row>
        <row r="1729">
          <cell r="B1729">
            <v>38425</v>
          </cell>
          <cell r="C1729">
            <v>38423</v>
          </cell>
          <cell r="D1729">
            <v>1724</v>
          </cell>
          <cell r="E1729">
            <v>15.72</v>
          </cell>
          <cell r="F1729">
            <v>1.738638069627596</v>
          </cell>
          <cell r="G1729">
            <v>2.737198770264937</v>
          </cell>
          <cell r="H1729">
            <v>1.9578</v>
          </cell>
        </row>
        <row r="1730">
          <cell r="B1730">
            <v>38426</v>
          </cell>
          <cell r="C1730">
            <v>38424</v>
          </cell>
          <cell r="D1730">
            <v>1725</v>
          </cell>
          <cell r="E1730">
            <v>15.72</v>
          </cell>
          <cell r="F1730">
            <v>1.738638069627596</v>
          </cell>
          <cell r="G1730">
            <v>2.7387851029269772</v>
          </cell>
          <cell r="H1730">
            <v>1.9578</v>
          </cell>
        </row>
        <row r="1731">
          <cell r="B1731">
            <v>38427</v>
          </cell>
          <cell r="C1731">
            <v>38425</v>
          </cell>
          <cell r="D1731">
            <v>1726</v>
          </cell>
          <cell r="E1731">
            <v>15.72</v>
          </cell>
          <cell r="F1731">
            <v>1.738638069627596</v>
          </cell>
          <cell r="G1731">
            <v>2.7403723549418033</v>
          </cell>
          <cell r="H1731">
            <v>1.9578</v>
          </cell>
        </row>
        <row r="1732">
          <cell r="B1732">
            <v>38428</v>
          </cell>
          <cell r="C1732">
            <v>38426</v>
          </cell>
          <cell r="D1732">
            <v>1727</v>
          </cell>
          <cell r="E1732">
            <v>15.72</v>
          </cell>
          <cell r="F1732">
            <v>1.738638069627596</v>
          </cell>
          <cell r="G1732">
            <v>2.7419605268422225</v>
          </cell>
          <cell r="H1732">
            <v>1.9578</v>
          </cell>
        </row>
        <row r="1733">
          <cell r="B1733">
            <v>38429</v>
          </cell>
          <cell r="C1733">
            <v>38427</v>
          </cell>
          <cell r="D1733">
            <v>1728</v>
          </cell>
          <cell r="E1733">
            <v>15.72</v>
          </cell>
          <cell r="F1733">
            <v>1.738638069627596</v>
          </cell>
          <cell r="G1733">
            <v>2.7435496191613504</v>
          </cell>
          <cell r="H1733">
            <v>1.9578</v>
          </cell>
        </row>
        <row r="1734">
          <cell r="B1734">
            <v>38430</v>
          </cell>
          <cell r="C1734">
            <v>38428</v>
          </cell>
          <cell r="D1734">
            <v>1729</v>
          </cell>
          <cell r="E1734">
            <v>15.72</v>
          </cell>
          <cell r="F1734">
            <v>1.738638069627596</v>
          </cell>
          <cell r="G1734">
            <v>2.7451396324326125</v>
          </cell>
          <cell r="H1734">
            <v>1.9578</v>
          </cell>
        </row>
        <row r="1735">
          <cell r="B1735">
            <v>38431</v>
          </cell>
          <cell r="C1735">
            <v>38429</v>
          </cell>
          <cell r="D1735">
            <v>1730</v>
          </cell>
          <cell r="E1735">
            <v>15.72</v>
          </cell>
          <cell r="F1735">
            <v>1.738638069627596</v>
          </cell>
          <cell r="G1735">
            <v>2.7467305671897426</v>
          </cell>
          <cell r="H1735">
            <v>1.9578</v>
          </cell>
        </row>
        <row r="1736">
          <cell r="B1736">
            <v>38432</v>
          </cell>
          <cell r="C1736">
            <v>38430</v>
          </cell>
          <cell r="D1736">
            <v>1731</v>
          </cell>
          <cell r="E1736">
            <v>15.72</v>
          </cell>
          <cell r="F1736">
            <v>1.738638069627596</v>
          </cell>
          <cell r="G1736">
            <v>2.7483224239667847</v>
          </cell>
          <cell r="H1736">
            <v>1.9578</v>
          </cell>
        </row>
        <row r="1737">
          <cell r="B1737">
            <v>38433</v>
          </cell>
          <cell r="C1737">
            <v>38431</v>
          </cell>
          <cell r="D1737">
            <v>1732</v>
          </cell>
          <cell r="E1737">
            <v>15.72</v>
          </cell>
          <cell r="F1737">
            <v>1.738638069627596</v>
          </cell>
          <cell r="G1737">
            <v>2.7499152032980914</v>
          </cell>
          <cell r="H1737">
            <v>1.9578</v>
          </cell>
        </row>
        <row r="1738">
          <cell r="B1738">
            <v>38434</v>
          </cell>
          <cell r="C1738">
            <v>38432</v>
          </cell>
          <cell r="D1738">
            <v>1733</v>
          </cell>
          <cell r="E1738">
            <v>15.72</v>
          </cell>
          <cell r="F1738">
            <v>1.738638069627596</v>
          </cell>
          <cell r="G1738">
            <v>2.7515089057183251</v>
          </cell>
          <cell r="H1738">
            <v>1.9578</v>
          </cell>
        </row>
        <row r="1739">
          <cell r="B1739">
            <v>38435</v>
          </cell>
          <cell r="C1739">
            <v>38433</v>
          </cell>
          <cell r="D1739">
            <v>1734</v>
          </cell>
          <cell r="E1739">
            <v>15.72</v>
          </cell>
          <cell r="F1739">
            <v>1.738638069627596</v>
          </cell>
          <cell r="G1739">
            <v>2.7531035317624588</v>
          </cell>
          <cell r="H1739">
            <v>1.9578</v>
          </cell>
        </row>
        <row r="1740">
          <cell r="B1740">
            <v>38436</v>
          </cell>
          <cell r="C1740">
            <v>38434</v>
          </cell>
          <cell r="D1740">
            <v>1735</v>
          </cell>
          <cell r="E1740">
            <v>15.72</v>
          </cell>
          <cell r="F1740">
            <v>1.738638069627596</v>
          </cell>
          <cell r="G1740">
            <v>2.7546990819657751</v>
          </cell>
          <cell r="H1740">
            <v>1.9578</v>
          </cell>
        </row>
        <row r="1741">
          <cell r="B1741">
            <v>38437</v>
          </cell>
          <cell r="C1741">
            <v>38435</v>
          </cell>
          <cell r="D1741">
            <v>1736</v>
          </cell>
          <cell r="E1741">
            <v>15.72</v>
          </cell>
          <cell r="F1741">
            <v>1.738638069627596</v>
          </cell>
          <cell r="G1741">
            <v>2.7562955568638663</v>
          </cell>
          <cell r="H1741">
            <v>1.9578</v>
          </cell>
        </row>
        <row r="1742">
          <cell r="B1742">
            <v>38438</v>
          </cell>
          <cell r="C1742">
            <v>38436</v>
          </cell>
          <cell r="D1742">
            <v>1737</v>
          </cell>
          <cell r="E1742">
            <v>15.72</v>
          </cell>
          <cell r="F1742">
            <v>1.738638069627596</v>
          </cell>
          <cell r="G1742">
            <v>2.7578929569926358</v>
          </cell>
          <cell r="H1742">
            <v>1.9578</v>
          </cell>
        </row>
        <row r="1743">
          <cell r="B1743">
            <v>38439</v>
          </cell>
          <cell r="C1743">
            <v>38437</v>
          </cell>
          <cell r="D1743">
            <v>1738</v>
          </cell>
          <cell r="E1743">
            <v>15.72</v>
          </cell>
          <cell r="F1743">
            <v>1.738638069627596</v>
          </cell>
          <cell r="G1743">
            <v>2.7594912828882974</v>
          </cell>
          <cell r="H1743">
            <v>1.9578</v>
          </cell>
        </row>
        <row r="1744">
          <cell r="B1744">
            <v>38440</v>
          </cell>
          <cell r="C1744">
            <v>38438</v>
          </cell>
          <cell r="D1744">
            <v>1739</v>
          </cell>
          <cell r="E1744">
            <v>15.72</v>
          </cell>
          <cell r="F1744">
            <v>1.738638069627596</v>
          </cell>
          <cell r="G1744">
            <v>2.7610905350873756</v>
          </cell>
          <cell r="H1744">
            <v>1.9578</v>
          </cell>
        </row>
        <row r="1745">
          <cell r="B1745">
            <v>38441</v>
          </cell>
          <cell r="C1745">
            <v>38439</v>
          </cell>
          <cell r="D1745">
            <v>1740</v>
          </cell>
          <cell r="E1745">
            <v>15.72</v>
          </cell>
          <cell r="F1745">
            <v>1.738638069627596</v>
          </cell>
          <cell r="G1745">
            <v>2.7626907141267059</v>
          </cell>
          <cell r="H1745">
            <v>1.9578</v>
          </cell>
        </row>
        <row r="1746">
          <cell r="B1746">
            <v>38442</v>
          </cell>
          <cell r="C1746">
            <v>38440</v>
          </cell>
          <cell r="D1746">
            <v>1741</v>
          </cell>
          <cell r="E1746">
            <v>15.72</v>
          </cell>
          <cell r="F1746">
            <v>1.738638069627596</v>
          </cell>
          <cell r="G1746">
            <v>2.764291820543435</v>
          </cell>
          <cell r="H1746">
            <v>1.9578</v>
          </cell>
        </row>
        <row r="1747">
          <cell r="B1747">
            <v>38443</v>
          </cell>
          <cell r="C1747">
            <v>38441</v>
          </cell>
          <cell r="D1747">
            <v>1742</v>
          </cell>
          <cell r="E1747">
            <v>15.72</v>
          </cell>
          <cell r="F1747">
            <v>1.738638069627596</v>
          </cell>
          <cell r="G1747">
            <v>2.7658938548750207</v>
          </cell>
          <cell r="H1747">
            <v>1.9578</v>
          </cell>
        </row>
        <row r="1748">
          <cell r="B1748">
            <v>38444</v>
          </cell>
          <cell r="C1748">
            <v>38442</v>
          </cell>
          <cell r="D1748">
            <v>1743</v>
          </cell>
          <cell r="E1748">
            <v>15.72</v>
          </cell>
          <cell r="F1748">
            <v>1.738638069627596</v>
          </cell>
          <cell r="G1748">
            <v>2.7674968176592323</v>
          </cell>
          <cell r="H1748">
            <v>1.9578</v>
          </cell>
        </row>
        <row r="1749">
          <cell r="B1749">
            <v>38445</v>
          </cell>
          <cell r="C1749">
            <v>38443</v>
          </cell>
          <cell r="D1749">
            <v>1744</v>
          </cell>
          <cell r="E1749">
            <v>15.72</v>
          </cell>
          <cell r="F1749">
            <v>1.738638069627596</v>
          </cell>
          <cell r="G1749">
            <v>2.7691007094341509</v>
          </cell>
          <cell r="H1749">
            <v>1.9578</v>
          </cell>
        </row>
        <row r="1750">
          <cell r="B1750">
            <v>38446</v>
          </cell>
          <cell r="C1750">
            <v>38444</v>
          </cell>
          <cell r="D1750">
            <v>1745</v>
          </cell>
          <cell r="E1750">
            <v>15.72</v>
          </cell>
          <cell r="F1750">
            <v>1.738638069627596</v>
          </cell>
          <cell r="G1750">
            <v>2.7707055307381694</v>
          </cell>
          <cell r="H1750">
            <v>1.9578</v>
          </cell>
        </row>
        <row r="1751">
          <cell r="B1751">
            <v>38447</v>
          </cell>
          <cell r="C1751">
            <v>38445</v>
          </cell>
          <cell r="D1751">
            <v>1746</v>
          </cell>
          <cell r="E1751">
            <v>15.72</v>
          </cell>
          <cell r="F1751">
            <v>1.738638069627596</v>
          </cell>
          <cell r="G1751">
            <v>2.7723112821099924</v>
          </cell>
          <cell r="H1751">
            <v>1.9578</v>
          </cell>
        </row>
        <row r="1752">
          <cell r="B1752">
            <v>38448</v>
          </cell>
          <cell r="C1752">
            <v>38446</v>
          </cell>
          <cell r="D1752">
            <v>1747</v>
          </cell>
          <cell r="E1752">
            <v>15.72</v>
          </cell>
          <cell r="F1752">
            <v>1.738638069627596</v>
          </cell>
          <cell r="G1752">
            <v>2.7739179640886373</v>
          </cell>
          <cell r="H1752">
            <v>1.9578</v>
          </cell>
        </row>
        <row r="1753">
          <cell r="B1753">
            <v>38449</v>
          </cell>
          <cell r="C1753">
            <v>38447</v>
          </cell>
          <cell r="D1753">
            <v>1748</v>
          </cell>
          <cell r="E1753">
            <v>15.72</v>
          </cell>
          <cell r="F1753">
            <v>1.738638069627596</v>
          </cell>
          <cell r="G1753">
            <v>2.7755255772134335</v>
          </cell>
          <cell r="H1753">
            <v>1.9578</v>
          </cell>
        </row>
        <row r="1754">
          <cell r="B1754">
            <v>38450</v>
          </cell>
          <cell r="C1754">
            <v>38448</v>
          </cell>
          <cell r="D1754">
            <v>1749</v>
          </cell>
          <cell r="E1754">
            <v>15.72</v>
          </cell>
          <cell r="F1754">
            <v>1.738638069627596</v>
          </cell>
          <cell r="G1754">
            <v>2.7771341220240231</v>
          </cell>
          <cell r="H1754">
            <v>1.9578</v>
          </cell>
        </row>
        <row r="1755">
          <cell r="B1755">
            <v>38451</v>
          </cell>
          <cell r="C1755">
            <v>38449</v>
          </cell>
          <cell r="D1755">
            <v>1750</v>
          </cell>
          <cell r="E1755">
            <v>15.72</v>
          </cell>
          <cell r="F1755">
            <v>1.738638069627596</v>
          </cell>
          <cell r="G1755">
            <v>2.7787435990603608</v>
          </cell>
          <cell r="H1755">
            <v>1.9578</v>
          </cell>
        </row>
        <row r="1756">
          <cell r="B1756">
            <v>38452</v>
          </cell>
          <cell r="C1756">
            <v>38450</v>
          </cell>
          <cell r="D1756">
            <v>1751</v>
          </cell>
          <cell r="E1756">
            <v>15.72</v>
          </cell>
          <cell r="F1756">
            <v>1.738638069627596</v>
          </cell>
          <cell r="G1756">
            <v>2.7803540088627141</v>
          </cell>
          <cell r="H1756">
            <v>1.9578</v>
          </cell>
        </row>
        <row r="1757">
          <cell r="B1757">
            <v>38453</v>
          </cell>
          <cell r="C1757">
            <v>38451</v>
          </cell>
          <cell r="D1757">
            <v>1752</v>
          </cell>
          <cell r="E1757">
            <v>15.72</v>
          </cell>
          <cell r="F1757">
            <v>1.738638069627596</v>
          </cell>
          <cell r="G1757">
            <v>2.7819653519716643</v>
          </cell>
          <cell r="H1757">
            <v>1.9578</v>
          </cell>
        </row>
        <row r="1758">
          <cell r="B1758">
            <v>38454</v>
          </cell>
          <cell r="C1758">
            <v>38452</v>
          </cell>
          <cell r="D1758">
            <v>1753</v>
          </cell>
          <cell r="E1758">
            <v>15.72</v>
          </cell>
          <cell r="F1758">
            <v>1.738638069627596</v>
          </cell>
          <cell r="G1758">
            <v>2.7835776289281053</v>
          </cell>
          <cell r="H1758">
            <v>1.9578</v>
          </cell>
        </row>
        <row r="1759">
          <cell r="B1759">
            <v>38455</v>
          </cell>
          <cell r="C1759">
            <v>38453</v>
          </cell>
          <cell r="D1759">
            <v>1754</v>
          </cell>
          <cell r="E1759">
            <v>15.72</v>
          </cell>
          <cell r="F1759">
            <v>1.738638069627596</v>
          </cell>
          <cell r="G1759">
            <v>2.7851908402732448</v>
          </cell>
          <cell r="H1759">
            <v>1.9578</v>
          </cell>
        </row>
        <row r="1760">
          <cell r="B1760">
            <v>38456</v>
          </cell>
          <cell r="C1760">
            <v>38454</v>
          </cell>
          <cell r="D1760">
            <v>1755</v>
          </cell>
          <cell r="E1760">
            <v>15.72</v>
          </cell>
          <cell r="F1760">
            <v>1.738638069627596</v>
          </cell>
          <cell r="G1760">
            <v>2.7868049865486038</v>
          </cell>
          <cell r="H1760">
            <v>1.9578</v>
          </cell>
        </row>
        <row r="1761">
          <cell r="B1761">
            <v>38457</v>
          </cell>
          <cell r="C1761">
            <v>38455</v>
          </cell>
          <cell r="D1761">
            <v>1756</v>
          </cell>
          <cell r="E1761">
            <v>15.72</v>
          </cell>
          <cell r="F1761">
            <v>1.738638069627596</v>
          </cell>
          <cell r="G1761">
            <v>2.7884200682960176</v>
          </cell>
          <cell r="H1761">
            <v>1.9578</v>
          </cell>
        </row>
        <row r="1762">
          <cell r="B1762">
            <v>38458</v>
          </cell>
          <cell r="C1762">
            <v>38456</v>
          </cell>
          <cell r="D1762">
            <v>1757</v>
          </cell>
          <cell r="E1762">
            <v>15.72</v>
          </cell>
          <cell r="F1762">
            <v>1.738638069627596</v>
          </cell>
          <cell r="G1762">
            <v>2.7900360860576354</v>
          </cell>
          <cell r="H1762">
            <v>1.9578</v>
          </cell>
        </row>
        <row r="1763">
          <cell r="B1763">
            <v>38459</v>
          </cell>
          <cell r="C1763">
            <v>38457</v>
          </cell>
          <cell r="D1763">
            <v>1758</v>
          </cell>
          <cell r="E1763">
            <v>15.72</v>
          </cell>
          <cell r="F1763">
            <v>1.738638069627596</v>
          </cell>
          <cell r="G1763">
            <v>2.7916530403759201</v>
          </cell>
          <cell r="H1763">
            <v>1.9578</v>
          </cell>
        </row>
        <row r="1764">
          <cell r="B1764">
            <v>38460</v>
          </cell>
          <cell r="C1764">
            <v>38458</v>
          </cell>
          <cell r="D1764">
            <v>1759</v>
          </cell>
          <cell r="E1764">
            <v>15.72</v>
          </cell>
          <cell r="F1764">
            <v>1.738638069627596</v>
          </cell>
          <cell r="G1764">
            <v>2.7932709317936499</v>
          </cell>
          <cell r="H1764">
            <v>1.9578</v>
          </cell>
        </row>
        <row r="1765">
          <cell r="B1765">
            <v>38461</v>
          </cell>
          <cell r="C1765">
            <v>38459</v>
          </cell>
          <cell r="D1765">
            <v>1760</v>
          </cell>
          <cell r="E1765">
            <v>15.72</v>
          </cell>
          <cell r="F1765">
            <v>1.738638069627596</v>
          </cell>
          <cell r="G1765">
            <v>2.7948897608539167</v>
          </cell>
          <cell r="H1765">
            <v>1.9578</v>
          </cell>
        </row>
        <row r="1766">
          <cell r="B1766">
            <v>38462</v>
          </cell>
          <cell r="C1766">
            <v>38460</v>
          </cell>
          <cell r="D1766">
            <v>1761</v>
          </cell>
          <cell r="E1766">
            <v>15.72</v>
          </cell>
          <cell r="F1766">
            <v>1.738638069627596</v>
          </cell>
          <cell r="G1766">
            <v>2.7965095281001275</v>
          </cell>
          <cell r="H1766">
            <v>1.9578</v>
          </cell>
        </row>
        <row r="1767">
          <cell r="B1767">
            <v>38463</v>
          </cell>
          <cell r="C1767">
            <v>38461</v>
          </cell>
          <cell r="D1767">
            <v>1762</v>
          </cell>
          <cell r="E1767">
            <v>15.72</v>
          </cell>
          <cell r="F1767">
            <v>1.738638069627596</v>
          </cell>
          <cell r="G1767">
            <v>2.7981302340760048</v>
          </cell>
          <cell r="H1767">
            <v>1.9578</v>
          </cell>
        </row>
        <row r="1768">
          <cell r="B1768">
            <v>38464</v>
          </cell>
          <cell r="C1768">
            <v>38462</v>
          </cell>
          <cell r="D1768">
            <v>1763</v>
          </cell>
          <cell r="E1768">
            <v>15.72</v>
          </cell>
          <cell r="F1768">
            <v>1.738638069627596</v>
          </cell>
          <cell r="G1768">
            <v>2.7997518793255849</v>
          </cell>
          <cell r="H1768">
            <v>1.9578</v>
          </cell>
        </row>
        <row r="1769">
          <cell r="B1769">
            <v>38465</v>
          </cell>
          <cell r="C1769">
            <v>38463</v>
          </cell>
          <cell r="D1769">
            <v>1764</v>
          </cell>
          <cell r="E1769">
            <v>15.72</v>
          </cell>
          <cell r="F1769">
            <v>1.738638069627596</v>
          </cell>
          <cell r="G1769">
            <v>2.8013744643932204</v>
          </cell>
          <cell r="H1769">
            <v>1.9578</v>
          </cell>
        </row>
        <row r="1770">
          <cell r="B1770">
            <v>38466</v>
          </cell>
          <cell r="C1770">
            <v>38464</v>
          </cell>
          <cell r="D1770">
            <v>1765</v>
          </cell>
          <cell r="E1770">
            <v>15.72</v>
          </cell>
          <cell r="F1770">
            <v>1.738638069627596</v>
          </cell>
          <cell r="G1770">
            <v>2.8029979898235791</v>
          </cell>
          <cell r="H1770">
            <v>1.9578</v>
          </cell>
        </row>
        <row r="1771">
          <cell r="B1771">
            <v>38467</v>
          </cell>
          <cell r="C1771">
            <v>38465</v>
          </cell>
          <cell r="D1771">
            <v>1766</v>
          </cell>
          <cell r="E1771">
            <v>15.72</v>
          </cell>
          <cell r="F1771">
            <v>1.738638069627596</v>
          </cell>
          <cell r="G1771">
            <v>2.8046224561616446</v>
          </cell>
          <cell r="H1771">
            <v>1.9578</v>
          </cell>
        </row>
        <row r="1772">
          <cell r="B1772">
            <v>38468</v>
          </cell>
          <cell r="C1772">
            <v>38466</v>
          </cell>
          <cell r="D1772">
            <v>1767</v>
          </cell>
          <cell r="E1772">
            <v>15.72</v>
          </cell>
          <cell r="F1772">
            <v>1.738638069627596</v>
          </cell>
          <cell r="G1772">
            <v>2.8062478639527164</v>
          </cell>
          <cell r="H1772">
            <v>1.9578</v>
          </cell>
        </row>
        <row r="1773">
          <cell r="B1773">
            <v>38469</v>
          </cell>
          <cell r="C1773">
            <v>38467</v>
          </cell>
          <cell r="D1773">
            <v>1768</v>
          </cell>
          <cell r="E1773">
            <v>15.72</v>
          </cell>
          <cell r="F1773">
            <v>1.738638069627596</v>
          </cell>
          <cell r="G1773">
            <v>2.8078742137424095</v>
          </cell>
          <cell r="H1773">
            <v>1.9578</v>
          </cell>
        </row>
        <row r="1774">
          <cell r="B1774">
            <v>38470</v>
          </cell>
          <cell r="C1774">
            <v>38468</v>
          </cell>
          <cell r="D1774">
            <v>1769</v>
          </cell>
          <cell r="E1774">
            <v>15.72</v>
          </cell>
          <cell r="F1774">
            <v>1.738638069627596</v>
          </cell>
          <cell r="G1774">
            <v>2.8095015060766557</v>
          </cell>
          <cell r="H1774">
            <v>1.9578</v>
          </cell>
        </row>
        <row r="1775">
          <cell r="B1775">
            <v>38471</v>
          </cell>
          <cell r="C1775">
            <v>38469</v>
          </cell>
          <cell r="D1775">
            <v>1770</v>
          </cell>
          <cell r="E1775">
            <v>15.72</v>
          </cell>
          <cell r="F1775">
            <v>1.738638069627596</v>
          </cell>
          <cell r="G1775">
            <v>2.8111297415017029</v>
          </cell>
          <cell r="H1775">
            <v>1.9578</v>
          </cell>
        </row>
        <row r="1776">
          <cell r="B1776">
            <v>38472</v>
          </cell>
          <cell r="C1776">
            <v>38470</v>
          </cell>
          <cell r="D1776">
            <v>1771</v>
          </cell>
          <cell r="E1776">
            <v>15.72</v>
          </cell>
          <cell r="F1776">
            <v>1.738638069627596</v>
          </cell>
          <cell r="G1776">
            <v>2.8127589205641153</v>
          </cell>
          <cell r="H1776">
            <v>1.9578</v>
          </cell>
        </row>
        <row r="1777">
          <cell r="B1777">
            <v>0</v>
          </cell>
          <cell r="C1777">
            <v>38471</v>
          </cell>
          <cell r="D1777">
            <v>1772</v>
          </cell>
          <cell r="E1777">
            <v>15.72</v>
          </cell>
          <cell r="F1777">
            <v>1.738638069627596</v>
          </cell>
          <cell r="G1777">
            <v>2.8143890438107744</v>
          </cell>
          <cell r="H1777">
            <v>1.9578</v>
          </cell>
        </row>
        <row r="1778">
          <cell r="B1778">
            <v>0</v>
          </cell>
          <cell r="C1778">
            <v>38472</v>
          </cell>
          <cell r="D1778">
            <v>1773</v>
          </cell>
          <cell r="E1778">
            <v>15.72</v>
          </cell>
          <cell r="F1778">
            <v>1.738638069627596</v>
          </cell>
          <cell r="G1778">
            <v>2.8160201117888786</v>
          </cell>
          <cell r="H1778">
            <v>1.9578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8"/>
      <sheetName val="Consolidado"/>
      <sheetName val="Itaú"/>
      <sheetName val="Banco do Brasil"/>
      <sheetName val="Caixa Dinheiro BEL"/>
      <sheetName val="Bradesco"/>
      <sheetName val="Santander"/>
      <sheetName val="Caixa Dinheiro BEL (2)"/>
      <sheetName val="Caixa Econômica"/>
      <sheetName val="Cartão Crédito - Itaú Auto Serv"/>
      <sheetName val="Cartão Crédito - Itaú Robson"/>
      <sheetName val="Cartão Crédito - BB Robson"/>
      <sheetName val="Cartão Crédito - Renomear 1"/>
      <sheetName val="Cartão Crédito - Renomear 2"/>
      <sheetName val="COMPROR"/>
      <sheetName val="DRE"/>
      <sheetName val="Plano de Contas COMPROR"/>
      <sheetName val="Plano de Contas"/>
      <sheetName val="Balancete"/>
      <sheetName val="Un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B4" t="str">
            <v>ADVOGADO</v>
          </cell>
        </row>
        <row r="5">
          <cell r="B5" t="str">
            <v>ÁGUA</v>
          </cell>
        </row>
        <row r="6">
          <cell r="B6" t="str">
            <v>AJUDA DE CUSTO</v>
          </cell>
        </row>
        <row r="7">
          <cell r="B7" t="str">
            <v>ALIMENTAÇÃO</v>
          </cell>
        </row>
        <row r="8">
          <cell r="B8" t="str">
            <v>ALUGUEL</v>
          </cell>
        </row>
        <row r="9">
          <cell r="B9" t="str">
            <v>ANTECIPAÇÃO DE CARTÃO - AJUSTE</v>
          </cell>
        </row>
        <row r="10">
          <cell r="B10" t="str">
            <v>AVARIAS</v>
          </cell>
        </row>
        <row r="11">
          <cell r="B11" t="str">
            <v>CAPACITAÇÃO</v>
          </cell>
        </row>
        <row r="12">
          <cell r="B12" t="str">
            <v>CARTÃO DE CRÉDITO</v>
          </cell>
        </row>
        <row r="13">
          <cell r="B13" t="str">
            <v>CARTÓRIO</v>
          </cell>
        </row>
        <row r="14">
          <cell r="B14" t="str">
            <v>CDL</v>
          </cell>
        </row>
        <row r="15">
          <cell r="B15" t="str">
            <v>CIEE - ESTAGIARIOS</v>
          </cell>
        </row>
        <row r="16">
          <cell r="B16" t="str">
            <v>COMPROR - ENTRADA - FINANCIAMENTO</v>
          </cell>
        </row>
        <row r="17">
          <cell r="B17" t="str">
            <v>COMPROR - SAÍDA - AMORTIZAÇÃO FINANCIAMENTO</v>
          </cell>
        </row>
        <row r="18">
          <cell r="B18" t="str">
            <v>COMPROR - PAGAMENTO</v>
          </cell>
        </row>
        <row r="19">
          <cell r="B19" t="str">
            <v>CONFRATERNIZAÇÃO</v>
          </cell>
        </row>
        <row r="20">
          <cell r="B20" t="str">
            <v>CONSULTORIA FINANCEIRA</v>
          </cell>
        </row>
        <row r="21">
          <cell r="B21" t="str">
            <v>CONSULTORIA COMERCIAL</v>
          </cell>
        </row>
        <row r="22">
          <cell r="B22" t="str">
            <v>CONSULTORIA JURÍDICA</v>
          </cell>
        </row>
        <row r="23">
          <cell r="B23" t="str">
            <v>CONTADOR</v>
          </cell>
        </row>
        <row r="24">
          <cell r="B24" t="str">
            <v>CONTINGENCIA CIVIL</v>
          </cell>
        </row>
        <row r="25">
          <cell r="B25" t="str">
            <v>CONTINGENCIA TRABALHISTA</v>
          </cell>
        </row>
        <row r="26">
          <cell r="B26" t="str">
            <v>CONTINGENCIA TRIBUTÁRIA</v>
          </cell>
        </row>
        <row r="27">
          <cell r="B27" t="str">
            <v>CONTRIBUIÇÃO SINDICAL - REPASSE</v>
          </cell>
        </row>
        <row r="28">
          <cell r="B28" t="str">
            <v>CORREIOS</v>
          </cell>
        </row>
        <row r="29">
          <cell r="B29" t="str">
            <v>CUPOM FISCAL</v>
          </cell>
        </row>
        <row r="30">
          <cell r="B30" t="str">
            <v>DESPESAS FINANCEIRAS - JUROS</v>
          </cell>
        </row>
        <row r="31">
          <cell r="B31" t="str">
            <v>DESPESAS FINANCEIRAS - TAXAS BANC.</v>
          </cell>
        </row>
        <row r="32">
          <cell r="B32" t="str">
            <v xml:space="preserve">DEVOLUÇÃO </v>
          </cell>
        </row>
        <row r="33">
          <cell r="B33" t="str">
            <v>DEVOLUÇÃO CHEQUE</v>
          </cell>
        </row>
        <row r="34">
          <cell r="B34" t="str">
            <v>DISTRIBUIÇÃO DE LUCRO</v>
          </cell>
        </row>
        <row r="35">
          <cell r="B35" t="str">
            <v>EMPRÉSTIMO THE</v>
          </cell>
        </row>
        <row r="36">
          <cell r="B36" t="str">
            <v>ENERGIA ELÉTRICA</v>
          </cell>
        </row>
        <row r="37">
          <cell r="B37" t="str">
            <v>EPI´S</v>
          </cell>
        </row>
        <row r="38">
          <cell r="B38" t="str">
            <v>EQUIPAMENTOS - ESCRITÓRIO</v>
          </cell>
        </row>
        <row r="39">
          <cell r="B39" t="str">
            <v>EQUIPAMENTOS - MANUTENÇÃO ESCRITÓRIO</v>
          </cell>
        </row>
        <row r="40">
          <cell r="B40" t="str">
            <v>EQUIPAMENTOS - MANUTENÇÃO POSTO</v>
          </cell>
        </row>
        <row r="41">
          <cell r="B41" t="str">
            <v>EQUIPAMENTOS - POSTO</v>
          </cell>
        </row>
        <row r="42">
          <cell r="B42" t="str">
            <v>ESTORNO CAIXA</v>
          </cell>
        </row>
        <row r="43">
          <cell r="B43" t="str">
            <v>EXAME ADMISSIONAL</v>
          </cell>
        </row>
        <row r="44">
          <cell r="B44" t="str">
            <v>EXAME DEMISSIONAL</v>
          </cell>
        </row>
        <row r="45">
          <cell r="B45" t="str">
            <v>FAXINA</v>
          </cell>
        </row>
        <row r="46">
          <cell r="B46" t="str">
            <v>FREE LANCER - PELÍCULA</v>
          </cell>
        </row>
        <row r="47">
          <cell r="B47" t="str">
            <v>FREE LANCER - POLIMENTO</v>
          </cell>
        </row>
        <row r="48">
          <cell r="B48" t="str">
            <v>IMPOSTOS - BITRIBUTAÇÃO</v>
          </cell>
        </row>
        <row r="49">
          <cell r="B49" t="str">
            <v>IMPOSTOS - BOMBEIROS</v>
          </cell>
        </row>
        <row r="50">
          <cell r="B50" t="str">
            <v>IMPOSTOS - MULTA VEÍCULO</v>
          </cell>
        </row>
        <row r="51">
          <cell r="B51" t="str">
            <v>IMPOSTOS - IPVA</v>
          </cell>
        </row>
        <row r="52">
          <cell r="B52" t="str">
            <v>IMPOSTOS - IOF</v>
          </cell>
        </row>
        <row r="53">
          <cell r="B53" t="str">
            <v>IMPOSTOS - PREFEITURA</v>
          </cell>
        </row>
        <row r="54">
          <cell r="B54" t="str">
            <v>IMPOSTOS - SIMPLES</v>
          </cell>
        </row>
        <row r="55">
          <cell r="B55" t="str">
            <v>IMPOSTOS - TRABALHISTA</v>
          </cell>
        </row>
        <row r="56">
          <cell r="B56" t="str">
            <v>IMPOSTOS - OUTROS</v>
          </cell>
        </row>
        <row r="57">
          <cell r="B57" t="str">
            <v>INSUMOS  - PROTEÇÃO DE PINTURA</v>
          </cell>
        </row>
        <row r="58">
          <cell r="B58" t="str">
            <v>INSUMOS - APS</v>
          </cell>
        </row>
        <row r="59">
          <cell r="B59" t="str">
            <v>INSUMOS - AUTOBRILHO</v>
          </cell>
        </row>
        <row r="60">
          <cell r="B60" t="str">
            <v>INSUMOS - BOINAS</v>
          </cell>
        </row>
        <row r="61">
          <cell r="B61" t="str">
            <v>INSUMOS - FOLHEAMENTO</v>
          </cell>
        </row>
        <row r="62">
          <cell r="B62" t="str">
            <v>INSUMOS - HIGIENIZADOR</v>
          </cell>
        </row>
        <row r="63">
          <cell r="B63" t="str">
            <v>INSUMOS - IMPERMEABILIZANTE</v>
          </cell>
        </row>
        <row r="64">
          <cell r="B64" t="str">
            <v>INSUMOS - LAVAGEM</v>
          </cell>
        </row>
        <row r="65">
          <cell r="B65" t="str">
            <v>INSUMOS - LIXEIRAS</v>
          </cell>
        </row>
        <row r="66">
          <cell r="B66" t="str">
            <v>INSUMOS - LUSTRADOR</v>
          </cell>
        </row>
        <row r="67">
          <cell r="B67" t="str">
            <v>INSUMOS - MASSA DE POLIR</v>
          </cell>
        </row>
        <row r="68">
          <cell r="B68" t="str">
            <v>INSUMOS - MASSA DE VIDRO</v>
          </cell>
        </row>
        <row r="69">
          <cell r="B69" t="str">
            <v>INSUMOS - OUTROS</v>
          </cell>
        </row>
        <row r="70">
          <cell r="B70" t="str">
            <v>INSUMOS - PELÍCULAS</v>
          </cell>
        </row>
        <row r="71">
          <cell r="B71" t="str">
            <v>INSUMOS - POLIMENTO</v>
          </cell>
        </row>
        <row r="72">
          <cell r="B72" t="str">
            <v>INSUMOS - SHAMPOO</v>
          </cell>
        </row>
        <row r="73">
          <cell r="B73" t="str">
            <v>INSUMOS - VERNIZ</v>
          </cell>
        </row>
        <row r="74">
          <cell r="B74" t="str">
            <v>INVESTIMENTO - CAPITAL PRÓPRIO</v>
          </cell>
        </row>
        <row r="75">
          <cell r="B75" t="str">
            <v>LUCRO - DISTRIBUIÇÃO</v>
          </cell>
        </row>
        <row r="76">
          <cell r="B76" t="str">
            <v>MANUTENÇÃO - ESCRITÓRIO</v>
          </cell>
        </row>
        <row r="77">
          <cell r="B77" t="str">
            <v>MANUTENÇÃO - POSTO</v>
          </cell>
        </row>
        <row r="78">
          <cell r="B78" t="str">
            <v>MANUTENÇÃO -  MOTO</v>
          </cell>
        </row>
        <row r="79">
          <cell r="B79" t="str">
            <v>MARKETING - BRINDES</v>
          </cell>
        </row>
        <row r="80">
          <cell r="B80" t="str">
            <v>MARKETING - CAFÉS E LANCHES</v>
          </cell>
        </row>
        <row r="81">
          <cell r="B81" t="str">
            <v>MARKETING - CRIAÇÃO</v>
          </cell>
        </row>
        <row r="82">
          <cell r="B82" t="str">
            <v>MARKETING - IMPRESSOS</v>
          </cell>
        </row>
        <row r="83">
          <cell r="B83" t="str">
            <v>MATERIAL DE ESCRITÓRIO</v>
          </cell>
        </row>
        <row r="84">
          <cell r="B84" t="str">
            <v>MATERIAL DE POSTO</v>
          </cell>
        </row>
        <row r="85">
          <cell r="B85" t="str">
            <v>MATERIAL MANUTENÇÃO</v>
          </cell>
        </row>
        <row r="86">
          <cell r="B86" t="str">
            <v>MEDICAMENTOS</v>
          </cell>
        </row>
        <row r="87">
          <cell r="B87" t="str">
            <v>PREMIAÇÃO</v>
          </cell>
        </row>
        <row r="88">
          <cell r="B88" t="str">
            <v>PREMIAÇÃO - APLICADOR DE PELÍCULA</v>
          </cell>
        </row>
        <row r="89">
          <cell r="B89" t="str">
            <v>PREMIAÇÃO - CONCESSIONÁRIA</v>
          </cell>
        </row>
        <row r="90">
          <cell r="B90" t="str">
            <v>PREMIAÇÃO - DEMONSTRADOR</v>
          </cell>
        </row>
        <row r="91">
          <cell r="B91" t="str">
            <v>PREMIAÇÃO - ESCRITÓRIO</v>
          </cell>
        </row>
        <row r="92">
          <cell r="B92" t="str">
            <v>PREMIAÇÃO - GERENTE</v>
          </cell>
        </row>
        <row r="93">
          <cell r="B93" t="str">
            <v>PREMIAÇÃO - POLIDOR</v>
          </cell>
        </row>
        <row r="94">
          <cell r="B94" t="str">
            <v>PREMIAÇÃO - POSTO</v>
          </cell>
        </row>
        <row r="95">
          <cell r="B95" t="str">
            <v>PREMIAÇÃO - SUPERVISOR</v>
          </cell>
        </row>
        <row r="96">
          <cell r="B96" t="str">
            <v>PREMIAÇÃO - VENDEDOR</v>
          </cell>
        </row>
        <row r="97">
          <cell r="B97" t="str">
            <v>PROLABORE</v>
          </cell>
        </row>
        <row r="98">
          <cell r="B98" t="str">
            <v>REAPRESENTAÇÃO CHEQUE</v>
          </cell>
        </row>
        <row r="99">
          <cell r="B99" t="str">
            <v>RECEITA APLICAÇÃO</v>
          </cell>
        </row>
        <row r="100">
          <cell r="B100" t="str">
            <v>RECEITA BANCO TOYOTA</v>
          </cell>
        </row>
        <row r="101">
          <cell r="B101" t="str">
            <v>RECEITA BANCO VOLKS</v>
          </cell>
        </row>
        <row r="102">
          <cell r="B102" t="str">
            <v>RECEITA BOLETO</v>
          </cell>
        </row>
        <row r="103">
          <cell r="B103" t="str">
            <v>RECEITA CARTÃO - ANTECIPAÇÃO</v>
          </cell>
        </row>
        <row r="104">
          <cell r="B104" t="str">
            <v>RECEITA CARTÃO CIELO DÉBITO</v>
          </cell>
        </row>
        <row r="105">
          <cell r="B105" t="str">
            <v>RECEITA CARTÃO CIELO MC</v>
          </cell>
        </row>
        <row r="106">
          <cell r="B106" t="str">
            <v>RECEITA CARTÃO CIELO MDBTO</v>
          </cell>
        </row>
        <row r="107">
          <cell r="B107" t="str">
            <v>RECEITA CARTÃO CIELO VISAEL</v>
          </cell>
        </row>
        <row r="108">
          <cell r="B108" t="str">
            <v>RECEITA CARTÃO CREDISHOP</v>
          </cell>
        </row>
        <row r="109">
          <cell r="B109" t="str">
            <v>RECEITA CARTÃO HIPER</v>
          </cell>
        </row>
        <row r="110">
          <cell r="B110" t="str">
            <v>RECEITA CARTÃO RDCARD MCDBTO</v>
          </cell>
        </row>
        <row r="111">
          <cell r="B111" t="str">
            <v>RECEITA CARTÃO RDCARD VISAEL</v>
          </cell>
        </row>
        <row r="112">
          <cell r="B112" t="str">
            <v>RECEITA CARTÃO RDCARDMC</v>
          </cell>
        </row>
        <row r="113">
          <cell r="B113" t="str">
            <v>RECEITA CARTÃO RDCARDVS</v>
          </cell>
        </row>
        <row r="114">
          <cell r="B114" t="str">
            <v>RECEITA CHEQUE</v>
          </cell>
        </row>
        <row r="115">
          <cell r="B115" t="str">
            <v>RECEITA DINHEIRO</v>
          </cell>
        </row>
        <row r="116">
          <cell r="B116" t="str">
            <v>RECEITA DISBRAVA</v>
          </cell>
        </row>
        <row r="117">
          <cell r="B117" t="str">
            <v>RECEITA REVEMAR</v>
          </cell>
        </row>
        <row r="118">
          <cell r="B118" t="str">
            <v>RESGATE APLICAÇÃO</v>
          </cell>
        </row>
        <row r="119">
          <cell r="B119" t="str">
            <v>RESSARCIMENTO</v>
          </cell>
        </row>
        <row r="120">
          <cell r="B120" t="str">
            <v>SALÁRIO</v>
          </cell>
        </row>
        <row r="121">
          <cell r="B121" t="str">
            <v>SALÁRIO - 13º</v>
          </cell>
        </row>
        <row r="122">
          <cell r="B122" t="str">
            <v>SALÁRIO - ALIMENTAÇÃO</v>
          </cell>
        </row>
        <row r="123">
          <cell r="B123" t="str">
            <v>SALÁRIO - FÉRIAS</v>
          </cell>
        </row>
        <row r="124">
          <cell r="B124" t="str">
            <v>SALÁRIO - HORA EXTRA</v>
          </cell>
        </row>
        <row r="125">
          <cell r="B125" t="str">
            <v>SALÁRIO - RESCISÃO</v>
          </cell>
        </row>
        <row r="126">
          <cell r="B126" t="str">
            <v>SALDO TRANSPORTADO</v>
          </cell>
        </row>
        <row r="127">
          <cell r="B127" t="str">
            <v>SERASA</v>
          </cell>
        </row>
        <row r="128">
          <cell r="B128" t="str">
            <v>SISTEMA</v>
          </cell>
        </row>
        <row r="129">
          <cell r="B129" t="str">
            <v>TELECHEQUE</v>
          </cell>
        </row>
        <row r="130">
          <cell r="B130" t="str">
            <v>TELEFONE - CELULAR</v>
          </cell>
        </row>
        <row r="131">
          <cell r="B131" t="str">
            <v>TELEFONE - FIXO</v>
          </cell>
        </row>
        <row r="132">
          <cell r="B132" t="str">
            <v>TRANSFERÊNCIA DE CAIXA</v>
          </cell>
        </row>
        <row r="133">
          <cell r="B133" t="str">
            <v>TRANSPORTE - AJUDA DE CUSTO</v>
          </cell>
        </row>
        <row r="134">
          <cell r="B134" t="str">
            <v>TRANSPORTE - COMBUSTÍVEL</v>
          </cell>
        </row>
        <row r="135">
          <cell r="B135" t="str">
            <v>TRANSPORTE - ESTACIONAMENTO</v>
          </cell>
        </row>
        <row r="136">
          <cell r="B136" t="str">
            <v>TRANSPORTE - FRETE</v>
          </cell>
        </row>
        <row r="137">
          <cell r="B137" t="str">
            <v>TRANSPORTE - MANUTENÇÃO</v>
          </cell>
        </row>
        <row r="138">
          <cell r="B138" t="str">
            <v>TRANSPORTE - SEGURO</v>
          </cell>
        </row>
        <row r="139">
          <cell r="B139" t="str">
            <v>TRANSPORTE - VT</v>
          </cell>
        </row>
        <row r="140">
          <cell r="B140" t="str">
            <v>UNIFORMES</v>
          </cell>
        </row>
        <row r="141">
          <cell r="B141" t="str">
            <v>VIAGEM</v>
          </cell>
        </row>
        <row r="142">
          <cell r="B142" t="str">
            <v>MEDICINA TRABALHO</v>
          </cell>
        </row>
        <row r="143">
          <cell r="B143" t="str">
            <v>REUNIÃO</v>
          </cell>
        </row>
        <row r="144">
          <cell r="B144" t="str">
            <v>OUTRAS ENTRADAS</v>
          </cell>
        </row>
        <row r="145">
          <cell r="B145" t="str">
            <v>OUTRAS SAÍDAS</v>
          </cell>
        </row>
        <row r="146">
          <cell r="B146" t="str">
            <v>RECEITA CARTÃO AMEX</v>
          </cell>
        </row>
        <row r="147">
          <cell r="B147" t="str">
            <v>EMPRÉSTIMO MAB</v>
          </cell>
        </row>
        <row r="148">
          <cell r="B148">
            <v>0</v>
          </cell>
        </row>
        <row r="149">
          <cell r="B149">
            <v>0</v>
          </cell>
        </row>
        <row r="150">
          <cell r="B150">
            <v>0</v>
          </cell>
        </row>
        <row r="151">
          <cell r="B151">
            <v>0</v>
          </cell>
        </row>
        <row r="152">
          <cell r="B152">
            <v>0</v>
          </cell>
        </row>
        <row r="153">
          <cell r="B153">
            <v>0</v>
          </cell>
        </row>
        <row r="154">
          <cell r="B154">
            <v>0</v>
          </cell>
        </row>
        <row r="155">
          <cell r="B155">
            <v>0</v>
          </cell>
        </row>
        <row r="156">
          <cell r="B156">
            <v>0</v>
          </cell>
        </row>
        <row r="157">
          <cell r="B157">
            <v>0</v>
          </cell>
        </row>
        <row r="158">
          <cell r="B158">
            <v>0</v>
          </cell>
        </row>
      </sheetData>
      <sheetData sheetId="18"/>
      <sheetData sheetId="19">
        <row r="4">
          <cell r="B4" t="str">
            <v>F00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oNavegImprim"/>
      <sheetName val="Principal"/>
      <sheetName val="Bal R3"/>
      <sheetName val="DRE R3"/>
      <sheetName val="Securitização"/>
      <sheetName val="Ativo"/>
      <sheetName val="cons-ativo"/>
      <sheetName val="Passivo"/>
      <sheetName val="cons-passivo"/>
      <sheetName val="Mar Real X Orç"/>
      <sheetName val="cons-result"/>
      <sheetName val="Lucros e Perdas"/>
      <sheetName val="cons-plano"/>
      <sheetName val="cons-financeiro"/>
      <sheetName val="Fluxo de Caixa"/>
      <sheetName val="Premissas"/>
      <sheetName val="Vendas"/>
      <sheetName val="PROJIXBUDGET2001 HOLANDA"/>
      <sheetName val="PROJIXBUDGET2001FIN HOLANDA"/>
      <sheetName val="PROJIXBUDGET2001"/>
      <sheetName val="PROJIXBUDGET2001FIN"/>
      <sheetName val="2001 X 2000REAL"/>
      <sheetName val="2001 X 2000 FINANCEIROREAL"/>
      <sheetName val="2001 X 2000"/>
      <sheetName val="2001 X 2000 FINANC"/>
      <sheetName val="2000 X PROJ1"/>
      <sheetName val="2000 X 1999"/>
      <sheetName val="2001 X 2000 FINANCEIRO"/>
      <sheetName val="2000 X 2001 X 2002 X 2003"/>
      <sheetName val="2000 X 2001 X 2002 X 2003FINANC"/>
      <sheetName val="PROJIIOUT"/>
      <sheetName val="PROJIIOUTFI NANC"/>
      <sheetName val="ger-comercial"/>
      <sheetName val="ger-credito"/>
      <sheetName val="ger-geral"/>
      <sheetName val="ger-operacional"/>
      <sheetName val="ger-atendimento"/>
      <sheetName val="ger-produtos"/>
      <sheetName val="ger-marketing"/>
      <sheetName val="ger-ric"/>
      <sheetName val="ger-livre"/>
      <sheetName val="Informática"/>
      <sheetName val="ServPrestados"/>
      <sheetName val="Propaganda"/>
      <sheetName val="Parametros"/>
      <sheetName val="REVISÃO"/>
      <sheetName val="Orgânico"/>
      <sheetName val="NORDESTE"/>
      <sheetName val="BAHIA"/>
      <sheetName val="DialogoAjuste"/>
      <sheetName val="Módulo1"/>
      <sheetName val="Admin"/>
      <sheetName val="N"/>
      <sheetName val="Hedge"/>
      <sheetName val="_COM"/>
      <sheetName val="INFO"/>
      <sheetName val="Saída - Relatório Inter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prod._venda_custo STL"/>
      <sheetName val="Proj prod._venda_custo MT"/>
      <sheetName val="Res.oper.Proj.STL"/>
      <sheetName val="Abertura Custo Contábil "/>
      <sheetName val="Análise Macro Res.Operacional"/>
      <sheetName val="Plan1"/>
      <sheetName val="Input Premissas  "/>
      <sheetName val=" DRE Proj STL"/>
      <sheetName val="Dados discussao"/>
      <sheetName val="Res.operacional proj MT"/>
      <sheetName val="DRE Proj MT"/>
      <sheetName val="Proj.prod._venda_custo Nortex"/>
      <sheetName val="Res.oper.Proj Nortex "/>
      <sheetName val=" DRE Projetado Nortex RN"/>
      <sheetName val="Proj. prod._venda_custo textile"/>
      <sheetName val="Res.oper.Proj.TEXTILE "/>
      <sheetName val=" DRE Projetado Textile RN"/>
      <sheetName val="stlbalout08"/>
      <sheetName val="stlbal2007"/>
      <sheetName val="txlbal2007"/>
      <sheetName val="txlbalout08"/>
      <sheetName val="txlbalset08"/>
      <sheetName val="ntxbalset08"/>
      <sheetName val="ntxbal2007"/>
      <sheetName val="mtbalout08"/>
      <sheetName val="mtbalset08"/>
      <sheetName val="mtbal2007"/>
      <sheetName val="custos_stl"/>
      <sheetName val="custos mt"/>
      <sheetName val="STL Tecido 2007 "/>
      <sheetName val="STL Tecido 2006 "/>
      <sheetName val="MT tecido out08"/>
      <sheetName val="MT tecido acum out08"/>
      <sheetName val="MT Tecido 2007 "/>
      <sheetName val="MT Tecido 2006 "/>
      <sheetName val="NTX Tecido out08"/>
      <sheetName val="NTX Tecido acum out08"/>
      <sheetName val="NTX Tecido 2007 "/>
      <sheetName val="NTX Tecido 2006 "/>
      <sheetName val="STL Tecido acum out08"/>
      <sheetName val="STL Tecido out08"/>
      <sheetName val="STL faturamento out08"/>
      <sheetName val="STL faturamento2007"/>
      <sheetName val="STL faturamento jan-out08"/>
      <sheetName val="MT faturamento janout08"/>
      <sheetName val="MT faturamento out08"/>
      <sheetName val="MT faturamento 2007 "/>
      <sheetName val="MT faturamentoset2008"/>
      <sheetName val="MT faturamento jan-ago2008"/>
      <sheetName val="NTX faturamento out08"/>
      <sheetName val="NTX faturamento janout08"/>
      <sheetName val="NTX faturamento2007"/>
      <sheetName val="NTX faturamentojan_set08 "/>
      <sheetName val="NTX faturamentojan_ago08"/>
      <sheetName val="STL Fio 2005 "/>
      <sheetName val="STL Fio 2006 "/>
      <sheetName val="STL Fio 2007"/>
      <sheetName val="STL Fio janset08"/>
      <sheetName val="MT Fio 2008"/>
      <sheetName val="MT Fio 2007 "/>
      <sheetName val="TXL Fio 2008"/>
      <sheetName val="TXL Fio 2007"/>
      <sheetName val="MT Classificação Fios "/>
      <sheetName val="STL Classificacao Fios"/>
      <sheetName val="NTX Classificação Fios "/>
      <sheetName val="Financiamentos"/>
      <sheetName val="Proj_prod__venda_custo STL"/>
      <sheetName val="Res_oper_Proj_STL"/>
      <sheetName val="Proj prod__venda_custo 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E5 - ICMS e IPI "/>
      <sheetName val="E5.1 - PRA"/>
      <sheetName val="Lucros e Perdas"/>
      <sheetName val="Ativo"/>
      <sheetName val="N"/>
      <sheetName val="INDICADORES"/>
      <sheetName val="Sheet1"/>
      <sheetName val="Premissas"/>
      <sheetName val="Passivo"/>
      <sheetName val="RIS_TECNICHE"/>
      <sheetName val="EdComercial"/>
      <sheetName val="APO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E1"/>
      <sheetName val="E1.2-Rollfw"/>
      <sheetName val="E1.3-Aging"/>
      <sheetName val="E1.4"/>
      <sheetName val="E1.4.1"/>
      <sheetName val="E1.5-Cutoff"/>
      <sheetName val="E1.6"/>
      <sheetName val="EE"/>
      <sheetName val="N"/>
      <sheetName val="Hedge"/>
    </sheetNames>
    <sheetDataSet>
      <sheetData sheetId="0">
        <row r="2">
          <cell r="A2" t="str">
            <v>A4 - BPSN 2006.xls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"/>
      <sheetName val="RIS_TECNICHE"/>
      <sheetName val="C"/>
      <sheetName val="B"/>
      <sheetName val="A"/>
      <sheetName val="n_cons"/>
      <sheetName val="comgest"/>
      <sheetName val="PREMI_EMESSI"/>
      <sheetName val="PRE_COMP_98"/>
      <sheetName val="MENS_RPR"/>
      <sheetName val="RIEP_DEN"/>
      <sheetName val="CBCP0901"/>
      <sheetName val="Lead"/>
      <sheetName val="N2.1"/>
      <sheetName val="901 N8.2.1 Bal Mai07"/>
      <sheetName val="Lit Fiber Rev"/>
      <sheetName val="Start"/>
      <sheetName val="Tab.Translate"/>
      <sheetName val="ce99"/>
      <sheetName val="prebdg97"/>
      <sheetName val="premi96"/>
      <sheetName val="INTELSAT"/>
      <sheetName val="ROs (12)"/>
      <sheetName val="lodo"/>
      <sheetName val="F5 - Saldo final Inventário"/>
      <sheetName val="Noryl"/>
      <sheetName val="N  PIS COFINS"/>
      <sheetName val="Sheet1"/>
      <sheetName val="Base Fiscal Cruzada"/>
      <sheetName val="0000000"/>
      <sheetName val="ACT Input (2)"/>
      <sheetName val="E2.1-PCLD ANEEL 06-2006"/>
      <sheetName val="sapactivexlhiddensheet"/>
      <sheetName val="COMPLETO"/>
      <sheetName val="SALDO PROJETOS"/>
      <sheetName val="ATIVO"/>
      <sheetName val="E 1.2 - Teste de VC"/>
      <sheetName val="+++ Help +++"/>
      <sheetName val="mov301"/>
      <sheetName val="CECO"/>
      <sheetName val="CONS1"/>
      <sheetName val="BP"/>
      <sheetName val="LIGADAS RURAL"/>
      <sheetName val="ROs _12_"/>
      <sheetName val="N"/>
      <sheetName val="RAC"/>
      <sheetName val="Medições a faturar"/>
      <sheetName val="SERIES CDI E PTAX"/>
      <sheetName val="Param"/>
      <sheetName val="FF3"/>
      <sheetName val="Ativos"/>
      <sheetName val="ELIMINAÇÕES"/>
      <sheetName val="INFO"/>
      <sheetName val="PÇO"/>
      <sheetName val="ICATU"/>
      <sheetName val="ECOF298"/>
      <sheetName val="Parameter"/>
      <sheetName val="PREÇOS"/>
      <sheetName val="titles"/>
      <sheetName val="X rates"/>
      <sheetName val="QUADRO"/>
      <sheetName val="Table"/>
      <sheetName val="cover_page"/>
      <sheetName val="FKT_PJK"/>
      <sheetName val="CONSOLIDADO"/>
      <sheetName val="SOC.INSTRUMENTALES"/>
      <sheetName val="Charts"/>
      <sheetName val="Summary"/>
      <sheetName val="Spot"/>
      <sheetName val="Taxes"/>
      <sheetName val="Principal"/>
      <sheetName val="INDICADORES"/>
      <sheetName val="ANEEL"/>
      <sheetName val="RELATA"/>
      <sheetName val="DRE"/>
      <sheetName val="LIGADAS"/>
      <sheetName val="volume"/>
      <sheetName val="M-Central_impr"/>
      <sheetName val="Macro1"/>
      <sheetName val="Tela"/>
      <sheetName val="04 de 09_05 RSA"/>
      <sheetName val="Peso áreas e CPs"/>
      <sheetName val="Data-sheet"/>
      <sheetName val="den96"/>
      <sheetName val="ABRIL 2000"/>
      <sheetName val="EST-0902"/>
      <sheetName val="Resumo (Contabilidade)"/>
      <sheetName val="CAPEX"/>
      <sheetName val="Human Resources"/>
      <sheetName val="Pricing Analysis"/>
      <sheetName val="Revenue"/>
      <sheetName val="Sales"/>
      <sheetName val="E1"/>
      <sheetName val="SOFITEX"/>
      <sheetName val="Dropdowns - do not change"/>
      <sheetName val="Maio 99"/>
      <sheetName val="NF"/>
      <sheetName val="SALES98"/>
      <sheetName val="044_bxorig (3)"/>
      <sheetName val="Entradas"/>
      <sheetName val="Conciliação saldo devedor"/>
      <sheetName val="Tab_Translate"/>
      <sheetName val="ROs_(12)"/>
      <sheetName val="F5_-_Saldo_final_Inventário"/>
      <sheetName val="ACT_Input_(2)"/>
      <sheetName val="E2_1-PCLD_ANEEL_06-2006"/>
      <sheetName val="SALDO_PROJETOS"/>
      <sheetName val="Base_Fiscal_Cruzada"/>
      <sheetName val="E_1_2_-_Teste_de_VC"/>
      <sheetName val="N__PIS_COFINS"/>
      <sheetName val="+++_Help_+++"/>
      <sheetName val="ROs__12_"/>
      <sheetName val="SERIES_CDI_E_PTAX"/>
      <sheetName val="901_N8_2_1_Bal_Mai07"/>
      <sheetName val="N2_1"/>
      <sheetName val="LIGADAS_RURAL"/>
      <sheetName val="X_rates"/>
      <sheetName val="Medições_a_faturar"/>
      <sheetName val="Lit_Fiber_Rev"/>
      <sheetName val="ABRIL_2000"/>
      <sheetName val="04_de_09_05_RSA"/>
      <sheetName val="Peso_áreas_e_CPs"/>
      <sheetName val="SOC_INSTRUMENTALES"/>
      <sheetName val="Resumo_(Contabilidade)"/>
      <sheetName val="RESUMO"/>
      <sheetName val="p&amp;l1298"/>
      <sheetName val="VARIABLEN"/>
      <sheetName val="Carga Periodo atual"/>
      <sheetName val="Repro"/>
      <sheetName val="Ajustes"/>
      <sheetName val="Subcategories"/>
      <sheetName val="E2_1-PCLD_ANEEL_06-20061"/>
      <sheetName val="ROs_(12)1"/>
      <sheetName val="ACT_Input_(2)1"/>
      <sheetName val="SALDO_PROJETOS1"/>
      <sheetName val="Tab_Translate1"/>
      <sheetName val="F5_-_Saldo_final_Inventário1"/>
      <sheetName val="Base_Fiscal_Cruzada1"/>
      <sheetName val="+++_Help_+++1"/>
      <sheetName val="N__PIS_COFINS1"/>
      <sheetName val="E_1_2_-_Teste_de_VC1"/>
      <sheetName val="ROs__12_1"/>
      <sheetName val="SERIES_CDI_E_PTAX1"/>
      <sheetName val="LIGADAS_RURAL1"/>
      <sheetName val="901_N8_2_1_Bal_Mai071"/>
      <sheetName val="N2_11"/>
      <sheetName val="Medições_a_faturar1"/>
      <sheetName val="Lit_Fiber_Rev1"/>
      <sheetName val="X_rates1"/>
      <sheetName val="ABRIL_20001"/>
      <sheetName val="SOC_INSTRUMENTALES1"/>
      <sheetName val="Resumo_(Contabilidade)1"/>
      <sheetName val="04_de_09_05_RSA1"/>
      <sheetName val="Peso_áreas_e_CPs1"/>
      <sheetName val="Dropdowns_-_do_not_change"/>
      <sheetName val="Human_Resources"/>
      <sheetName val="Pricing_Analysis"/>
      <sheetName val="Carga_Periodo_atual"/>
      <sheetName val="VENDAS_P_SUBSIDIÁRIA"/>
      <sheetName val="integral"/>
      <sheetName val="tabela"/>
      <sheetName val="bal"/>
      <sheetName val="ush"/>
      <sheetName val="base filtrada doc. pagto"/>
      <sheetName val="valores"/>
      <sheetName val="Índices"/>
      <sheetName val="D1 - PRA"/>
      <sheetName val="Aquisição"/>
      <sheetName val="Remeasurement Balance"/>
      <sheetName val="1.2Base_Previa"/>
      <sheetName val="E1.3 - Totalização"/>
      <sheetName val="K 1.4 - Itens Totalm. Deprec."/>
      <sheetName val=" Funding flow"/>
      <sheetName val="6140"/>
      <sheetName val="B13"/>
      <sheetName val="Metalúrgica"/>
      <sheetName val="BP vs TS"/>
      <sheetName val="Valores 30 11 2007"/>
      <sheetName val="7901"/>
      <sheetName val="Revestimento"/>
      <sheetName val="D - PRA"/>
      <sheetName val="Custo X Mercado"/>
      <sheetName val="ag. tractor"/>
      <sheetName val="GERREAL"/>
      <sheetName val="N2 1"/>
      <sheetName val="Corte"/>
      <sheetName val="Lead2"/>
      <sheetName val="Relatórios 6"/>
      <sheetName val="Registro"/>
      <sheetName val="Analítico Parte 1 "/>
      <sheetName val="SELIC"/>
      <sheetName val="saldos razao"/>
      <sheetName val="Banco Santander V. 04.10.00"/>
      <sheetName val="P2 - Lead"/>
      <sheetName val="Base"/>
      <sheetName val="Parameters"/>
      <sheetName val="INDICES"/>
      <sheetName val="Sch9  Guarantees"/>
      <sheetName val="GL OCT SALES"/>
      <sheetName val="ShellsolD60"/>
      <sheetName val="July Posting"/>
      <sheetName val="ajuste da provisão"/>
      <sheetName val="4.0 Margin &amp; Cash"/>
      <sheetName val="BOLETA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s a receber"/>
      <sheetName val="Medições a faturar"/>
      <sheetName val="Circularizações"/>
      <sheetName val="Cut-off"/>
      <sheetName val="Movimentação"/>
      <sheetName val="Tickmarks"/>
      <sheetName val="Mediçõesafaturar"/>
      <sheetName val="relação"/>
      <sheetName val="N"/>
      <sheetName val="INDIECO1"/>
      <sheetName val="Lead"/>
      <sheetName val="DRE"/>
      <sheetName val="Adições"/>
      <sheetName val="Saldo Inicial"/>
      <sheetName val="Plano de Contas"/>
      <sheetName val="prod"/>
      <sheetName val="Macro1"/>
      <sheetName val="INDICADORES"/>
      <sheetName val="USS99"/>
      <sheetName val="HH"/>
      <sheetName val="BP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IVIDA"/>
      <sheetName val="RAC"/>
      <sheetName val="ELET "/>
      <sheetName val="Folha2"/>
      <sheetName val="Folha3"/>
      <sheetName val="ELET,"/>
      <sheetName val="COELBA_GARTER"/>
      <sheetName val="GARTER_CHASE"/>
      <sheetName val="Folha1"/>
      <sheetName val="TS RJ"/>
      <sheetName val="Medições a fatu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C"/>
      <sheetName val="ELET "/>
      <sheetName val="SDIVIDA"/>
      <sheetName val="Plan1"/>
      <sheetName val="Plan2"/>
      <sheetName val="Plan3"/>
      <sheetName val="GARTER_CHASE"/>
      <sheetName val="GARTER_CHASE (2)"/>
      <sheetName val="COELBA_GARTER"/>
      <sheetName val="RESUMO"/>
    </sheetNames>
    <sheetDataSet>
      <sheetData sheetId="0" refreshError="1">
        <row r="4">
          <cell r="A4" t="str">
            <v>11.1. EMPRÉSTIMOS ESTRANGEIROS BID I ,  BID II  E  KfW - POSIÇÃO EM FEVEREIRO/97</v>
          </cell>
        </row>
        <row r="7">
          <cell r="C7" t="str">
            <v>VALORES EM MOEDA DE ORIGEM</v>
          </cell>
        </row>
        <row r="8">
          <cell r="B8" t="str">
            <v>MOEDA</v>
          </cell>
        </row>
        <row r="9">
          <cell r="A9" t="str">
            <v>EMPRÉSTIMOS/CONTRATOS</v>
          </cell>
          <cell r="B9" t="str">
            <v>DE</v>
          </cell>
          <cell r="C9" t="str">
            <v>CONTRATADO</v>
          </cell>
          <cell r="E9" t="str">
            <v>REALIZADO</v>
          </cell>
          <cell r="F9" t="str">
            <v>SALDO</v>
          </cell>
        </row>
        <row r="10">
          <cell r="B10" t="str">
            <v>ORIGEM</v>
          </cell>
          <cell r="E10" t="str">
            <v>Até FEV/98</v>
          </cell>
          <cell r="F10" t="str">
            <v xml:space="preserve"> FEV/98</v>
          </cell>
        </row>
        <row r="12">
          <cell r="A12" t="str">
            <v>1 - BID I</v>
          </cell>
        </row>
        <row r="14">
          <cell r="A14" t="str">
            <v>1.1 - 645/SF-BR</v>
          </cell>
        </row>
        <row r="16">
          <cell r="A16" t="str">
            <v>1.1.1 - PRINCIPAL ( AMORTIZAÇÃO )</v>
          </cell>
          <cell r="B16" t="str">
            <v>US$</v>
          </cell>
          <cell r="C16">
            <v>15000000</v>
          </cell>
          <cell r="D16">
            <v>15000000</v>
          </cell>
          <cell r="E16">
            <v>11500000</v>
          </cell>
          <cell r="F16">
            <v>3500000</v>
          </cell>
        </row>
        <row r="18">
          <cell r="A18" t="str">
            <v>1.1.2 - JUROS</v>
          </cell>
          <cell r="B18" t="str">
            <v>US$</v>
          </cell>
        </row>
        <row r="20">
          <cell r="A20" t="str">
            <v>1.2 - 071/IC-BR</v>
          </cell>
        </row>
        <row r="22">
          <cell r="A22" t="str">
            <v>1.2.1 - PRINCIPAL</v>
          </cell>
          <cell r="B22" t="str">
            <v>US$</v>
          </cell>
          <cell r="C22">
            <v>8692607.3200000003</v>
          </cell>
          <cell r="D22">
            <v>8692607.3200000003</v>
          </cell>
          <cell r="E22">
            <v>6594391.9000000004</v>
          </cell>
          <cell r="F22">
            <v>2098215.4200000004</v>
          </cell>
        </row>
        <row r="23">
          <cell r="B23" t="str">
            <v>DM</v>
          </cell>
          <cell r="C23">
            <v>45141157.269999996</v>
          </cell>
          <cell r="D23">
            <v>45141157.269999996</v>
          </cell>
          <cell r="E23">
            <v>34245015.947499998</v>
          </cell>
          <cell r="F23">
            <v>10896141.322499998</v>
          </cell>
        </row>
        <row r="24">
          <cell r="B24" t="str">
            <v>YEN</v>
          </cell>
          <cell r="C24">
            <v>1823774084.0800002</v>
          </cell>
          <cell r="D24">
            <v>1823774084.0800002</v>
          </cell>
          <cell r="E24">
            <v>1383826779.0800002</v>
          </cell>
          <cell r="F24">
            <v>439947305</v>
          </cell>
        </row>
        <row r="25">
          <cell r="B25" t="str">
            <v>SWFR</v>
          </cell>
          <cell r="C25">
            <v>66977985.300000004</v>
          </cell>
          <cell r="D25">
            <v>66977985.300000004</v>
          </cell>
          <cell r="E25">
            <v>50817406.300909095</v>
          </cell>
          <cell r="F25">
            <v>16160578.999090908</v>
          </cell>
        </row>
        <row r="26">
          <cell r="B26" t="str">
            <v>NLG</v>
          </cell>
          <cell r="C26">
            <v>5783592.6699999999</v>
          </cell>
          <cell r="D26">
            <v>5783592.6699999999</v>
          </cell>
          <cell r="E26">
            <v>4387553.0599999996</v>
          </cell>
          <cell r="F26">
            <v>1396039.6100000003</v>
          </cell>
        </row>
        <row r="27">
          <cell r="B27" t="str">
            <v>TOTAL</v>
          </cell>
        </row>
        <row r="29">
          <cell r="A29" t="str">
            <v>1.1.2 - JUROS</v>
          </cell>
          <cell r="B29" t="str">
            <v>US$</v>
          </cell>
        </row>
        <row r="30">
          <cell r="B30" t="str">
            <v>DM</v>
          </cell>
        </row>
        <row r="31">
          <cell r="B31" t="str">
            <v>YEN</v>
          </cell>
        </row>
        <row r="32">
          <cell r="B32" t="str">
            <v>SWFR</v>
          </cell>
        </row>
        <row r="33">
          <cell r="B33" t="str">
            <v>NLG</v>
          </cell>
        </row>
        <row r="34">
          <cell r="B34" t="str">
            <v>TOTAL</v>
          </cell>
        </row>
        <row r="37">
          <cell r="A37" t="str">
            <v>2 - BID II</v>
          </cell>
        </row>
        <row r="39">
          <cell r="A39" t="str">
            <v xml:space="preserve">2.1 - 507/OC - BR  </v>
          </cell>
        </row>
        <row r="41">
          <cell r="A41" t="str">
            <v>2.1.1 - PRINCIPAL ( AMORTIZAÇÃO )</v>
          </cell>
          <cell r="B41" t="str">
            <v>UA</v>
          </cell>
          <cell r="C41">
            <v>77046065</v>
          </cell>
          <cell r="D41">
            <v>83054608.659999996</v>
          </cell>
          <cell r="E41">
            <v>24640199.659999996</v>
          </cell>
          <cell r="F41">
            <v>52502684.109999992</v>
          </cell>
        </row>
        <row r="43">
          <cell r="A43" t="str">
            <v>2.1.2 - JUROS</v>
          </cell>
        </row>
        <row r="45">
          <cell r="A45" t="str">
            <v>2.2 - 785/SF - BR</v>
          </cell>
        </row>
        <row r="47">
          <cell r="A47" t="str">
            <v>2.2.1 - PRINCIPAL ( AMORTIZAÇÃO )</v>
          </cell>
          <cell r="B47" t="str">
            <v>US$</v>
          </cell>
          <cell r="C47">
            <v>25000000</v>
          </cell>
          <cell r="D47">
            <v>25000000</v>
          </cell>
          <cell r="E47">
            <v>5714285.6993548423</v>
          </cell>
          <cell r="F47">
            <v>19285714.300645158</v>
          </cell>
        </row>
        <row r="49">
          <cell r="A49" t="str">
            <v>2.2.2 - JUROS</v>
          </cell>
        </row>
        <row r="52">
          <cell r="A52" t="str">
            <v>3 - KfW</v>
          </cell>
        </row>
        <row r="54">
          <cell r="A54" t="str">
            <v>3.1 - 86 65 663</v>
          </cell>
        </row>
        <row r="56">
          <cell r="A56" t="str">
            <v>3.1.1 - PRINCIPAL ( AMORTIZAÇÃO )</v>
          </cell>
          <cell r="B56" t="str">
            <v>DM</v>
          </cell>
          <cell r="C56">
            <v>19500000</v>
          </cell>
          <cell r="D56">
            <v>16692648.060000001</v>
          </cell>
          <cell r="E56">
            <v>6919000</v>
          </cell>
          <cell r="F56">
            <v>11125906.68</v>
          </cell>
        </row>
        <row r="58">
          <cell r="A58" t="str">
            <v>3.1.2 - JUROS</v>
          </cell>
          <cell r="B58" t="str">
            <v>DM</v>
          </cell>
          <cell r="E58">
            <v>3507048.01</v>
          </cell>
        </row>
        <row r="60">
          <cell r="A60" t="str">
            <v>3.1.3 - COMISSÃO DE COMPROMISSO</v>
          </cell>
          <cell r="B60" t="str">
            <v>DM</v>
          </cell>
          <cell r="E60">
            <v>259746.84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e"/>
      <sheetName val="premi96"/>
      <sheetName val="den96"/>
      <sheetName val="pr_emessi"/>
      <sheetName val="premi_bdg_fcst"/>
      <sheetName val="RIS_TECNICHE"/>
      <sheetName val="ce"/>
      <sheetName val="AND_MESE"/>
      <sheetName val="ce99"/>
      <sheetName val="prebdg97"/>
      <sheetName val="ROs (12)"/>
      <sheetName val="COMPLETO"/>
      <sheetName val="SALDO PROJETOS"/>
      <sheetName val="ACT Input (2)"/>
      <sheetName val="ATIVO"/>
      <sheetName val="Base"/>
      <sheetName val="inc. claim 97"/>
      <sheetName val="APLIC.CDB RURAL"/>
      <sheetName val="APLIC.CDB MERCANTIL"/>
      <sheetName val="0000000"/>
      <sheetName val="#REF"/>
      <sheetName val="Sheet1"/>
      <sheetName val="ABRIL 2000"/>
      <sheetName val="E 1.2 - Teste de VC"/>
      <sheetName val="F5 - Saldo final Inventário"/>
      <sheetName val="Start"/>
      <sheetName val="Tab.Translate"/>
      <sheetName val="DATAS"/>
      <sheetName val="sapactivexlhiddensheet"/>
      <sheetName val="LIGADAS RURAL"/>
      <sheetName val="AA-10(Op.63)"/>
      <sheetName val="SCG"/>
      <sheetName val="Ativos"/>
      <sheetName val="SE"/>
      <sheetName val="N"/>
      <sheetName val="CONS1"/>
      <sheetName val="N  PIS COFINS"/>
      <sheetName val="INFO"/>
      <sheetName val="key"/>
      <sheetName val="Summary"/>
      <sheetName val="REF"/>
      <sheetName val="N2.1"/>
      <sheetName val="PERSPECTIVA"/>
      <sheetName val="0201"/>
      <sheetName val="Spot"/>
      <sheetName val="Taxes"/>
      <sheetName val="CECO"/>
      <sheetName val="Lead2"/>
      <sheetName val="inc__claim_97"/>
      <sheetName val="ROs_(12)"/>
      <sheetName val="SALDO_PROJETOS"/>
      <sheetName val="ACT_Input_(2)"/>
      <sheetName val="Tab_Translate"/>
      <sheetName val="APLIC_CDB_RURAL"/>
      <sheetName val="APLIC_CDB_MERCANTIL"/>
      <sheetName val="N2_1"/>
      <sheetName val="DRE_2007T"/>
      <sheetName val="Charts"/>
      <sheetName val="DS"/>
      <sheetName val="Base Fiscal Cruzada"/>
      <sheetName val="GERREAL"/>
      <sheetName val="ELIMINAÇÕES"/>
      <sheetName val="SUSEP - SEG."/>
      <sheetName val="ILV ALC"/>
    </sheetNames>
    <sheetDataSet>
      <sheetData sheetId="0">
        <row r="5">
          <cell r="C5" t="str">
            <v>gen</v>
          </cell>
        </row>
      </sheetData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zembro98"/>
      <sheetName val="janeiro99"/>
      <sheetName val="fevereiro99"/>
      <sheetName val="março99"/>
      <sheetName val="abril99"/>
      <sheetName val="maio99"/>
      <sheetName val="junho99"/>
      <sheetName val="julho99 "/>
      <sheetName val="agosto99"/>
      <sheetName val="setembro99"/>
      <sheetName val="outubro99"/>
      <sheetName val="novembro99"/>
      <sheetName val="dezembro99"/>
      <sheetName val="JANEIRO2000"/>
      <sheetName val="FEVEREIRO2000"/>
      <sheetName val="MARÇO2000sajuste"/>
      <sheetName val="MARÇO2000"/>
      <sheetName val="ABRIL 2000"/>
      <sheetName val="den96"/>
      <sheetName val="Real_Teste_orig"/>
      <sheetName val="ce"/>
      <sheetName val="RIS_TECNICHE"/>
      <sheetName val="ce99"/>
      <sheetName val="prebdg97"/>
      <sheetName val="premi96"/>
      <sheetName val="ROs (12)"/>
      <sheetName val="COMPLETO"/>
      <sheetName val="SALDO PROJETOS"/>
      <sheetName val="ACT Input (2)"/>
      <sheetName val="Índices"/>
      <sheetName val="GERREAL"/>
      <sheetName val="Base"/>
      <sheetName val="Sheet1"/>
      <sheetName val="Qty"/>
      <sheetName val="OUT02.REPORT"/>
      <sheetName val="Base Fiscal Cruzada"/>
      <sheetName val="FF3"/>
      <sheetName val="translate"/>
      <sheetName val="ELIMINAÇÕES"/>
      <sheetName val="INFO"/>
      <sheetName val="E 1.2 - Teste de VC"/>
      <sheetName val="INTELSAT"/>
      <sheetName val="044_bxorig (3)"/>
      <sheetName val="TAB_FINAL"/>
      <sheetName val="Conteúdo - real"/>
      <sheetName val="Patrimonial"/>
      <sheetName val="Correção"/>
      <sheetName val="Execução"/>
      <sheetName val="X rates"/>
      <sheetName val="SAB 101 FEV"/>
      <sheetName val="Table"/>
      <sheetName val="ANEEL"/>
      <sheetName val="P-CLOSED"/>
      <sheetName val="Start"/>
      <sheetName val="Tab.Translate"/>
      <sheetName val="N  PIS COFINS"/>
      <sheetName val="lodo"/>
      <sheetName val="Fcx Consol Diario Rev 25-01"/>
      <sheetName val="PAPER USAGE"/>
      <sheetName val="tabela 2kee"/>
      <sheetName val="tabela Balance Itens"/>
      <sheetName val="AA-10(Op.63)"/>
      <sheetName val="volume"/>
      <sheetName val="Fixed Assets"/>
      <sheetName val="N"/>
      <sheetName val="0201"/>
      <sheetName val="TABELA"/>
      <sheetName val="Property"/>
      <sheetName val="inc. claim 97"/>
      <sheetName val="Promedios"/>
      <sheetName val="SERIES CDI E PTAX"/>
      <sheetName val="julho99_"/>
      <sheetName val="ABRIL_2000"/>
      <sheetName val="OUT02_REPORT"/>
      <sheetName val="ROs_(12)"/>
      <sheetName val="SALDO_PROJETOS"/>
      <sheetName val="Base_Fiscal_Cruzada"/>
      <sheetName val="E_1_2_-_Teste_de_VC"/>
      <sheetName val="ACT_Input_(2)"/>
      <sheetName val="Conteúdo_-_real"/>
      <sheetName val="SAB_101_FEV"/>
      <sheetName val="X_rates"/>
      <sheetName val="Tab_Translate"/>
      <sheetName val="N__PIS_COFINS"/>
      <sheetName val="Fcx_Consol_Diario_Rev_25-01"/>
      <sheetName val="PAPER_USAGE"/>
      <sheetName val="044_bxorig_(3)"/>
      <sheetName val="SERIES_CDI_E_PTAX"/>
      <sheetName val="AA-10(Op_63)"/>
      <sheetName val="tabela_2kee"/>
      <sheetName val="tabela_Balance_Itens"/>
      <sheetName val="Fixed_Assets"/>
      <sheetName val="inc__claim_97"/>
      <sheetName val="Entradas"/>
      <sheetName val="sapactivexlhiddensheet"/>
      <sheetName val="Summary"/>
      <sheetName val="Tabelas"/>
      <sheetName val="Pis"/>
      <sheetName val="CUSTO MR$"/>
      <sheetName val="Spot"/>
      <sheetName val="Taxes"/>
      <sheetName val="RESUMO"/>
      <sheetName val="BOLETAR"/>
      <sheetName val="Dropdowns - do not change"/>
      <sheetName val="REVENDAS"/>
      <sheetName val="CONSUMO"/>
      <sheetName val="Artigos"/>
      <sheetName val="Fichas 04 - 05 - 06"/>
      <sheetName val="N2.1"/>
      <sheetName val="key"/>
      <sheetName val="PIS-99"/>
      <sheetName val="Param"/>
      <sheetName val="1170201b"/>
      <sheetName val="Março"/>
      <sheetName val="Taxas"/>
      <sheetName val="Banco de Dados"/>
      <sheetName val="Deckblatt"/>
      <sheetName val="Instructions"/>
      <sheetName val="INDICES"/>
      <sheetName val="CUSTO_MR$"/>
    </sheetNames>
    <sheetDataSet>
      <sheetData sheetId="0">
        <row r="10">
          <cell r="AS10" t="str">
            <v>TABELA4</v>
          </cell>
        </row>
      </sheetData>
      <sheetData sheetId="1">
        <row r="10">
          <cell r="AS10" t="str">
            <v>TABELA4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_P_SUBSIDIÁRIA"/>
      <sheetName val="integral"/>
      <sheetName val="tabela"/>
      <sheetName val="bal"/>
      <sheetName val="Remeasurement Balance"/>
      <sheetName val="Índices"/>
      <sheetName val="1.2Base_Previa"/>
      <sheetName val="ush"/>
      <sheetName val="base filtrada doc. pagto"/>
      <sheetName val="ABRIL 2000"/>
      <sheetName val="den96"/>
      <sheetName val="ce"/>
      <sheetName val="valores"/>
      <sheetName val="D1 - PRA"/>
      <sheetName val="FF3"/>
      <sheetName val="Aquisição"/>
      <sheetName val="E1.3 - Totalização"/>
      <sheetName val="K 1.4 - Itens Totalm. Deprec."/>
      <sheetName val=" Funding flow"/>
      <sheetName val="6140"/>
      <sheetName val="B13"/>
      <sheetName val="Metalúrgica"/>
      <sheetName val="BP vs TS"/>
      <sheetName val="Valores 30 11 2007"/>
      <sheetName val="7901"/>
      <sheetName val="Revestimento"/>
      <sheetName val="D - PRA"/>
      <sheetName val="Custo X Mercado"/>
      <sheetName val="ag. tractor"/>
      <sheetName val="GERREAL"/>
      <sheetName val="N2 1"/>
      <sheetName val="Bal032002"/>
      <sheetName val="ACT 00"/>
      <sheetName val="T-OPEN"/>
      <sheetName val="Bancos 31-03"/>
      <sheetName val="Base"/>
      <sheetName val="Lista"/>
      <sheetName val="Dep Moedas Est"/>
      <sheetName val="Resumo"/>
      <sheetName val="Aging"/>
      <sheetName val="Determinação dos Parâmetros"/>
      <sheetName val="INFO"/>
      <sheetName val="COTAÇÃO URTJLP"/>
      <sheetName val="NBC Max"/>
      <sheetName val="ELIMINAÇÕES"/>
      <sheetName val="D1.1 - PRA"/>
      <sheetName val="RELATA VÉIO"/>
      <sheetName val="Premissas"/>
      <sheetName val="cvdtodosprodago-00"/>
      <sheetName val="MovJan"/>
      <sheetName val="OUT02.REPORT"/>
      <sheetName val="COMPLETO"/>
      <sheetName val="ROs (12)"/>
      <sheetName val="Janeiro 2005"/>
      <sheetName val="E4.1"/>
      <sheetName val="Assumptions - General"/>
      <sheetName val="ISO Code"/>
      <sheetName val="DS"/>
      <sheetName val="base_filtrada_doc__pagto"/>
      <sheetName val="ABRIL_2000"/>
      <sheetName val="K_1_4_-_Itens_Totalm__Deprec_"/>
      <sheetName val="_Funding_flow"/>
      <sheetName val="D1_-_PRA"/>
      <sheetName val="Valores_30_11_2007"/>
      <sheetName val="D_-_PRA"/>
      <sheetName val="BP_vs_TS"/>
      <sheetName val="Remeasurement_Balance"/>
      <sheetName val="1_2Base_Previa"/>
      <sheetName val="ag__tractor"/>
      <sheetName val="Custo_X_Mercado"/>
      <sheetName val="ACT_00"/>
      <sheetName val="E1_3_-_Totalização"/>
      <sheetName val="N2_1"/>
      <sheetName val="Bancos_31-03"/>
      <sheetName val="NBC_Max"/>
      <sheetName val="RELATA_VÉIO"/>
      <sheetName val="D1_1_-_PRA"/>
      <sheetName val="COTAÇÃO_URTJLP"/>
      <sheetName val="Determinação_dos_Parâmetros"/>
      <sheetName val="Dep_Moedas_Est"/>
      <sheetName val="OUT02_REPORT"/>
      <sheetName val="UFIR"/>
      <sheetName val="Entradas"/>
      <sheetName val="taxas"/>
      <sheetName val="Teste Drpc"/>
      <sheetName val="C1398T96"/>
      <sheetName val="Orçado - Velho"/>
      <sheetName val="Diversos Deb"/>
      <sheetName val="DADOS"/>
      <sheetName val="Proyectos 2004 PAIS"/>
      <sheetName val="Deter. Parâmetro-Global Folha"/>
      <sheetName val="D1"/>
      <sheetName val="base_filtrada_doc__pagto1"/>
      <sheetName val="ABRIL_20001"/>
      <sheetName val="D1_-_PRA1"/>
      <sheetName val="Remeasurement_Balance1"/>
      <sheetName val="1_2Base_Previa1"/>
      <sheetName val="K_1_4_-_Itens_Totalm__Deprec_1"/>
      <sheetName val="_Funding_flow1"/>
      <sheetName val="Valores_30_11_20071"/>
      <sheetName val="D_-_PRA1"/>
      <sheetName val="BP_vs_TS1"/>
      <sheetName val="ag__tractor1"/>
      <sheetName val="Custo_X_Mercado1"/>
      <sheetName val="ACT_001"/>
      <sheetName val="E1_3_-_Totalização1"/>
      <sheetName val="N2_11"/>
      <sheetName val="Dep_Moedas_Est1"/>
      <sheetName val="COTAÇÃO_URTJLP1"/>
      <sheetName val="Bancos_31-031"/>
      <sheetName val="NBC_Max1"/>
      <sheetName val="RELATA_VÉIO1"/>
      <sheetName val="D1_1_-_PRA1"/>
      <sheetName val="Determinação_dos_Parâmetros1"/>
      <sheetName val="OUT02_REPORT1"/>
      <sheetName val="ROs_(12)"/>
      <sheetName val="Janeiro_2005"/>
      <sheetName val="E4_1"/>
      <sheetName val="Assumptions_-_General"/>
      <sheetName val="ISO_Code"/>
      <sheetName val="Matriz de covariância"/>
      <sheetName val="XREF"/>
      <sheetName val="PDD-Movimentação"/>
      <sheetName val="mzo 97"/>
      <sheetName val="Lead"/>
      <sheetName val="Links"/>
      <sheetName val="Plan1"/>
      <sheetName val="TABELAS"/>
      <sheetName val="Adiantamentos Agosto"/>
      <sheetName val="E1.1"/>
      <sheetName val="Teste de Adições"/>
      <sheetName val="RIS_TECNICHE"/>
      <sheetName val="e&amp;o por dep"/>
      <sheetName val="VALE  REFEIÇÃO"/>
      <sheetName val="P&amp;L"/>
      <sheetName val="Sensib"/>
      <sheetName val="Proyectos_2004_PAIS"/>
      <sheetName val="N"/>
      <sheetName val="EBITRECS"/>
      <sheetName val="5X3"/>
      <sheetName val="Cot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1- Mapa Final"/>
      <sheetName val="D1.1 - PRA"/>
      <sheetName val="D1.2- Mapa Pré"/>
      <sheetName val="L1"/>
      <sheetName val="L1.1"/>
      <sheetName val="D1 - Aplicacoes Financeiras"/>
      <sheetName val="VENDAS_P_SUBSIDIÁRIA"/>
      <sheetName val="pl atual"/>
      <sheetName val="Í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F SOBRE MUTUO (Juros Simples)"/>
      <sheetName val="IOF SOBRE MUTUO (Juros Compost)"/>
      <sheetName val="Teste"/>
      <sheetName val="Recálculo"/>
      <sheetName val="INFO"/>
    </sheetNames>
    <sheetDataSet>
      <sheetData sheetId="0">
        <row r="97">
          <cell r="B97">
            <v>1411000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"/>
      <sheetName val="VMP-VCP"/>
      <sheetName val="Juros-R$"/>
      <sheetName val="Juros-US"/>
      <sheetName val="Adições"/>
      <sheetName val="Baixas"/>
      <sheetName val="Provisão de Juros"/>
      <sheetName val="Escalonamento"/>
      <sheetName val="Tickmarks"/>
      <sheetName val="Mapa LP"/>
      <sheetName val="XREF"/>
      <sheetName val="Mapa de Mov. 31.10.00"/>
      <sheetName val="Mapa de Mov. 31.01.01"/>
      <sheetName val="Testes juros e baixas"/>
      <sheetName val="Mapa de mov. 31.10.01"/>
      <sheetName val="Mapa de mov. 31.10.01 CP"/>
      <sheetName val="Mapa de mov. 31.10.01 LP"/>
      <sheetName val="Mapa de Mov. Emprést. 31.10.00"/>
      <sheetName val="Mapa de Mov. Financ. 31.10.00"/>
      <sheetName val="Resumo dos contratos LP"/>
      <sheetName val="Pas Juros e V.M.C."/>
      <sheetName val="Teste de baixas"/>
      <sheetName val="L PRAZO"/>
      <sheetName val="C PRAZO"/>
      <sheetName val="ENCARGOS"/>
      <sheetName val="Movimentação"/>
      <sheetName val="CP X LP"/>
      <sheetName val="Covenants"/>
      <sheetName val="Movimentação (2)"/>
      <sheetName val="Teste de Encargos"/>
      <sheetName val="Teste de Adições e Baixas"/>
      <sheetName val="#REF"/>
      <sheetName val="PAS Juros Nacional"/>
      <sheetName val="PAS Juros Extrangeiro"/>
      <sheetName val="Variação Cambial"/>
      <sheetName val="SUMMARY"/>
      <sheetName val="Conc. Bancária 31.10.00"/>
      <sheetName val="Resumo contratos"/>
      <sheetName val="Mapa de Movimentação"/>
      <sheetName val="Teste de Adição"/>
      <sheetName val="Log ACL"/>
      <sheetName val="4. Teste de Baixas"/>
      <sheetName val="5. Teste de Encargos"/>
      <sheetName val="6. Escalonamento"/>
      <sheetName val="7. ACL"/>
      <sheetName val="1. Resumo contratos"/>
      <sheetName val="2. Mapa de Movimentação"/>
      <sheetName val="3.Teste de Adição"/>
      <sheetName val="Lead - Consórcios"/>
      <sheetName val="Mapa de Movimentação "/>
      <sheetName val=" Resumo contratos"/>
      <sheetName val="Teste "/>
      <sheetName val="Mapa Trimestre"/>
      <sheetName val="Teste de Baixa"/>
      <sheetName val="Teste Encargos"/>
      <sheetName val="Segregação CP X LP"/>
      <sheetName val="Nota Explicativa"/>
      <sheetName val="1.Resumo"/>
      <sheetName val="2.Mapa"/>
      <sheetName val="3.Encargos"/>
      <sheetName val="Caterpillar"/>
      <sheetName val="Bradesco"/>
      <sheetName val="Volkswagen"/>
      <sheetName val="Finasa"/>
      <sheetName val="Aging"/>
      <sheetName val="PDD-Movimentação"/>
      <sheetName val="Sheet1"/>
      <sheetName val="Teste Adições"/>
      <sheetName val="Custo x mercado"/>
      <sheetName val="circularização"/>
      <sheetName val="Mapa 31.08.02"/>
      <sheetName val="A-18"/>
      <sheetName val="Mapa 31.01.04"/>
      <sheetName val="VC 31 03 2009"/>
      <sheetName val="VC 31 03 2010"/>
      <sheetName val="Aging 31 03 2010"/>
      <sheetName val="2.Mapa 30.09.11"/>
      <sheetName val="2.1 Circularização"/>
      <sheetName val="3.Adição"/>
      <sheetName val="4.Teste de Baixa"/>
      <sheetName val="5. Encargos"/>
      <sheetName val="6.Escalonamento"/>
      <sheetName val="6.1 Teste de escalonamento"/>
      <sheetName val="7. Covenants"/>
      <sheetName val="LogACL"/>
      <sheetName val="4.Baixa"/>
      <sheetName val="Sheet1 (2)"/>
      <sheetName val="BP"/>
      <sheetName val="DRE"/>
      <sheetName val="A.2"/>
      <sheetName val="C1398T96"/>
      <sheetName val="PDD"/>
      <sheetName val="Mutação PL"/>
      <sheetName val="CAERN"/>
      <sheetName val="APOIO"/>
      <sheetName val="Mapa de Mov. Financ. 31.01.00"/>
      <sheetName val="DM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"/>
      <sheetName val="Adições"/>
      <sheetName val="Baixas"/>
      <sheetName val="Provisão de Juros"/>
      <sheetName val="PAS-Juros-R$"/>
      <sheetName val="PAS-Juros-US"/>
      <sheetName val="Escalonamento"/>
      <sheetName val="XREF"/>
      <sheetName val="Tickmarks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eval RLP"/>
      <sheetName val="O.Invest {PPC}"/>
      <sheetName val="O. Invest."/>
      <sheetName val="Res. Invest."/>
      <sheetName val="Eletrobrás"/>
      <sheetName val="IRRF Aplic.Fin."/>
      <sheetName val="Santista"/>
      <sheetName val="IRdiferido-{PPC}"/>
      <sheetName val="Bens Dest. Venda"/>
      <sheetName val="Baixas"/>
      <sheetName val="Dep. em Caução"/>
      <sheetName val="XREF"/>
      <sheetName val="Links"/>
      <sheetName val="Tickmarks1"/>
      <sheetName val="Tickmarks"/>
      <sheetName val="Tít.Venc."/>
      <sheetName val="BP"/>
      <sheetName val="Provisão de Juros"/>
      <sheetName val="Mapa"/>
      <sheetName val="Adições"/>
      <sheetName val="Vendas"/>
      <sheetName val="Partes Relacionadas"/>
      <sheetName val="Mapa mov"/>
      <sheetName val="Teste Adições"/>
      <sheetName val="Empréstimos"/>
      <sheetName val="Movimentação"/>
      <sheetName val="Custo x mercado"/>
      <sheetName val="A-18"/>
      <sheetName val="P2_Resumo"/>
      <sheetName val="P3_Circularização"/>
      <sheetName val="Resumo"/>
      <sheetName val="Mapa Imobiliz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Fert.Serrana"/>
      <sheetName val="QuantXCusto médio"/>
      <sheetName val="Links"/>
      <sheetName val="XREF"/>
      <sheetName val="Tickmarks"/>
      <sheetName val="Mapa"/>
      <sheetName val="Adições"/>
      <sheetName val="DRE"/>
      <sheetName val="BP"/>
      <sheetName val="Resumo"/>
      <sheetName val="Provisão de Juros"/>
      <sheetName val="Empréstimos"/>
      <sheetName val="Mapa de Resultad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. CS"/>
      <sheetName val="IRPJ-DEZ"/>
      <sheetName val="JUROS SELIC 98"/>
      <sheetName val="JUROS SELIC 97"/>
      <sheetName val="XREF"/>
      <sheetName val="Tickmarks"/>
      <sheetName val="Depreciação"/>
      <sheetName val="Empréstimos"/>
      <sheetName val="DRE"/>
      <sheetName val="Mapa"/>
      <sheetName val="Consolidado até out_99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JUROS SELIC IR AplicFinan. 98"/>
      <sheetName val="JUROS SELIC IRserviços 99"/>
      <sheetName val="JUROS SELIC IR a compensar 99"/>
      <sheetName val="JUROS SELIC CSL "/>
      <sheetName val="XREF"/>
      <sheetName val="Tickmarks"/>
      <sheetName val="Tít.Venc."/>
      <sheetName val="IR. CS"/>
      <sheetName val="A11"/>
      <sheetName val="Custo x mercado"/>
      <sheetName val="Mapa de Moviment."/>
      <sheetName val="BP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31.10.03"/>
      <sheetName val="Mapa 31.01.04"/>
      <sheetName val="Pas Juros-31-10-03"/>
      <sheetName val="Adições"/>
      <sheetName val="Baixas"/>
      <sheetName val="Escalonamento"/>
      <sheetName val="XREF"/>
      <sheetName val="Tickmarks"/>
      <sheetName val="IR. 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e Equity 30.09.03"/>
      <sheetName val="Teste Equity 31.12.03"/>
      <sheetName val="Teste ágio"/>
      <sheetName val="TERMOAÇU"/>
      <sheetName val="TERMOPE"/>
      <sheetName val="Venda TRACOL"/>
      <sheetName val="XREF"/>
      <sheetName val="Tickmarks"/>
      <sheetName val="B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Fornecimento"/>
      <sheetName val="Circular-Clientes"/>
      <sheetName val="Proc. alternativo - Clientes"/>
      <sheetName val="MAE"/>
      <sheetName val="Mov. Part. Financeira"/>
      <sheetName val="Teste Part.Financeira"/>
      <sheetName val="Mov. Outros Créditos"/>
      <sheetName val="IGPM"/>
      <sheetName val="XREF"/>
      <sheetName val="Tickmarks"/>
      <sheetName val="Anal. Fornec."/>
      <sheetName val="Outros Créditos"/>
      <sheetName val="Circularização"/>
      <sheetName val="Suprimento"/>
      <sheetName val="Análise MAE"/>
      <sheetName val="Part.Financ."/>
      <sheetName val="Part.Financ. - Antigo CP"/>
      <sheetName val="Part.Financ. - Novo CP"/>
      <sheetName val="Part.Financ. - LP"/>
      <sheetName val="Outros Créditos - Racionamento"/>
      <sheetName val="Suprimento-MAE"/>
      <sheetName val="Movimentação MAE"/>
      <sheetName val="Resumo Bonus e Sobretaxa "/>
      <sheetName val="Bonus e Sobretaxa"/>
      <sheetName val="1120130000"/>
      <sheetName val="1120130001"/>
      <sheetName val="Circularização- &quot;FORNECIMENTO&quot;-"/>
      <sheetName val="Outros Créditos-Bonus"/>
      <sheetName val="XXXX"/>
      <sheetName val="XXXXXX"/>
      <sheetName val="XXXXXXXXX"/>
      <sheetName val="1210130000"/>
      <sheetName val="Teste Equity 30.09.03"/>
      <sheetName val="{PPC}Mapa de moviment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"/>
      <sheetName val="Aging titulos ANEEL"/>
      <sheetName val="Aging Report"/>
      <sheetName val="Resumo Débito Poder Público"/>
      <sheetName val="NATAL"/>
      <sheetName val="CAERN"/>
      <sheetName val="Aging CAERN"/>
      <sheetName val="Débito Parcelam. Poder Público"/>
      <sheetName val="XREF"/>
      <sheetName val="Tickmarks"/>
      <sheetName val="Baixa Renda"/>
      <sheetName val="Composição DEZ"/>
      <sheetName val="Aging DEZ"/>
      <sheetName val="Composição 30 SET"/>
      <sheetName val="Aging SET"/>
      <sheetName val="Contratos a Serem Solcitados"/>
      <sheetName val="Composição"/>
      <sheetName val="Aging"/>
      <sheetName val="Custo x merc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 "/>
      <sheetName val="Saldo Inicial"/>
      <sheetName val="Adições"/>
      <sheetName val="Baixas"/>
      <sheetName val="Depreciação"/>
      <sheetName val="Reavaliação"/>
      <sheetName val="Nota explicativa"/>
      <sheetName val="XREF"/>
      <sheetName val="Tickmarks"/>
      <sheetName val="Teste Equity 30.09.03"/>
      <sheetName val="CAERN"/>
      <sheetName val="Medições a faturar"/>
      <sheetName val="Mutação do PL Trimest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31.08.02"/>
      <sheetName val="Teste"/>
      <sheetName val="Debêntures"/>
      <sheetName val="PAS Variação"/>
      <sheetName val="Juros"/>
      <sheetName val="PAS Juros"/>
      <sheetName val="SWAP"/>
      <sheetName val="Taxas"/>
      <sheetName val="XREF"/>
      <sheetName val="Lea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apa Emprestimos 31.03.03"/>
      <sheetName val="Mapa Emprestimos 30.06.03"/>
      <sheetName val="SWAP"/>
      <sheetName val="XREF"/>
      <sheetName val="Tickmarks"/>
      <sheetName val="Mapa 31.08.02"/>
      <sheetName val="Custo x Mercado"/>
      <sheetName val="A-18"/>
      <sheetName val="BP"/>
      <sheetName val="DRE"/>
      <sheetName val="Pas Juros e V.M.C."/>
      <sheetName val="circularização"/>
      <sheetName val="Balanço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órmula"/>
      <sheetName val="Bal TC21"/>
      <sheetName val="Bal TC22"/>
      <sheetName val="Bal TC23"/>
      <sheetName val="Ativo"/>
      <sheetName val="Passivo"/>
      <sheetName val="Resultado"/>
      <sheetName val="Notas Explicativas"/>
      <sheetName val="Plano Contas"/>
      <sheetName val="XREF"/>
      <sheetName val="Tickmarks"/>
      <sheetName val="Ativo_MIL"/>
      <sheetName val="Passivo_MIL"/>
      <sheetName val="Resultado_MIL"/>
      <sheetName val="Notas Explicativas_MIL"/>
      <sheetName val="Não Alocadas"/>
      <sheetName val="Conc. Bancária 31.10.00"/>
      <sheetName val="Mapa 31.08.02"/>
      <sheetName val="Custo x merc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osição 31.12.99"/>
      <sheetName val="Composição 30.09.99"/>
      <sheetName val="Comp Est DIF Set99"/>
      <sheetName val="Comp Est DIF Dez99"/>
      <sheetName val="Teste de CustoXMercado"/>
      <sheetName val="Comp. Custo "/>
      <sheetName val="Custo Soja - Farelo"/>
      <sheetName val="Demonst. Rateio Custos"/>
      <sheetName val="QuantXCusto médio"/>
      <sheetName val="Quebras e Sobras"/>
      <sheetName val="XREF"/>
      <sheetName val="Tickmark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Fatur.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entações"/>
      <sheetName val="Plano de Contas"/>
      <sheetName val="Instruções de Uso"/>
      <sheetName val="Validação"/>
      <sheetName val="Base de Dados"/>
      <sheetName val="DRE"/>
      <sheetName val="DRE (2)"/>
      <sheetName val="Fluxo de Caixa | Diário"/>
      <sheetName val="Fluxo de Caixa | Semanal"/>
      <sheetName val="Fluxo de Caixa | Mensal"/>
      <sheetName val="Análises de Ciclo"/>
      <sheetName val="Depreci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C55">
            <v>44075</v>
          </cell>
          <cell r="D55">
            <v>44076</v>
          </cell>
          <cell r="E55">
            <v>44077</v>
          </cell>
          <cell r="F55">
            <v>44078</v>
          </cell>
          <cell r="G55">
            <v>44079</v>
          </cell>
          <cell r="H55">
            <v>44080</v>
          </cell>
          <cell r="I55">
            <v>44081</v>
          </cell>
          <cell r="J55">
            <v>44082</v>
          </cell>
          <cell r="K55">
            <v>44083</v>
          </cell>
          <cell r="L55">
            <v>44084</v>
          </cell>
          <cell r="M55">
            <v>44085</v>
          </cell>
          <cell r="N55">
            <v>44086</v>
          </cell>
          <cell r="O55">
            <v>44087</v>
          </cell>
          <cell r="P55">
            <v>44088</v>
          </cell>
          <cell r="Q55">
            <v>44089</v>
          </cell>
          <cell r="R55">
            <v>44090</v>
          </cell>
          <cell r="S55">
            <v>44091</v>
          </cell>
          <cell r="T55">
            <v>44092</v>
          </cell>
          <cell r="U55">
            <v>44093</v>
          </cell>
          <cell r="V55">
            <v>44094</v>
          </cell>
          <cell r="W55">
            <v>44095</v>
          </cell>
          <cell r="X55">
            <v>44096</v>
          </cell>
          <cell r="Y55">
            <v>44097</v>
          </cell>
          <cell r="Z55">
            <v>44098</v>
          </cell>
          <cell r="AA55">
            <v>44099</v>
          </cell>
          <cell r="AB55">
            <v>44100</v>
          </cell>
          <cell r="AC55">
            <v>44101</v>
          </cell>
          <cell r="AD55">
            <v>44102</v>
          </cell>
          <cell r="AE55">
            <v>44103</v>
          </cell>
          <cell r="AF55">
            <v>44104</v>
          </cell>
          <cell r="AG55">
            <v>44105</v>
          </cell>
          <cell r="AH55">
            <v>44106</v>
          </cell>
          <cell r="AI55">
            <v>44107</v>
          </cell>
          <cell r="AJ55">
            <v>44108</v>
          </cell>
          <cell r="AK55">
            <v>44109</v>
          </cell>
          <cell r="AL55">
            <v>44110</v>
          </cell>
          <cell r="AM55">
            <v>44111</v>
          </cell>
          <cell r="AN55">
            <v>44112</v>
          </cell>
          <cell r="AO55">
            <v>44113</v>
          </cell>
          <cell r="AP55">
            <v>44114</v>
          </cell>
          <cell r="AQ55">
            <v>44115</v>
          </cell>
          <cell r="AR55">
            <v>44116</v>
          </cell>
          <cell r="AS55">
            <v>44117</v>
          </cell>
          <cell r="AT55">
            <v>44118</v>
          </cell>
          <cell r="AU55">
            <v>44119</v>
          </cell>
          <cell r="AV55">
            <v>44120</v>
          </cell>
          <cell r="AW55">
            <v>44121</v>
          </cell>
          <cell r="AX55">
            <v>44122</v>
          </cell>
          <cell r="AY55">
            <v>44123</v>
          </cell>
          <cell r="AZ55">
            <v>44124</v>
          </cell>
          <cell r="BA55">
            <v>44125</v>
          </cell>
          <cell r="BB55">
            <v>44126</v>
          </cell>
          <cell r="BC55">
            <v>44127</v>
          </cell>
          <cell r="BD55">
            <v>44128</v>
          </cell>
          <cell r="BE55">
            <v>44129</v>
          </cell>
          <cell r="BF55">
            <v>44130</v>
          </cell>
          <cell r="BG55">
            <v>44131</v>
          </cell>
          <cell r="BH55">
            <v>44132</v>
          </cell>
          <cell r="BI55">
            <v>44133</v>
          </cell>
          <cell r="BJ55">
            <v>44134</v>
          </cell>
          <cell r="BK55">
            <v>44135</v>
          </cell>
          <cell r="BL55">
            <v>44136</v>
          </cell>
          <cell r="BM55">
            <v>44137</v>
          </cell>
          <cell r="BN55">
            <v>44138</v>
          </cell>
          <cell r="BO55">
            <v>44139</v>
          </cell>
          <cell r="BP55">
            <v>44140</v>
          </cell>
          <cell r="BQ55">
            <v>44141</v>
          </cell>
          <cell r="BR55">
            <v>44142</v>
          </cell>
          <cell r="BS55">
            <v>44143</v>
          </cell>
          <cell r="BT55">
            <v>44144</v>
          </cell>
          <cell r="BU55">
            <v>44145</v>
          </cell>
          <cell r="BV55">
            <v>44146</v>
          </cell>
          <cell r="BW55">
            <v>44147</v>
          </cell>
          <cell r="BX55">
            <v>44148</v>
          </cell>
          <cell r="BY55">
            <v>44149</v>
          </cell>
          <cell r="BZ55">
            <v>44150</v>
          </cell>
          <cell r="CA55">
            <v>44151</v>
          </cell>
          <cell r="CB55">
            <v>44152</v>
          </cell>
          <cell r="CC55">
            <v>44153</v>
          </cell>
          <cell r="CD55">
            <v>44154</v>
          </cell>
          <cell r="CE55">
            <v>44155</v>
          </cell>
          <cell r="CF55">
            <v>44156</v>
          </cell>
          <cell r="CG55">
            <v>44157</v>
          </cell>
          <cell r="CH55">
            <v>44158</v>
          </cell>
          <cell r="CI55">
            <v>44159</v>
          </cell>
          <cell r="CJ55">
            <v>44160</v>
          </cell>
          <cell r="CK55">
            <v>44161</v>
          </cell>
          <cell r="CL55">
            <v>44162</v>
          </cell>
          <cell r="CM55">
            <v>44163</v>
          </cell>
          <cell r="CN55">
            <v>44164</v>
          </cell>
          <cell r="CO55">
            <v>44165</v>
          </cell>
          <cell r="CP55">
            <v>44166</v>
          </cell>
          <cell r="CQ55">
            <v>44167</v>
          </cell>
          <cell r="CR55">
            <v>44168</v>
          </cell>
          <cell r="CS55">
            <v>44169</v>
          </cell>
          <cell r="CT55">
            <v>44170</v>
          </cell>
          <cell r="CU55">
            <v>44171</v>
          </cell>
          <cell r="CV55">
            <v>44172</v>
          </cell>
          <cell r="CW55">
            <v>44173</v>
          </cell>
          <cell r="CX55">
            <v>44174</v>
          </cell>
          <cell r="CY55">
            <v>44175</v>
          </cell>
          <cell r="CZ55">
            <v>44176</v>
          </cell>
          <cell r="DA55">
            <v>44177</v>
          </cell>
          <cell r="DB55">
            <v>44178</v>
          </cell>
          <cell r="DC55">
            <v>44179</v>
          </cell>
          <cell r="DD55">
            <v>44180</v>
          </cell>
          <cell r="DE55">
            <v>44181</v>
          </cell>
          <cell r="DF55">
            <v>44182</v>
          </cell>
          <cell r="DG55">
            <v>44183</v>
          </cell>
          <cell r="DH55">
            <v>44184</v>
          </cell>
          <cell r="DI55">
            <v>44185</v>
          </cell>
          <cell r="DJ55">
            <v>44186</v>
          </cell>
          <cell r="DK55">
            <v>44187</v>
          </cell>
          <cell r="DL55">
            <v>44188</v>
          </cell>
          <cell r="DM55">
            <v>44189</v>
          </cell>
          <cell r="DN55">
            <v>44190</v>
          </cell>
          <cell r="DO55">
            <v>44191</v>
          </cell>
          <cell r="DP55">
            <v>44192</v>
          </cell>
          <cell r="DQ55">
            <v>44193</v>
          </cell>
          <cell r="DR55">
            <v>44194</v>
          </cell>
        </row>
        <row r="56">
          <cell r="C56" t="str">
            <v>REALIZADO44075</v>
          </cell>
          <cell r="D56" t="str">
            <v>REALIZADO44076</v>
          </cell>
          <cell r="E56" t="str">
            <v>REALIZADO44077</v>
          </cell>
          <cell r="F56" t="str">
            <v>REALIZADO44078</v>
          </cell>
          <cell r="G56" t="str">
            <v>REALIZADO44079</v>
          </cell>
          <cell r="H56" t="str">
            <v>REALIZADO44080</v>
          </cell>
          <cell r="I56" t="str">
            <v>REALIZADO44081</v>
          </cell>
          <cell r="J56" t="str">
            <v>REALIZADO44082</v>
          </cell>
          <cell r="K56" t="str">
            <v>REALIZADO44083</v>
          </cell>
          <cell r="L56" t="str">
            <v>REALIZADO44084</v>
          </cell>
          <cell r="M56" t="str">
            <v>REALIZADO44085</v>
          </cell>
          <cell r="N56" t="str">
            <v>REALIZADO44086</v>
          </cell>
          <cell r="O56" t="str">
            <v>REALIZADO44087</v>
          </cell>
          <cell r="P56" t="str">
            <v>REALIZADO44088</v>
          </cell>
          <cell r="Q56" t="str">
            <v>REALIZADO44089</v>
          </cell>
          <cell r="R56" t="str">
            <v>REALIZADO44090</v>
          </cell>
          <cell r="S56" t="str">
            <v>REALIZADO44091</v>
          </cell>
          <cell r="T56" t="str">
            <v>REALIZADO44092</v>
          </cell>
          <cell r="U56" t="str">
            <v>REALIZADO44093</v>
          </cell>
          <cell r="V56" t="str">
            <v>REALIZADO44094</v>
          </cell>
          <cell r="W56" t="str">
            <v>REALIZADO44095</v>
          </cell>
          <cell r="X56" t="str">
            <v>REALIZADO44096</v>
          </cell>
          <cell r="Y56" t="str">
            <v>REALIZADO44097</v>
          </cell>
          <cell r="Z56" t="str">
            <v>REALIZADO44098</v>
          </cell>
          <cell r="AA56" t="str">
            <v>REALIZADO44099</v>
          </cell>
          <cell r="AB56" t="str">
            <v>REALIZADO44100</v>
          </cell>
          <cell r="AC56" t="str">
            <v>REALIZADO44101</v>
          </cell>
          <cell r="AD56" t="str">
            <v>REALIZADO44102</v>
          </cell>
          <cell r="AE56" t="str">
            <v>REALIZADO44103</v>
          </cell>
          <cell r="AF56" t="str">
            <v>REALIZADO44104</v>
          </cell>
          <cell r="AG56" t="str">
            <v>REALIZADO44105</v>
          </cell>
          <cell r="AH56" t="str">
            <v>REALIZADO44106</v>
          </cell>
          <cell r="AI56" t="str">
            <v>REALIZADO44107</v>
          </cell>
          <cell r="AJ56" t="str">
            <v>REALIZADO44108</v>
          </cell>
          <cell r="AK56" t="str">
            <v>REALIZADO44109</v>
          </cell>
          <cell r="AL56" t="str">
            <v>REALIZADO44110</v>
          </cell>
          <cell r="AM56" t="str">
            <v>REALIZADO44111</v>
          </cell>
          <cell r="AN56" t="str">
            <v>REALIZADO44112</v>
          </cell>
          <cell r="AO56" t="str">
            <v>REALIZADO44113</v>
          </cell>
          <cell r="AP56" t="str">
            <v>REALIZADO44114</v>
          </cell>
          <cell r="AQ56" t="str">
            <v>REALIZADO44115</v>
          </cell>
          <cell r="AR56" t="str">
            <v>REALIZADO44116</v>
          </cell>
          <cell r="AS56" t="str">
            <v>REALIZADO44117</v>
          </cell>
          <cell r="AT56" t="str">
            <v>REALIZADO44118</v>
          </cell>
          <cell r="AU56" t="str">
            <v>REALIZADO44119</v>
          </cell>
          <cell r="AV56" t="str">
            <v>REALIZADO44120</v>
          </cell>
          <cell r="AW56" t="str">
            <v>REALIZADO44121</v>
          </cell>
          <cell r="AX56" t="str">
            <v>REALIZADO44122</v>
          </cell>
          <cell r="AY56" t="str">
            <v>REALIZADO44123</v>
          </cell>
          <cell r="AZ56" t="str">
            <v>REALIZADO44124</v>
          </cell>
          <cell r="BA56" t="str">
            <v>REALIZADO44125</v>
          </cell>
          <cell r="BB56" t="str">
            <v>REALIZADO44126</v>
          </cell>
          <cell r="BC56" t="str">
            <v>REALIZADO44127</v>
          </cell>
          <cell r="BD56" t="str">
            <v>REALIZADO44128</v>
          </cell>
          <cell r="BE56" t="str">
            <v>REALIZADO44129</v>
          </cell>
          <cell r="BF56" t="str">
            <v>REALIZADO44130</v>
          </cell>
          <cell r="BG56" t="str">
            <v>REALIZADO44131</v>
          </cell>
          <cell r="BH56" t="str">
            <v>REALIZADO44132</v>
          </cell>
          <cell r="BI56" t="str">
            <v>REALIZADO44133</v>
          </cell>
          <cell r="BJ56" t="str">
            <v>REALIZADO44134</v>
          </cell>
          <cell r="BK56" t="str">
            <v>REALIZADO44135</v>
          </cell>
          <cell r="BL56" t="str">
            <v>REALIZADO44136</v>
          </cell>
          <cell r="BM56" t="str">
            <v>REALIZADO44137</v>
          </cell>
          <cell r="BN56" t="str">
            <v>REALIZADO44138</v>
          </cell>
          <cell r="BO56" t="str">
            <v>REALIZADO44139</v>
          </cell>
          <cell r="BP56" t="str">
            <v>REALIZADO44140</v>
          </cell>
          <cell r="BQ56" t="str">
            <v>REALIZADO44141</v>
          </cell>
          <cell r="BR56" t="str">
            <v>REALIZADO44142</v>
          </cell>
          <cell r="BS56" t="str">
            <v>REALIZADO44143</v>
          </cell>
          <cell r="BT56" t="str">
            <v>REALIZADO44144</v>
          </cell>
          <cell r="BU56" t="str">
            <v>REALIZADO44145</v>
          </cell>
          <cell r="BV56" t="str">
            <v>REALIZADO44146</v>
          </cell>
          <cell r="BW56" t="str">
            <v>REALIZADO44147</v>
          </cell>
          <cell r="BX56" t="str">
            <v>REALIZADO44148</v>
          </cell>
          <cell r="BY56" t="str">
            <v>REALIZADO44149</v>
          </cell>
          <cell r="BZ56" t="str">
            <v>REALIZADO44150</v>
          </cell>
          <cell r="CA56" t="str">
            <v>REALIZADO44151</v>
          </cell>
          <cell r="CB56" t="str">
            <v>REALIZADO44152</v>
          </cell>
          <cell r="CC56" t="str">
            <v>REALIZADO44153</v>
          </cell>
          <cell r="CD56" t="str">
            <v>REALIZADO44154</v>
          </cell>
          <cell r="CE56" t="str">
            <v>REALIZADO44155</v>
          </cell>
          <cell r="CF56" t="str">
            <v>REALIZADO44156</v>
          </cell>
          <cell r="CG56" t="str">
            <v>REALIZADO44157</v>
          </cell>
          <cell r="CH56" t="str">
            <v>REALIZADO44158</v>
          </cell>
          <cell r="CI56" t="str">
            <v>REALIZADO44159</v>
          </cell>
          <cell r="CJ56" t="str">
            <v>REALIZADO44160</v>
          </cell>
          <cell r="CK56" t="str">
            <v>REALIZADO44161</v>
          </cell>
          <cell r="CL56" t="str">
            <v>REALIZADO44162</v>
          </cell>
          <cell r="CM56" t="str">
            <v>REALIZADO44163</v>
          </cell>
          <cell r="CN56" t="str">
            <v>REALIZADO44164</v>
          </cell>
          <cell r="CO56" t="str">
            <v>REALIZADO44165</v>
          </cell>
          <cell r="CP56" t="str">
            <v>REALIZADO44166</v>
          </cell>
          <cell r="CQ56" t="str">
            <v>REALIZADO44167</v>
          </cell>
          <cell r="CR56" t="str">
            <v>REALIZADO44168</v>
          </cell>
          <cell r="CS56" t="str">
            <v>REALIZADO44169</v>
          </cell>
          <cell r="CT56" t="str">
            <v>REALIZADO44170</v>
          </cell>
          <cell r="CU56" t="str">
            <v>REALIZADO44171</v>
          </cell>
          <cell r="CV56" t="str">
            <v>REALIZADO44172</v>
          </cell>
          <cell r="CW56" t="str">
            <v>REALIZADO44173</v>
          </cell>
          <cell r="CX56" t="str">
            <v>REALIZADO44174</v>
          </cell>
          <cell r="CY56" t="str">
            <v>REALIZADO44175</v>
          </cell>
          <cell r="CZ56" t="str">
            <v>REALIZADO44176</v>
          </cell>
          <cell r="DA56" t="str">
            <v>REALIZADO44177</v>
          </cell>
          <cell r="DB56" t="str">
            <v>REALIZADO44178</v>
          </cell>
          <cell r="DC56" t="str">
            <v>REALIZADO44179</v>
          </cell>
          <cell r="DD56" t="str">
            <v>REALIZADO44180</v>
          </cell>
          <cell r="DE56" t="str">
            <v>REALIZADO44181</v>
          </cell>
          <cell r="DF56" t="str">
            <v>REALIZADO44182</v>
          </cell>
          <cell r="DG56" t="str">
            <v>REALIZADO44183</v>
          </cell>
          <cell r="DH56" t="str">
            <v>REALIZADO44184</v>
          </cell>
          <cell r="DI56" t="str">
            <v>REALIZADO44185</v>
          </cell>
          <cell r="DJ56" t="str">
            <v>REALIZADO44186</v>
          </cell>
          <cell r="DK56" t="str">
            <v>REALIZADO44187</v>
          </cell>
          <cell r="DL56" t="str">
            <v>REALIZADO44188</v>
          </cell>
          <cell r="DM56" t="str">
            <v>REALIZADO44189</v>
          </cell>
          <cell r="DN56" t="str">
            <v>REALIZADO44190</v>
          </cell>
          <cell r="DO56" t="str">
            <v>REALIZADO44191</v>
          </cell>
          <cell r="DP56" t="str">
            <v>REALIZADO44192</v>
          </cell>
          <cell r="DQ56" t="str">
            <v>REALIZADO44193</v>
          </cell>
          <cell r="DR56" t="str">
            <v>REALIZADO44194</v>
          </cell>
        </row>
        <row r="57">
          <cell r="B57" t="str">
            <v>Saldo Inicial</v>
          </cell>
          <cell r="C57">
            <v>100000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entações"/>
      <sheetName val="Plano de Contas"/>
      <sheetName val="Instruções de Uso"/>
      <sheetName val="Validação"/>
      <sheetName val="Base de Dados"/>
      <sheetName val="DRE"/>
      <sheetName val="DRE (2)"/>
      <sheetName val="Fluxo de Caixa | Diário"/>
      <sheetName val="Fluxo de Caixa | Semanal"/>
      <sheetName val="Fluxo de Caixa | Mensal"/>
      <sheetName val="Análises de Ciclo"/>
      <sheetName val="Depreci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C55">
            <v>44075</v>
          </cell>
          <cell r="D55">
            <v>44076</v>
          </cell>
          <cell r="E55">
            <v>44077</v>
          </cell>
          <cell r="F55">
            <v>44078</v>
          </cell>
          <cell r="G55">
            <v>44079</v>
          </cell>
          <cell r="H55">
            <v>44080</v>
          </cell>
          <cell r="I55">
            <v>44081</v>
          </cell>
          <cell r="J55">
            <v>44082</v>
          </cell>
          <cell r="K55">
            <v>44083</v>
          </cell>
          <cell r="L55">
            <v>44084</v>
          </cell>
          <cell r="M55">
            <v>44085</v>
          </cell>
          <cell r="N55">
            <v>44086</v>
          </cell>
          <cell r="O55">
            <v>44087</v>
          </cell>
          <cell r="P55">
            <v>44088</v>
          </cell>
          <cell r="Q55">
            <v>44089</v>
          </cell>
          <cell r="R55">
            <v>44090</v>
          </cell>
          <cell r="S55">
            <v>44091</v>
          </cell>
          <cell r="T55">
            <v>44092</v>
          </cell>
          <cell r="U55">
            <v>44093</v>
          </cell>
          <cell r="V55">
            <v>44094</v>
          </cell>
          <cell r="W55">
            <v>44095</v>
          </cell>
          <cell r="X55">
            <v>44096</v>
          </cell>
          <cell r="Y55">
            <v>44097</v>
          </cell>
          <cell r="Z55">
            <v>44098</v>
          </cell>
          <cell r="AA55">
            <v>44099</v>
          </cell>
          <cell r="AB55">
            <v>44100</v>
          </cell>
          <cell r="AC55">
            <v>44101</v>
          </cell>
          <cell r="AD55">
            <v>44102</v>
          </cell>
          <cell r="AE55">
            <v>44103</v>
          </cell>
          <cell r="AF55">
            <v>44104</v>
          </cell>
          <cell r="AG55">
            <v>44105</v>
          </cell>
          <cell r="AH55">
            <v>44106</v>
          </cell>
          <cell r="AI55">
            <v>44107</v>
          </cell>
          <cell r="AJ55">
            <v>44108</v>
          </cell>
          <cell r="AK55">
            <v>44109</v>
          </cell>
          <cell r="AL55">
            <v>44110</v>
          </cell>
          <cell r="AM55">
            <v>44111</v>
          </cell>
          <cell r="AN55">
            <v>44112</v>
          </cell>
          <cell r="AO55">
            <v>44113</v>
          </cell>
          <cell r="AP55">
            <v>44114</v>
          </cell>
          <cell r="AQ55">
            <v>44115</v>
          </cell>
          <cell r="AR55">
            <v>44116</v>
          </cell>
          <cell r="AS55">
            <v>44117</v>
          </cell>
          <cell r="AT55">
            <v>44118</v>
          </cell>
          <cell r="AU55">
            <v>44119</v>
          </cell>
          <cell r="AV55">
            <v>44120</v>
          </cell>
          <cell r="AW55">
            <v>44121</v>
          </cell>
          <cell r="AX55">
            <v>44122</v>
          </cell>
          <cell r="AY55">
            <v>44123</v>
          </cell>
          <cell r="AZ55">
            <v>44124</v>
          </cell>
          <cell r="BA55">
            <v>44125</v>
          </cell>
          <cell r="BB55">
            <v>44126</v>
          </cell>
          <cell r="BC55">
            <v>44127</v>
          </cell>
          <cell r="BD55">
            <v>44128</v>
          </cell>
          <cell r="BE55">
            <v>44129</v>
          </cell>
          <cell r="BF55">
            <v>44130</v>
          </cell>
          <cell r="BG55">
            <v>44131</v>
          </cell>
          <cell r="BH55">
            <v>44132</v>
          </cell>
          <cell r="BI55">
            <v>44133</v>
          </cell>
          <cell r="BJ55">
            <v>44134</v>
          </cell>
          <cell r="BK55">
            <v>44135</v>
          </cell>
          <cell r="BL55">
            <v>44136</v>
          </cell>
          <cell r="BM55">
            <v>44137</v>
          </cell>
          <cell r="BN55">
            <v>44138</v>
          </cell>
          <cell r="BO55">
            <v>44139</v>
          </cell>
          <cell r="BP55">
            <v>44140</v>
          </cell>
          <cell r="BQ55">
            <v>44141</v>
          </cell>
          <cell r="BR55">
            <v>44142</v>
          </cell>
          <cell r="BS55">
            <v>44143</v>
          </cell>
          <cell r="BT55">
            <v>44144</v>
          </cell>
          <cell r="BU55">
            <v>44145</v>
          </cell>
          <cell r="BV55">
            <v>44146</v>
          </cell>
          <cell r="BW55">
            <v>44147</v>
          </cell>
          <cell r="BX55">
            <v>44148</v>
          </cell>
          <cell r="BY55">
            <v>44149</v>
          </cell>
          <cell r="BZ55">
            <v>44150</v>
          </cell>
          <cell r="CA55">
            <v>44151</v>
          </cell>
          <cell r="CB55">
            <v>44152</v>
          </cell>
          <cell r="CC55">
            <v>44153</v>
          </cell>
          <cell r="CD55">
            <v>44154</v>
          </cell>
          <cell r="CE55">
            <v>44155</v>
          </cell>
          <cell r="CF55">
            <v>44156</v>
          </cell>
          <cell r="CG55">
            <v>44157</v>
          </cell>
          <cell r="CH55">
            <v>44158</v>
          </cell>
          <cell r="CI55">
            <v>44159</v>
          </cell>
          <cell r="CJ55">
            <v>44160</v>
          </cell>
          <cell r="CK55">
            <v>44161</v>
          </cell>
          <cell r="CL55">
            <v>44162</v>
          </cell>
          <cell r="CM55">
            <v>44163</v>
          </cell>
          <cell r="CN55">
            <v>44164</v>
          </cell>
          <cell r="CO55">
            <v>44165</v>
          </cell>
          <cell r="CP55">
            <v>44166</v>
          </cell>
          <cell r="CQ55">
            <v>44167</v>
          </cell>
          <cell r="CR55">
            <v>44168</v>
          </cell>
          <cell r="CS55">
            <v>44169</v>
          </cell>
          <cell r="CT55">
            <v>44170</v>
          </cell>
          <cell r="CU55">
            <v>44171</v>
          </cell>
          <cell r="CV55">
            <v>44172</v>
          </cell>
          <cell r="CW55">
            <v>44173</v>
          </cell>
          <cell r="CX55">
            <v>44174</v>
          </cell>
          <cell r="CY55">
            <v>44175</v>
          </cell>
          <cell r="CZ55">
            <v>44176</v>
          </cell>
          <cell r="DA55">
            <v>44177</v>
          </cell>
          <cell r="DB55">
            <v>44178</v>
          </cell>
          <cell r="DC55">
            <v>44179</v>
          </cell>
          <cell r="DD55">
            <v>44180</v>
          </cell>
          <cell r="DE55">
            <v>44181</v>
          </cell>
          <cell r="DF55">
            <v>44182</v>
          </cell>
          <cell r="DG55">
            <v>44183</v>
          </cell>
          <cell r="DH55">
            <v>44184</v>
          </cell>
          <cell r="DI55">
            <v>44185</v>
          </cell>
          <cell r="DJ55">
            <v>44186</v>
          </cell>
          <cell r="DK55">
            <v>44187</v>
          </cell>
          <cell r="DL55">
            <v>44188</v>
          </cell>
          <cell r="DM55">
            <v>44189</v>
          </cell>
          <cell r="DN55">
            <v>44190</v>
          </cell>
          <cell r="DO55">
            <v>44191</v>
          </cell>
          <cell r="DP55">
            <v>44192</v>
          </cell>
          <cell r="DQ55">
            <v>44193</v>
          </cell>
          <cell r="DR55">
            <v>44194</v>
          </cell>
        </row>
        <row r="56">
          <cell r="C56" t="str">
            <v>REALIZADO44075</v>
          </cell>
          <cell r="D56" t="str">
            <v>REALIZADO44076</v>
          </cell>
          <cell r="E56" t="str">
            <v>REALIZADO44077</v>
          </cell>
          <cell r="F56" t="str">
            <v>REALIZADO44078</v>
          </cell>
          <cell r="G56" t="str">
            <v>REALIZADO44079</v>
          </cell>
          <cell r="H56" t="str">
            <v>REALIZADO44080</v>
          </cell>
          <cell r="I56" t="str">
            <v>REALIZADO44081</v>
          </cell>
          <cell r="J56" t="str">
            <v>REALIZADO44082</v>
          </cell>
          <cell r="K56" t="str">
            <v>REALIZADO44083</v>
          </cell>
          <cell r="L56" t="str">
            <v>REALIZADO44084</v>
          </cell>
          <cell r="M56" t="str">
            <v>REALIZADO44085</v>
          </cell>
          <cell r="N56" t="str">
            <v>REALIZADO44086</v>
          </cell>
          <cell r="O56" t="str">
            <v>REALIZADO44087</v>
          </cell>
          <cell r="P56" t="str">
            <v>REALIZADO44088</v>
          </cell>
          <cell r="Q56" t="str">
            <v>REALIZADO44089</v>
          </cell>
          <cell r="R56" t="str">
            <v>REALIZADO44090</v>
          </cell>
          <cell r="S56" t="str">
            <v>REALIZADO44091</v>
          </cell>
          <cell r="T56" t="str">
            <v>REALIZADO44092</v>
          </cell>
          <cell r="U56" t="str">
            <v>REALIZADO44093</v>
          </cell>
          <cell r="V56" t="str">
            <v>REALIZADO44094</v>
          </cell>
          <cell r="W56" t="str">
            <v>REALIZADO44095</v>
          </cell>
          <cell r="X56" t="str">
            <v>REALIZADO44096</v>
          </cell>
          <cell r="Y56" t="str">
            <v>REALIZADO44097</v>
          </cell>
          <cell r="Z56" t="str">
            <v>REALIZADO44098</v>
          </cell>
          <cell r="AA56" t="str">
            <v>REALIZADO44099</v>
          </cell>
          <cell r="AB56" t="str">
            <v>REALIZADO44100</v>
          </cell>
          <cell r="AC56" t="str">
            <v>REALIZADO44101</v>
          </cell>
          <cell r="AD56" t="str">
            <v>REALIZADO44102</v>
          </cell>
          <cell r="AE56" t="str">
            <v>REALIZADO44103</v>
          </cell>
          <cell r="AF56" t="str">
            <v>REALIZADO44104</v>
          </cell>
          <cell r="AG56" t="str">
            <v>REALIZADO44105</v>
          </cell>
          <cell r="AH56" t="str">
            <v>REALIZADO44106</v>
          </cell>
          <cell r="AI56" t="str">
            <v>REALIZADO44107</v>
          </cell>
          <cell r="AJ56" t="str">
            <v>REALIZADO44108</v>
          </cell>
          <cell r="AK56" t="str">
            <v>REALIZADO44109</v>
          </cell>
          <cell r="AL56" t="str">
            <v>REALIZADO44110</v>
          </cell>
          <cell r="AM56" t="str">
            <v>REALIZADO44111</v>
          </cell>
          <cell r="AN56" t="str">
            <v>REALIZADO44112</v>
          </cell>
          <cell r="AO56" t="str">
            <v>REALIZADO44113</v>
          </cell>
          <cell r="AP56" t="str">
            <v>REALIZADO44114</v>
          </cell>
          <cell r="AQ56" t="str">
            <v>REALIZADO44115</v>
          </cell>
          <cell r="AR56" t="str">
            <v>REALIZADO44116</v>
          </cell>
          <cell r="AS56" t="str">
            <v>REALIZADO44117</v>
          </cell>
          <cell r="AT56" t="str">
            <v>REALIZADO44118</v>
          </cell>
          <cell r="AU56" t="str">
            <v>REALIZADO44119</v>
          </cell>
          <cell r="AV56" t="str">
            <v>REALIZADO44120</v>
          </cell>
          <cell r="AW56" t="str">
            <v>REALIZADO44121</v>
          </cell>
          <cell r="AX56" t="str">
            <v>REALIZADO44122</v>
          </cell>
          <cell r="AY56" t="str">
            <v>REALIZADO44123</v>
          </cell>
          <cell r="AZ56" t="str">
            <v>REALIZADO44124</v>
          </cell>
          <cell r="BA56" t="str">
            <v>REALIZADO44125</v>
          </cell>
          <cell r="BB56" t="str">
            <v>REALIZADO44126</v>
          </cell>
          <cell r="BC56" t="str">
            <v>REALIZADO44127</v>
          </cell>
          <cell r="BD56" t="str">
            <v>REALIZADO44128</v>
          </cell>
          <cell r="BE56" t="str">
            <v>REALIZADO44129</v>
          </cell>
          <cell r="BF56" t="str">
            <v>REALIZADO44130</v>
          </cell>
          <cell r="BG56" t="str">
            <v>REALIZADO44131</v>
          </cell>
          <cell r="BH56" t="str">
            <v>REALIZADO44132</v>
          </cell>
          <cell r="BI56" t="str">
            <v>REALIZADO44133</v>
          </cell>
          <cell r="BJ56" t="str">
            <v>REALIZADO44134</v>
          </cell>
          <cell r="BK56" t="str">
            <v>REALIZADO44135</v>
          </cell>
          <cell r="BL56" t="str">
            <v>REALIZADO44136</v>
          </cell>
          <cell r="BM56" t="str">
            <v>REALIZADO44137</v>
          </cell>
          <cell r="BN56" t="str">
            <v>REALIZADO44138</v>
          </cell>
          <cell r="BO56" t="str">
            <v>REALIZADO44139</v>
          </cell>
          <cell r="BP56" t="str">
            <v>REALIZADO44140</v>
          </cell>
          <cell r="BQ56" t="str">
            <v>REALIZADO44141</v>
          </cell>
          <cell r="BR56" t="str">
            <v>REALIZADO44142</v>
          </cell>
          <cell r="BS56" t="str">
            <v>REALIZADO44143</v>
          </cell>
          <cell r="BT56" t="str">
            <v>REALIZADO44144</v>
          </cell>
          <cell r="BU56" t="str">
            <v>REALIZADO44145</v>
          </cell>
          <cell r="BV56" t="str">
            <v>REALIZADO44146</v>
          </cell>
          <cell r="BW56" t="str">
            <v>REALIZADO44147</v>
          </cell>
          <cell r="BX56" t="str">
            <v>REALIZADO44148</v>
          </cell>
          <cell r="BY56" t="str">
            <v>REALIZADO44149</v>
          </cell>
          <cell r="BZ56" t="str">
            <v>REALIZADO44150</v>
          </cell>
          <cell r="CA56" t="str">
            <v>REALIZADO44151</v>
          </cell>
          <cell r="CB56" t="str">
            <v>REALIZADO44152</v>
          </cell>
          <cell r="CC56" t="str">
            <v>REALIZADO44153</v>
          </cell>
          <cell r="CD56" t="str">
            <v>REALIZADO44154</v>
          </cell>
          <cell r="CE56" t="str">
            <v>REALIZADO44155</v>
          </cell>
          <cell r="CF56" t="str">
            <v>REALIZADO44156</v>
          </cell>
          <cell r="CG56" t="str">
            <v>REALIZADO44157</v>
          </cell>
          <cell r="CH56" t="str">
            <v>REALIZADO44158</v>
          </cell>
          <cell r="CI56" t="str">
            <v>REALIZADO44159</v>
          </cell>
          <cell r="CJ56" t="str">
            <v>REALIZADO44160</v>
          </cell>
          <cell r="CK56" t="str">
            <v>REALIZADO44161</v>
          </cell>
          <cell r="CL56" t="str">
            <v>REALIZADO44162</v>
          </cell>
          <cell r="CM56" t="str">
            <v>REALIZADO44163</v>
          </cell>
          <cell r="CN56" t="str">
            <v>REALIZADO44164</v>
          </cell>
          <cell r="CO56" t="str">
            <v>REALIZADO44165</v>
          </cell>
          <cell r="CP56" t="str">
            <v>REALIZADO44166</v>
          </cell>
          <cell r="CQ56" t="str">
            <v>REALIZADO44167</v>
          </cell>
          <cell r="CR56" t="str">
            <v>REALIZADO44168</v>
          </cell>
          <cell r="CS56" t="str">
            <v>REALIZADO44169</v>
          </cell>
          <cell r="CT56" t="str">
            <v>REALIZADO44170</v>
          </cell>
          <cell r="CU56" t="str">
            <v>REALIZADO44171</v>
          </cell>
          <cell r="CV56" t="str">
            <v>REALIZADO44172</v>
          </cell>
          <cell r="CW56" t="str">
            <v>REALIZADO44173</v>
          </cell>
          <cell r="CX56" t="str">
            <v>REALIZADO44174</v>
          </cell>
          <cell r="CY56" t="str">
            <v>REALIZADO44175</v>
          </cell>
          <cell r="CZ56" t="str">
            <v>REALIZADO44176</v>
          </cell>
          <cell r="DA56" t="str">
            <v>REALIZADO44177</v>
          </cell>
          <cell r="DB56" t="str">
            <v>REALIZADO44178</v>
          </cell>
          <cell r="DC56" t="str">
            <v>REALIZADO44179</v>
          </cell>
          <cell r="DD56" t="str">
            <v>REALIZADO44180</v>
          </cell>
          <cell r="DE56" t="str">
            <v>REALIZADO44181</v>
          </cell>
          <cell r="DF56" t="str">
            <v>REALIZADO44182</v>
          </cell>
          <cell r="DG56" t="str">
            <v>REALIZADO44183</v>
          </cell>
          <cell r="DH56" t="str">
            <v>REALIZADO44184</v>
          </cell>
          <cell r="DI56" t="str">
            <v>REALIZADO44185</v>
          </cell>
          <cell r="DJ56" t="str">
            <v>REALIZADO44186</v>
          </cell>
          <cell r="DK56" t="str">
            <v>REALIZADO44187</v>
          </cell>
          <cell r="DL56" t="str">
            <v>REALIZADO44188</v>
          </cell>
          <cell r="DM56" t="str">
            <v>REALIZADO44189</v>
          </cell>
          <cell r="DN56" t="str">
            <v>REALIZADO44190</v>
          </cell>
          <cell r="DO56" t="str">
            <v>REALIZADO44191</v>
          </cell>
          <cell r="DP56" t="str">
            <v>REALIZADO44192</v>
          </cell>
          <cell r="DQ56" t="str">
            <v>REALIZADO44193</v>
          </cell>
          <cell r="DR56" t="str">
            <v>REALIZADO44194</v>
          </cell>
        </row>
        <row r="57">
          <cell r="B57" t="str">
            <v>Saldo Inicial</v>
          </cell>
          <cell r="C57">
            <v>100000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entações"/>
      <sheetName val="Plano de Contas"/>
      <sheetName val="Instruções de Uso"/>
      <sheetName val="Validação"/>
      <sheetName val="Base de Dados"/>
      <sheetName val="DRE"/>
      <sheetName val="DRE (2)"/>
      <sheetName val="Fluxo de Caixa | Diário"/>
      <sheetName val="Fluxo de Caixa | Semanal"/>
      <sheetName val="Fluxo de Caixa | Mensal"/>
      <sheetName val="Análises de Ciclo"/>
      <sheetName val="Depreci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C55">
            <v>44075</v>
          </cell>
          <cell r="D55">
            <v>44076</v>
          </cell>
          <cell r="E55">
            <v>44077</v>
          </cell>
          <cell r="F55">
            <v>44078</v>
          </cell>
          <cell r="G55">
            <v>44079</v>
          </cell>
          <cell r="H55">
            <v>44080</v>
          </cell>
          <cell r="I55">
            <v>44081</v>
          </cell>
          <cell r="J55">
            <v>44082</v>
          </cell>
          <cell r="K55">
            <v>44083</v>
          </cell>
          <cell r="L55">
            <v>44084</v>
          </cell>
          <cell r="M55">
            <v>44085</v>
          </cell>
          <cell r="N55">
            <v>44086</v>
          </cell>
          <cell r="O55">
            <v>44087</v>
          </cell>
          <cell r="P55">
            <v>44088</v>
          </cell>
          <cell r="Q55">
            <v>44089</v>
          </cell>
          <cell r="R55">
            <v>44090</v>
          </cell>
          <cell r="S55">
            <v>44091</v>
          </cell>
          <cell r="T55">
            <v>44092</v>
          </cell>
          <cell r="U55">
            <v>44093</v>
          </cell>
          <cell r="V55">
            <v>44094</v>
          </cell>
          <cell r="W55">
            <v>44095</v>
          </cell>
          <cell r="X55">
            <v>44096</v>
          </cell>
          <cell r="Y55">
            <v>44097</v>
          </cell>
          <cell r="Z55">
            <v>44098</v>
          </cell>
          <cell r="AA55">
            <v>44099</v>
          </cell>
          <cell r="AB55">
            <v>44100</v>
          </cell>
          <cell r="AC55">
            <v>44101</v>
          </cell>
          <cell r="AD55">
            <v>44102</v>
          </cell>
          <cell r="AE55">
            <v>44103</v>
          </cell>
          <cell r="AF55">
            <v>44104</v>
          </cell>
          <cell r="AG55">
            <v>44105</v>
          </cell>
          <cell r="AH55">
            <v>44106</v>
          </cell>
          <cell r="AI55">
            <v>44107</v>
          </cell>
          <cell r="AJ55">
            <v>44108</v>
          </cell>
          <cell r="AK55">
            <v>44109</v>
          </cell>
          <cell r="AL55">
            <v>44110</v>
          </cell>
          <cell r="AM55">
            <v>44111</v>
          </cell>
          <cell r="AN55">
            <v>44112</v>
          </cell>
          <cell r="AO55">
            <v>44113</v>
          </cell>
          <cell r="AP55">
            <v>44114</v>
          </cell>
          <cell r="AQ55">
            <v>44115</v>
          </cell>
          <cell r="AR55">
            <v>44116</v>
          </cell>
          <cell r="AS55">
            <v>44117</v>
          </cell>
          <cell r="AT55">
            <v>44118</v>
          </cell>
          <cell r="AU55">
            <v>44119</v>
          </cell>
          <cell r="AV55">
            <v>44120</v>
          </cell>
          <cell r="AW55">
            <v>44121</v>
          </cell>
          <cell r="AX55">
            <v>44122</v>
          </cell>
          <cell r="AY55">
            <v>44123</v>
          </cell>
          <cell r="AZ55">
            <v>44124</v>
          </cell>
          <cell r="BA55">
            <v>44125</v>
          </cell>
          <cell r="BB55">
            <v>44126</v>
          </cell>
          <cell r="BC55">
            <v>44127</v>
          </cell>
          <cell r="BD55">
            <v>44128</v>
          </cell>
          <cell r="BE55">
            <v>44129</v>
          </cell>
          <cell r="BF55">
            <v>44130</v>
          </cell>
          <cell r="BG55">
            <v>44131</v>
          </cell>
          <cell r="BH55">
            <v>44132</v>
          </cell>
          <cell r="BI55">
            <v>44133</v>
          </cell>
          <cell r="BJ55">
            <v>44134</v>
          </cell>
          <cell r="BK55">
            <v>44135</v>
          </cell>
          <cell r="BL55">
            <v>44136</v>
          </cell>
          <cell r="BM55">
            <v>44137</v>
          </cell>
          <cell r="BN55">
            <v>44138</v>
          </cell>
          <cell r="BO55">
            <v>44139</v>
          </cell>
          <cell r="BP55">
            <v>44140</v>
          </cell>
          <cell r="BQ55">
            <v>44141</v>
          </cell>
          <cell r="BR55">
            <v>44142</v>
          </cell>
          <cell r="BS55">
            <v>44143</v>
          </cell>
          <cell r="BT55">
            <v>44144</v>
          </cell>
          <cell r="BU55">
            <v>44145</v>
          </cell>
          <cell r="BV55">
            <v>44146</v>
          </cell>
          <cell r="BW55">
            <v>44147</v>
          </cell>
          <cell r="BX55">
            <v>44148</v>
          </cell>
          <cell r="BY55">
            <v>44149</v>
          </cell>
          <cell r="BZ55">
            <v>44150</v>
          </cell>
          <cell r="CA55">
            <v>44151</v>
          </cell>
          <cell r="CB55">
            <v>44152</v>
          </cell>
          <cell r="CC55">
            <v>44153</v>
          </cell>
          <cell r="CD55">
            <v>44154</v>
          </cell>
          <cell r="CE55">
            <v>44155</v>
          </cell>
          <cell r="CF55">
            <v>44156</v>
          </cell>
          <cell r="CG55">
            <v>44157</v>
          </cell>
          <cell r="CH55">
            <v>44158</v>
          </cell>
          <cell r="CI55">
            <v>44159</v>
          </cell>
          <cell r="CJ55">
            <v>44160</v>
          </cell>
          <cell r="CK55">
            <v>44161</v>
          </cell>
          <cell r="CL55">
            <v>44162</v>
          </cell>
          <cell r="CM55">
            <v>44163</v>
          </cell>
          <cell r="CN55">
            <v>44164</v>
          </cell>
          <cell r="CO55">
            <v>44165</v>
          </cell>
          <cell r="CP55">
            <v>44166</v>
          </cell>
          <cell r="CQ55">
            <v>44167</v>
          </cell>
          <cell r="CR55">
            <v>44168</v>
          </cell>
          <cell r="CS55">
            <v>44169</v>
          </cell>
          <cell r="CT55">
            <v>44170</v>
          </cell>
          <cell r="CU55">
            <v>44171</v>
          </cell>
          <cell r="CV55">
            <v>44172</v>
          </cell>
          <cell r="CW55">
            <v>44173</v>
          </cell>
          <cell r="CX55">
            <v>44174</v>
          </cell>
          <cell r="CY55">
            <v>44175</v>
          </cell>
          <cell r="CZ55">
            <v>44176</v>
          </cell>
          <cell r="DA55">
            <v>44177</v>
          </cell>
          <cell r="DB55">
            <v>44178</v>
          </cell>
          <cell r="DC55">
            <v>44179</v>
          </cell>
          <cell r="DD55">
            <v>44180</v>
          </cell>
          <cell r="DE55">
            <v>44181</v>
          </cell>
          <cell r="DF55">
            <v>44182</v>
          </cell>
          <cell r="DG55">
            <v>44183</v>
          </cell>
          <cell r="DH55">
            <v>44184</v>
          </cell>
          <cell r="DI55">
            <v>44185</v>
          </cell>
          <cell r="DJ55">
            <v>44186</v>
          </cell>
          <cell r="DK55">
            <v>44187</v>
          </cell>
          <cell r="DL55">
            <v>44188</v>
          </cell>
          <cell r="DM55">
            <v>44189</v>
          </cell>
          <cell r="DN55">
            <v>44190</v>
          </cell>
          <cell r="DO55">
            <v>44191</v>
          </cell>
          <cell r="DP55">
            <v>44192</v>
          </cell>
          <cell r="DQ55">
            <v>44193</v>
          </cell>
          <cell r="DR55">
            <v>44194</v>
          </cell>
        </row>
        <row r="56">
          <cell r="C56" t="str">
            <v>REALIZADO44075</v>
          </cell>
          <cell r="D56" t="str">
            <v>REALIZADO44076</v>
          </cell>
          <cell r="E56" t="str">
            <v>REALIZADO44077</v>
          </cell>
          <cell r="F56" t="str">
            <v>REALIZADO44078</v>
          </cell>
          <cell r="G56" t="str">
            <v>REALIZADO44079</v>
          </cell>
          <cell r="H56" t="str">
            <v>REALIZADO44080</v>
          </cell>
          <cell r="I56" t="str">
            <v>REALIZADO44081</v>
          </cell>
          <cell r="J56" t="str">
            <v>REALIZADO44082</v>
          </cell>
          <cell r="K56" t="str">
            <v>REALIZADO44083</v>
          </cell>
          <cell r="L56" t="str">
            <v>REALIZADO44084</v>
          </cell>
          <cell r="M56" t="str">
            <v>REALIZADO44085</v>
          </cell>
          <cell r="N56" t="str">
            <v>REALIZADO44086</v>
          </cell>
          <cell r="O56" t="str">
            <v>REALIZADO44087</v>
          </cell>
          <cell r="P56" t="str">
            <v>REALIZADO44088</v>
          </cell>
          <cell r="Q56" t="str">
            <v>REALIZADO44089</v>
          </cell>
          <cell r="R56" t="str">
            <v>REALIZADO44090</v>
          </cell>
          <cell r="S56" t="str">
            <v>REALIZADO44091</v>
          </cell>
          <cell r="T56" t="str">
            <v>REALIZADO44092</v>
          </cell>
          <cell r="U56" t="str">
            <v>REALIZADO44093</v>
          </cell>
          <cell r="V56" t="str">
            <v>REALIZADO44094</v>
          </cell>
          <cell r="W56" t="str">
            <v>REALIZADO44095</v>
          </cell>
          <cell r="X56" t="str">
            <v>REALIZADO44096</v>
          </cell>
          <cell r="Y56" t="str">
            <v>REALIZADO44097</v>
          </cell>
          <cell r="Z56" t="str">
            <v>REALIZADO44098</v>
          </cell>
          <cell r="AA56" t="str">
            <v>REALIZADO44099</v>
          </cell>
          <cell r="AB56" t="str">
            <v>REALIZADO44100</v>
          </cell>
          <cell r="AC56" t="str">
            <v>REALIZADO44101</v>
          </cell>
          <cell r="AD56" t="str">
            <v>REALIZADO44102</v>
          </cell>
          <cell r="AE56" t="str">
            <v>REALIZADO44103</v>
          </cell>
          <cell r="AF56" t="str">
            <v>REALIZADO44104</v>
          </cell>
          <cell r="AG56" t="str">
            <v>REALIZADO44105</v>
          </cell>
          <cell r="AH56" t="str">
            <v>REALIZADO44106</v>
          </cell>
          <cell r="AI56" t="str">
            <v>REALIZADO44107</v>
          </cell>
          <cell r="AJ56" t="str">
            <v>REALIZADO44108</v>
          </cell>
          <cell r="AK56" t="str">
            <v>REALIZADO44109</v>
          </cell>
          <cell r="AL56" t="str">
            <v>REALIZADO44110</v>
          </cell>
          <cell r="AM56" t="str">
            <v>REALIZADO44111</v>
          </cell>
          <cell r="AN56" t="str">
            <v>REALIZADO44112</v>
          </cell>
          <cell r="AO56" t="str">
            <v>REALIZADO44113</v>
          </cell>
          <cell r="AP56" t="str">
            <v>REALIZADO44114</v>
          </cell>
          <cell r="AQ56" t="str">
            <v>REALIZADO44115</v>
          </cell>
          <cell r="AR56" t="str">
            <v>REALIZADO44116</v>
          </cell>
          <cell r="AS56" t="str">
            <v>REALIZADO44117</v>
          </cell>
          <cell r="AT56" t="str">
            <v>REALIZADO44118</v>
          </cell>
          <cell r="AU56" t="str">
            <v>REALIZADO44119</v>
          </cell>
          <cell r="AV56" t="str">
            <v>REALIZADO44120</v>
          </cell>
          <cell r="AW56" t="str">
            <v>REALIZADO44121</v>
          </cell>
          <cell r="AX56" t="str">
            <v>REALIZADO44122</v>
          </cell>
          <cell r="AY56" t="str">
            <v>REALIZADO44123</v>
          </cell>
          <cell r="AZ56" t="str">
            <v>REALIZADO44124</v>
          </cell>
          <cell r="BA56" t="str">
            <v>REALIZADO44125</v>
          </cell>
          <cell r="BB56" t="str">
            <v>REALIZADO44126</v>
          </cell>
          <cell r="BC56" t="str">
            <v>REALIZADO44127</v>
          </cell>
          <cell r="BD56" t="str">
            <v>REALIZADO44128</v>
          </cell>
          <cell r="BE56" t="str">
            <v>REALIZADO44129</v>
          </cell>
          <cell r="BF56" t="str">
            <v>REALIZADO44130</v>
          </cell>
          <cell r="BG56" t="str">
            <v>REALIZADO44131</v>
          </cell>
          <cell r="BH56" t="str">
            <v>REALIZADO44132</v>
          </cell>
          <cell r="BI56" t="str">
            <v>REALIZADO44133</v>
          </cell>
          <cell r="BJ56" t="str">
            <v>REALIZADO44134</v>
          </cell>
          <cell r="BK56" t="str">
            <v>REALIZADO44135</v>
          </cell>
          <cell r="BL56" t="str">
            <v>REALIZADO44136</v>
          </cell>
          <cell r="BM56" t="str">
            <v>REALIZADO44137</v>
          </cell>
          <cell r="BN56" t="str">
            <v>REALIZADO44138</v>
          </cell>
          <cell r="BO56" t="str">
            <v>REALIZADO44139</v>
          </cell>
          <cell r="BP56" t="str">
            <v>REALIZADO44140</v>
          </cell>
          <cell r="BQ56" t="str">
            <v>REALIZADO44141</v>
          </cell>
          <cell r="BR56" t="str">
            <v>REALIZADO44142</v>
          </cell>
          <cell r="BS56" t="str">
            <v>REALIZADO44143</v>
          </cell>
          <cell r="BT56" t="str">
            <v>REALIZADO44144</v>
          </cell>
          <cell r="BU56" t="str">
            <v>REALIZADO44145</v>
          </cell>
          <cell r="BV56" t="str">
            <v>REALIZADO44146</v>
          </cell>
          <cell r="BW56" t="str">
            <v>REALIZADO44147</v>
          </cell>
          <cell r="BX56" t="str">
            <v>REALIZADO44148</v>
          </cell>
          <cell r="BY56" t="str">
            <v>REALIZADO44149</v>
          </cell>
          <cell r="BZ56" t="str">
            <v>REALIZADO44150</v>
          </cell>
          <cell r="CA56" t="str">
            <v>REALIZADO44151</v>
          </cell>
          <cell r="CB56" t="str">
            <v>REALIZADO44152</v>
          </cell>
          <cell r="CC56" t="str">
            <v>REALIZADO44153</v>
          </cell>
          <cell r="CD56" t="str">
            <v>REALIZADO44154</v>
          </cell>
          <cell r="CE56" t="str">
            <v>REALIZADO44155</v>
          </cell>
          <cell r="CF56" t="str">
            <v>REALIZADO44156</v>
          </cell>
          <cell r="CG56" t="str">
            <v>REALIZADO44157</v>
          </cell>
          <cell r="CH56" t="str">
            <v>REALIZADO44158</v>
          </cell>
          <cell r="CI56" t="str">
            <v>REALIZADO44159</v>
          </cell>
          <cell r="CJ56" t="str">
            <v>REALIZADO44160</v>
          </cell>
          <cell r="CK56" t="str">
            <v>REALIZADO44161</v>
          </cell>
          <cell r="CL56" t="str">
            <v>REALIZADO44162</v>
          </cell>
          <cell r="CM56" t="str">
            <v>REALIZADO44163</v>
          </cell>
          <cell r="CN56" t="str">
            <v>REALIZADO44164</v>
          </cell>
          <cell r="CO56" t="str">
            <v>REALIZADO44165</v>
          </cell>
          <cell r="CP56" t="str">
            <v>REALIZADO44166</v>
          </cell>
          <cell r="CQ56" t="str">
            <v>REALIZADO44167</v>
          </cell>
          <cell r="CR56" t="str">
            <v>REALIZADO44168</v>
          </cell>
          <cell r="CS56" t="str">
            <v>REALIZADO44169</v>
          </cell>
          <cell r="CT56" t="str">
            <v>REALIZADO44170</v>
          </cell>
          <cell r="CU56" t="str">
            <v>REALIZADO44171</v>
          </cell>
          <cell r="CV56" t="str">
            <v>REALIZADO44172</v>
          </cell>
          <cell r="CW56" t="str">
            <v>REALIZADO44173</v>
          </cell>
          <cell r="CX56" t="str">
            <v>REALIZADO44174</v>
          </cell>
          <cell r="CY56" t="str">
            <v>REALIZADO44175</v>
          </cell>
          <cell r="CZ56" t="str">
            <v>REALIZADO44176</v>
          </cell>
          <cell r="DA56" t="str">
            <v>REALIZADO44177</v>
          </cell>
          <cell r="DB56" t="str">
            <v>REALIZADO44178</v>
          </cell>
          <cell r="DC56" t="str">
            <v>REALIZADO44179</v>
          </cell>
          <cell r="DD56" t="str">
            <v>REALIZADO44180</v>
          </cell>
          <cell r="DE56" t="str">
            <v>REALIZADO44181</v>
          </cell>
          <cell r="DF56" t="str">
            <v>REALIZADO44182</v>
          </cell>
          <cell r="DG56" t="str">
            <v>REALIZADO44183</v>
          </cell>
          <cell r="DH56" t="str">
            <v>REALIZADO44184</v>
          </cell>
          <cell r="DI56" t="str">
            <v>REALIZADO44185</v>
          </cell>
          <cell r="DJ56" t="str">
            <v>REALIZADO44186</v>
          </cell>
          <cell r="DK56" t="str">
            <v>REALIZADO44187</v>
          </cell>
          <cell r="DL56" t="str">
            <v>REALIZADO44188</v>
          </cell>
          <cell r="DM56" t="str">
            <v>REALIZADO44189</v>
          </cell>
          <cell r="DN56" t="str">
            <v>REALIZADO44190</v>
          </cell>
          <cell r="DO56" t="str">
            <v>REALIZADO44191</v>
          </cell>
          <cell r="DP56" t="str">
            <v>REALIZADO44192</v>
          </cell>
          <cell r="DQ56" t="str">
            <v>REALIZADO44193</v>
          </cell>
          <cell r="DR56" t="str">
            <v>REALIZADO44194</v>
          </cell>
        </row>
        <row r="57">
          <cell r="B57" t="str">
            <v>Saldo Inicial</v>
          </cell>
          <cell r="C57">
            <v>100000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ção"/>
      <sheetName val="Fluxo de Caixa | Diário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8BD4-4082-4DFD-9C65-079E1FCAFB93}">
  <dimension ref="A1:U171"/>
  <sheetViews>
    <sheetView showGridLines="0" tabSelected="1" zoomScale="80" zoomScaleNormal="80" workbookViewId="0">
      <selection activeCell="A4" sqref="A4"/>
    </sheetView>
  </sheetViews>
  <sheetFormatPr defaultRowHeight="15" x14ac:dyDescent="0.25"/>
  <cols>
    <col min="1" max="1" width="51.25" style="3" customWidth="1"/>
    <col min="2" max="2" width="91.875" style="3" customWidth="1"/>
    <col min="3" max="3" width="7.5" style="3" bestFit="1" customWidth="1"/>
    <col min="4" max="4" width="16.75" style="3" customWidth="1"/>
    <col min="5" max="5" width="24.125" style="3" bestFit="1" customWidth="1"/>
    <col min="6" max="6" width="17.625" style="3" customWidth="1"/>
    <col min="7" max="7" width="7.875" style="3" bestFit="1" customWidth="1"/>
    <col min="8" max="8" width="24.125" style="3" bestFit="1" customWidth="1"/>
    <col min="9" max="16384" width="9" style="3"/>
  </cols>
  <sheetData>
    <row r="1" spans="1:21" x14ac:dyDescent="0.25">
      <c r="A1" s="1"/>
      <c r="B1" s="1"/>
      <c r="C1" s="1"/>
      <c r="D1" s="1"/>
      <c r="E1" s="1"/>
      <c r="F1" s="1"/>
      <c r="G1" s="1"/>
      <c r="H1" s="2"/>
      <c r="U1" s="3" t="s">
        <v>0</v>
      </c>
    </row>
    <row r="2" spans="1:21" x14ac:dyDescent="0.25">
      <c r="A2" s="1"/>
      <c r="B2" s="1"/>
      <c r="C2" s="1"/>
      <c r="D2" s="1"/>
      <c r="E2" s="1"/>
      <c r="F2" s="1"/>
      <c r="G2" s="1"/>
      <c r="H2" s="2"/>
    </row>
    <row r="3" spans="1:21" x14ac:dyDescent="0.25">
      <c r="A3" s="4" t="s">
        <v>151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2"/>
    </row>
    <row r="4" spans="1:21" ht="50.1" customHeight="1" x14ac:dyDescent="0.25">
      <c r="A4" s="5" t="s">
        <v>7</v>
      </c>
      <c r="B4" s="6" t="s">
        <v>8</v>
      </c>
      <c r="C4" s="7">
        <v>1</v>
      </c>
      <c r="D4" s="8"/>
      <c r="E4" s="9">
        <v>1</v>
      </c>
      <c r="F4" s="10"/>
      <c r="G4" s="2"/>
    </row>
    <row r="5" spans="1:21" ht="50.1" customHeight="1" x14ac:dyDescent="0.25">
      <c r="A5" s="5" t="s">
        <v>7</v>
      </c>
      <c r="B5" s="6" t="s">
        <v>9</v>
      </c>
      <c r="C5" s="7">
        <f>C4+1</f>
        <v>2</v>
      </c>
      <c r="D5" s="8"/>
      <c r="E5" s="9">
        <v>1</v>
      </c>
      <c r="F5" s="10"/>
      <c r="G5" s="2"/>
    </row>
    <row r="6" spans="1:21" ht="50.1" customHeight="1" x14ac:dyDescent="0.25">
      <c r="A6" s="5" t="s">
        <v>7</v>
      </c>
      <c r="B6" s="6" t="s">
        <v>10</v>
      </c>
      <c r="C6" s="7">
        <f t="shared" ref="C6:C69" si="0">C5+1</f>
        <v>3</v>
      </c>
      <c r="D6" s="8"/>
      <c r="E6" s="9">
        <v>1</v>
      </c>
      <c r="F6" s="10"/>
      <c r="G6" s="2"/>
    </row>
    <row r="7" spans="1:21" ht="50.1" customHeight="1" x14ac:dyDescent="0.25">
      <c r="A7" s="5" t="s">
        <v>7</v>
      </c>
      <c r="B7" s="6" t="s">
        <v>11</v>
      </c>
      <c r="C7" s="7">
        <f t="shared" si="0"/>
        <v>4</v>
      </c>
      <c r="D7" s="8"/>
      <c r="E7" s="9">
        <v>1</v>
      </c>
      <c r="F7" s="10"/>
      <c r="G7" s="2"/>
    </row>
    <row r="8" spans="1:21" ht="50.1" customHeight="1" x14ac:dyDescent="0.25">
      <c r="A8" s="5" t="s">
        <v>7</v>
      </c>
      <c r="B8" s="6" t="s">
        <v>12</v>
      </c>
      <c r="C8" s="7">
        <f t="shared" si="0"/>
        <v>5</v>
      </c>
      <c r="D8" s="8"/>
      <c r="E8" s="9">
        <v>1</v>
      </c>
      <c r="F8" s="10"/>
      <c r="G8" s="2"/>
    </row>
    <row r="9" spans="1:21" ht="50.1" customHeight="1" x14ac:dyDescent="0.25">
      <c r="A9" s="5" t="s">
        <v>7</v>
      </c>
      <c r="B9" s="6" t="s">
        <v>13</v>
      </c>
      <c r="C9" s="7">
        <f t="shared" si="0"/>
        <v>6</v>
      </c>
      <c r="D9" s="8"/>
      <c r="E9" s="9">
        <v>1</v>
      </c>
      <c r="F9" s="10"/>
      <c r="G9" s="2"/>
    </row>
    <row r="10" spans="1:21" ht="50.1" customHeight="1" x14ac:dyDescent="0.25">
      <c r="A10" s="5" t="s">
        <v>7</v>
      </c>
      <c r="B10" s="6" t="s">
        <v>14</v>
      </c>
      <c r="C10" s="7">
        <f t="shared" si="0"/>
        <v>7</v>
      </c>
      <c r="D10" s="8"/>
      <c r="E10" s="9">
        <v>1</v>
      </c>
      <c r="F10" s="10"/>
      <c r="G10" s="2"/>
    </row>
    <row r="11" spans="1:21" ht="50.1" customHeight="1" x14ac:dyDescent="0.25">
      <c r="A11" s="5" t="s">
        <v>7</v>
      </c>
      <c r="B11" s="6" t="s">
        <v>15</v>
      </c>
      <c r="C11" s="7">
        <f t="shared" si="0"/>
        <v>8</v>
      </c>
      <c r="D11" s="8"/>
      <c r="E11" s="9">
        <v>1</v>
      </c>
      <c r="F11" s="10"/>
      <c r="G11" s="11"/>
    </row>
    <row r="12" spans="1:21" ht="50.1" customHeight="1" x14ac:dyDescent="0.25">
      <c r="A12" s="5" t="s">
        <v>7</v>
      </c>
      <c r="B12" s="6" t="s">
        <v>16</v>
      </c>
      <c r="C12" s="7">
        <f t="shared" si="0"/>
        <v>9</v>
      </c>
      <c r="D12" s="8"/>
      <c r="E12" s="9">
        <v>1</v>
      </c>
      <c r="F12" s="10"/>
      <c r="G12" s="2"/>
    </row>
    <row r="13" spans="1:21" ht="50.1" customHeight="1" x14ac:dyDescent="0.25">
      <c r="A13" s="5" t="s">
        <v>7</v>
      </c>
      <c r="B13" s="6" t="s">
        <v>17</v>
      </c>
      <c r="C13" s="7">
        <f t="shared" si="0"/>
        <v>10</v>
      </c>
      <c r="D13" s="8"/>
      <c r="E13" s="9">
        <v>1</v>
      </c>
      <c r="F13" s="10"/>
      <c r="G13" s="2"/>
    </row>
    <row r="14" spans="1:21" ht="50.1" customHeight="1" x14ac:dyDescent="0.25">
      <c r="A14" s="5" t="s">
        <v>7</v>
      </c>
      <c r="B14" s="6" t="s">
        <v>18</v>
      </c>
      <c r="C14" s="7">
        <f t="shared" si="0"/>
        <v>11</v>
      </c>
      <c r="D14" s="8"/>
      <c r="E14" s="9">
        <v>1</v>
      </c>
      <c r="F14" s="10"/>
      <c r="G14" s="2"/>
    </row>
    <row r="15" spans="1:21" ht="50.1" customHeight="1" x14ac:dyDescent="0.25">
      <c r="A15" s="5" t="s">
        <v>7</v>
      </c>
      <c r="B15" s="6" t="s">
        <v>19</v>
      </c>
      <c r="C15" s="7">
        <f t="shared" si="0"/>
        <v>12</v>
      </c>
      <c r="D15" s="8"/>
      <c r="E15" s="9">
        <v>1</v>
      </c>
      <c r="F15" s="10"/>
      <c r="G15" s="2"/>
    </row>
    <row r="16" spans="1:21" ht="50.1" customHeight="1" x14ac:dyDescent="0.25">
      <c r="A16" s="5" t="s">
        <v>7</v>
      </c>
      <c r="B16" s="6" t="s">
        <v>20</v>
      </c>
      <c r="C16" s="7">
        <f t="shared" si="0"/>
        <v>13</v>
      </c>
      <c r="D16" s="8"/>
      <c r="E16" s="9">
        <v>1</v>
      </c>
      <c r="F16" s="10"/>
      <c r="G16" s="2"/>
    </row>
    <row r="17" spans="1:7" ht="50.1" customHeight="1" x14ac:dyDescent="0.25">
      <c r="A17" s="5" t="s">
        <v>7</v>
      </c>
      <c r="B17" s="6" t="s">
        <v>21</v>
      </c>
      <c r="C17" s="7">
        <f t="shared" si="0"/>
        <v>14</v>
      </c>
      <c r="D17" s="8"/>
      <c r="E17" s="9"/>
      <c r="F17" s="10"/>
      <c r="G17" s="2"/>
    </row>
    <row r="18" spans="1:7" ht="50.1" customHeight="1" x14ac:dyDescent="0.25">
      <c r="A18" s="5" t="s">
        <v>7</v>
      </c>
      <c r="B18" s="12" t="s">
        <v>22</v>
      </c>
      <c r="C18" s="7">
        <f t="shared" si="0"/>
        <v>15</v>
      </c>
      <c r="D18" s="8"/>
      <c r="E18" s="9">
        <v>1</v>
      </c>
      <c r="F18" s="10"/>
      <c r="G18" s="2"/>
    </row>
    <row r="19" spans="1:7" ht="50.1" customHeight="1" x14ac:dyDescent="0.25">
      <c r="A19" s="5" t="s">
        <v>7</v>
      </c>
      <c r="B19" s="6" t="s">
        <v>23</v>
      </c>
      <c r="C19" s="7">
        <f t="shared" si="0"/>
        <v>16</v>
      </c>
      <c r="D19" s="8"/>
      <c r="E19" s="9">
        <v>1</v>
      </c>
      <c r="F19" s="10"/>
      <c r="G19" s="2"/>
    </row>
    <row r="20" spans="1:7" ht="50.1" customHeight="1" x14ac:dyDescent="0.25">
      <c r="A20" s="13" t="s">
        <v>7</v>
      </c>
      <c r="B20" s="6" t="s">
        <v>24</v>
      </c>
      <c r="C20" s="7">
        <f t="shared" si="0"/>
        <v>17</v>
      </c>
      <c r="D20" s="8"/>
      <c r="E20" s="9">
        <v>1</v>
      </c>
      <c r="F20" s="10"/>
      <c r="G20" s="2"/>
    </row>
    <row r="21" spans="1:7" ht="50.1" customHeight="1" x14ac:dyDescent="0.25">
      <c r="A21" s="5" t="s">
        <v>25</v>
      </c>
      <c r="B21" s="6" t="s">
        <v>26</v>
      </c>
      <c r="C21" s="7">
        <f t="shared" si="0"/>
        <v>18</v>
      </c>
      <c r="D21" s="8"/>
      <c r="E21" s="9">
        <v>1</v>
      </c>
      <c r="F21" s="9" t="s">
        <v>27</v>
      </c>
      <c r="G21" s="2"/>
    </row>
    <row r="22" spans="1:7" ht="50.1" customHeight="1" x14ac:dyDescent="0.25">
      <c r="A22" s="5" t="s">
        <v>25</v>
      </c>
      <c r="B22" s="6" t="s">
        <v>28</v>
      </c>
      <c r="C22" s="7">
        <f t="shared" si="0"/>
        <v>19</v>
      </c>
      <c r="D22" s="8"/>
      <c r="E22" s="9">
        <v>1</v>
      </c>
      <c r="F22" s="9" t="s">
        <v>27</v>
      </c>
      <c r="G22" s="2"/>
    </row>
    <row r="23" spans="1:7" ht="50.1" customHeight="1" x14ac:dyDescent="0.25">
      <c r="A23" s="5" t="s">
        <v>25</v>
      </c>
      <c r="B23" s="6" t="s">
        <v>29</v>
      </c>
      <c r="C23" s="7">
        <f t="shared" si="0"/>
        <v>20</v>
      </c>
      <c r="D23" s="8"/>
      <c r="E23" s="9">
        <v>1</v>
      </c>
      <c r="F23" s="9" t="s">
        <v>30</v>
      </c>
      <c r="G23" s="2"/>
    </row>
    <row r="24" spans="1:7" ht="50.1" customHeight="1" x14ac:dyDescent="0.25">
      <c r="A24" s="5" t="s">
        <v>25</v>
      </c>
      <c r="B24" s="6" t="s">
        <v>31</v>
      </c>
      <c r="C24" s="7">
        <f t="shared" si="0"/>
        <v>21</v>
      </c>
      <c r="D24" s="8"/>
      <c r="E24" s="9">
        <v>1</v>
      </c>
      <c r="F24" s="9" t="s">
        <v>30</v>
      </c>
      <c r="G24" s="2"/>
    </row>
    <row r="25" spans="1:7" ht="50.1" customHeight="1" x14ac:dyDescent="0.25">
      <c r="A25" s="5" t="s">
        <v>25</v>
      </c>
      <c r="B25" s="6" t="s">
        <v>32</v>
      </c>
      <c r="C25" s="7">
        <f t="shared" si="0"/>
        <v>22</v>
      </c>
      <c r="D25" s="8"/>
      <c r="E25" s="9">
        <v>1</v>
      </c>
      <c r="F25" s="9" t="s">
        <v>27</v>
      </c>
      <c r="G25" s="2"/>
    </row>
    <row r="26" spans="1:7" ht="50.1" customHeight="1" x14ac:dyDescent="0.25">
      <c r="A26" s="5" t="s">
        <v>25</v>
      </c>
      <c r="B26" s="6" t="s">
        <v>33</v>
      </c>
      <c r="C26" s="7">
        <f t="shared" si="0"/>
        <v>23</v>
      </c>
      <c r="D26" s="8"/>
      <c r="E26" s="9">
        <v>1</v>
      </c>
      <c r="F26" s="9" t="s">
        <v>27</v>
      </c>
      <c r="G26" s="2"/>
    </row>
    <row r="27" spans="1:7" ht="50.1" customHeight="1" x14ac:dyDescent="0.25">
      <c r="A27" s="13" t="s">
        <v>25</v>
      </c>
      <c r="B27" s="6" t="s">
        <v>34</v>
      </c>
      <c r="C27" s="7">
        <f t="shared" si="0"/>
        <v>24</v>
      </c>
      <c r="D27" s="8"/>
      <c r="E27" s="9">
        <v>1</v>
      </c>
      <c r="F27" s="10"/>
      <c r="G27" s="2"/>
    </row>
    <row r="28" spans="1:7" ht="50.1" customHeight="1" x14ac:dyDescent="0.25">
      <c r="A28" s="13" t="s">
        <v>25</v>
      </c>
      <c r="B28" s="6" t="s">
        <v>35</v>
      </c>
      <c r="C28" s="7">
        <f t="shared" si="0"/>
        <v>25</v>
      </c>
      <c r="D28" s="8"/>
      <c r="E28" s="9">
        <v>1</v>
      </c>
      <c r="F28" s="10"/>
      <c r="G28" s="2"/>
    </row>
    <row r="29" spans="1:7" ht="50.1" customHeight="1" x14ac:dyDescent="0.25">
      <c r="A29" s="13" t="s">
        <v>25</v>
      </c>
      <c r="B29" s="6" t="s">
        <v>36</v>
      </c>
      <c r="C29" s="7">
        <f t="shared" si="0"/>
        <v>26</v>
      </c>
      <c r="D29" s="8"/>
      <c r="E29" s="9">
        <v>1</v>
      </c>
      <c r="F29" s="10"/>
      <c r="G29" s="2"/>
    </row>
    <row r="30" spans="1:7" ht="50.1" customHeight="1" x14ac:dyDescent="0.25">
      <c r="A30" s="13" t="s">
        <v>25</v>
      </c>
      <c r="B30" s="6" t="s">
        <v>37</v>
      </c>
      <c r="C30" s="7">
        <f t="shared" si="0"/>
        <v>27</v>
      </c>
      <c r="D30" s="8"/>
      <c r="E30" s="9">
        <v>1</v>
      </c>
      <c r="F30" s="10"/>
      <c r="G30" s="2"/>
    </row>
    <row r="31" spans="1:7" ht="50.1" customHeight="1" x14ac:dyDescent="0.25">
      <c r="A31" s="13" t="s">
        <v>25</v>
      </c>
      <c r="B31" s="6" t="s">
        <v>38</v>
      </c>
      <c r="C31" s="7">
        <f t="shared" si="0"/>
        <v>28</v>
      </c>
      <c r="D31" s="8"/>
      <c r="E31" s="9">
        <v>1</v>
      </c>
      <c r="F31" s="10"/>
      <c r="G31" s="2"/>
    </row>
    <row r="32" spans="1:7" ht="50.1" customHeight="1" x14ac:dyDescent="0.25">
      <c r="A32" s="13" t="s">
        <v>25</v>
      </c>
      <c r="B32" s="6" t="s">
        <v>39</v>
      </c>
      <c r="C32" s="7">
        <f t="shared" si="0"/>
        <v>29</v>
      </c>
      <c r="D32" s="8"/>
      <c r="E32" s="9">
        <v>1</v>
      </c>
      <c r="F32" s="10"/>
      <c r="G32" s="2"/>
    </row>
    <row r="33" spans="1:8" ht="50.1" customHeight="1" x14ac:dyDescent="0.25">
      <c r="A33" s="13" t="s">
        <v>25</v>
      </c>
      <c r="B33" s="6" t="s">
        <v>40</v>
      </c>
      <c r="C33" s="7">
        <f t="shared" si="0"/>
        <v>30</v>
      </c>
      <c r="D33" s="8"/>
      <c r="E33" s="9">
        <v>1</v>
      </c>
      <c r="F33" s="10"/>
      <c r="G33" s="2"/>
    </row>
    <row r="34" spans="1:8" ht="50.1" customHeight="1" x14ac:dyDescent="0.25">
      <c r="A34" s="13" t="s">
        <v>25</v>
      </c>
      <c r="B34" s="6" t="s">
        <v>41</v>
      </c>
      <c r="C34" s="7">
        <f t="shared" si="0"/>
        <v>31</v>
      </c>
      <c r="D34" s="8"/>
      <c r="E34" s="9">
        <v>1</v>
      </c>
      <c r="F34" s="10"/>
      <c r="G34" s="2"/>
    </row>
    <row r="35" spans="1:8" ht="50.1" customHeight="1" x14ac:dyDescent="0.25">
      <c r="A35" s="13" t="s">
        <v>25</v>
      </c>
      <c r="B35" s="6" t="s">
        <v>42</v>
      </c>
      <c r="C35" s="7">
        <f t="shared" si="0"/>
        <v>32</v>
      </c>
      <c r="D35" s="8"/>
      <c r="E35" s="9">
        <v>1</v>
      </c>
      <c r="F35" s="9" t="s">
        <v>43</v>
      </c>
      <c r="G35" s="2"/>
    </row>
    <row r="36" spans="1:8" ht="50.1" customHeight="1" x14ac:dyDescent="0.25">
      <c r="A36" s="13" t="s">
        <v>25</v>
      </c>
      <c r="B36" s="6" t="s">
        <v>44</v>
      </c>
      <c r="C36" s="7">
        <f t="shared" si="0"/>
        <v>33</v>
      </c>
      <c r="D36" s="8"/>
      <c r="E36" s="9">
        <v>1</v>
      </c>
      <c r="F36" s="10"/>
      <c r="G36" s="2"/>
    </row>
    <row r="37" spans="1:8" ht="50.1" customHeight="1" x14ac:dyDescent="0.25">
      <c r="A37" s="13" t="s">
        <v>25</v>
      </c>
      <c r="B37" s="6" t="s">
        <v>45</v>
      </c>
      <c r="C37" s="7">
        <f t="shared" si="0"/>
        <v>34</v>
      </c>
      <c r="D37" s="8"/>
      <c r="E37" s="9">
        <v>1</v>
      </c>
      <c r="F37" s="10"/>
      <c r="G37" s="2"/>
    </row>
    <row r="38" spans="1:8" ht="50.1" customHeight="1" x14ac:dyDescent="0.25">
      <c r="A38" s="13" t="s">
        <v>25</v>
      </c>
      <c r="B38" s="6" t="s">
        <v>46</v>
      </c>
      <c r="C38" s="7">
        <f t="shared" si="0"/>
        <v>35</v>
      </c>
      <c r="D38" s="8"/>
      <c r="E38" s="9">
        <v>1</v>
      </c>
      <c r="F38" s="10"/>
      <c r="G38" s="2"/>
      <c r="H38" s="14"/>
    </row>
    <row r="39" spans="1:8" ht="50.1" customHeight="1" x14ac:dyDescent="0.25">
      <c r="A39" s="13" t="s">
        <v>25</v>
      </c>
      <c r="B39" s="6" t="s">
        <v>47</v>
      </c>
      <c r="C39" s="7">
        <f t="shared" si="0"/>
        <v>36</v>
      </c>
      <c r="D39" s="8"/>
      <c r="E39" s="9">
        <v>1</v>
      </c>
      <c r="F39" s="9" t="s">
        <v>27</v>
      </c>
      <c r="G39" s="2"/>
    </row>
    <row r="40" spans="1:8" ht="50.1" customHeight="1" x14ac:dyDescent="0.25">
      <c r="A40" s="13" t="s">
        <v>25</v>
      </c>
      <c r="B40" s="6" t="s">
        <v>48</v>
      </c>
      <c r="C40" s="7">
        <f t="shared" si="0"/>
        <v>37</v>
      </c>
      <c r="D40" s="8"/>
      <c r="E40" s="9">
        <v>1</v>
      </c>
      <c r="F40" s="9" t="s">
        <v>27</v>
      </c>
      <c r="G40" s="2"/>
      <c r="H40" s="15"/>
    </row>
    <row r="41" spans="1:8" ht="50.1" customHeight="1" x14ac:dyDescent="0.25">
      <c r="A41" s="13" t="s">
        <v>25</v>
      </c>
      <c r="B41" s="6" t="s">
        <v>49</v>
      </c>
      <c r="C41" s="7">
        <f t="shared" si="0"/>
        <v>38</v>
      </c>
      <c r="D41" s="8"/>
      <c r="E41" s="9">
        <v>1</v>
      </c>
      <c r="F41" s="9" t="s">
        <v>27</v>
      </c>
      <c r="G41" s="2"/>
    </row>
    <row r="42" spans="1:8" ht="50.1" customHeight="1" x14ac:dyDescent="0.25">
      <c r="A42" s="13" t="s">
        <v>25</v>
      </c>
      <c r="B42" s="6" t="s">
        <v>50</v>
      </c>
      <c r="C42" s="7">
        <f t="shared" si="0"/>
        <v>39</v>
      </c>
      <c r="D42" s="8"/>
      <c r="E42" s="9">
        <v>1</v>
      </c>
      <c r="F42" s="9" t="s">
        <v>27</v>
      </c>
      <c r="G42" s="2"/>
    </row>
    <row r="43" spans="1:8" ht="50.1" customHeight="1" x14ac:dyDescent="0.25">
      <c r="A43" s="13" t="s">
        <v>25</v>
      </c>
      <c r="B43" s="6" t="s">
        <v>51</v>
      </c>
      <c r="C43" s="7">
        <f t="shared" si="0"/>
        <v>40</v>
      </c>
      <c r="D43" s="8"/>
      <c r="E43" s="9">
        <v>1</v>
      </c>
      <c r="F43" s="9" t="s">
        <v>52</v>
      </c>
      <c r="G43" s="2"/>
    </row>
    <row r="44" spans="1:8" ht="50.1" customHeight="1" x14ac:dyDescent="0.25">
      <c r="A44" s="13" t="s">
        <v>25</v>
      </c>
      <c r="B44" s="6" t="s">
        <v>53</v>
      </c>
      <c r="C44" s="7">
        <f t="shared" si="0"/>
        <v>41</v>
      </c>
      <c r="D44" s="8"/>
      <c r="E44" s="9">
        <v>1</v>
      </c>
      <c r="F44" s="9" t="s">
        <v>27</v>
      </c>
      <c r="G44" s="2"/>
    </row>
    <row r="45" spans="1:8" ht="50.1" customHeight="1" x14ac:dyDescent="0.25">
      <c r="A45" s="13" t="s">
        <v>25</v>
      </c>
      <c r="B45" s="6" t="s">
        <v>54</v>
      </c>
      <c r="C45" s="7">
        <f t="shared" si="0"/>
        <v>42</v>
      </c>
      <c r="D45" s="8"/>
      <c r="E45" s="9">
        <v>1</v>
      </c>
      <c r="F45" s="9" t="s">
        <v>27</v>
      </c>
      <c r="G45" s="2"/>
    </row>
    <row r="46" spans="1:8" ht="50.1" customHeight="1" x14ac:dyDescent="0.25">
      <c r="A46" s="13" t="s">
        <v>25</v>
      </c>
      <c r="B46" s="6" t="s">
        <v>55</v>
      </c>
      <c r="C46" s="7">
        <f t="shared" si="0"/>
        <v>43</v>
      </c>
      <c r="D46" s="8"/>
      <c r="E46" s="9">
        <v>1</v>
      </c>
      <c r="F46" s="9" t="s">
        <v>56</v>
      </c>
      <c r="G46" s="2"/>
    </row>
    <row r="47" spans="1:8" ht="50.1" customHeight="1" x14ac:dyDescent="0.25">
      <c r="A47" s="13" t="s">
        <v>25</v>
      </c>
      <c r="B47" s="6" t="s">
        <v>57</v>
      </c>
      <c r="C47" s="7">
        <f t="shared" si="0"/>
        <v>44</v>
      </c>
      <c r="D47" s="8"/>
      <c r="E47" s="9">
        <v>1</v>
      </c>
      <c r="F47" s="9" t="s">
        <v>56</v>
      </c>
      <c r="G47" s="2"/>
    </row>
    <row r="48" spans="1:8" ht="50.1" customHeight="1" x14ac:dyDescent="0.25">
      <c r="A48" s="13" t="s">
        <v>25</v>
      </c>
      <c r="B48" s="6" t="s">
        <v>58</v>
      </c>
      <c r="C48" s="7">
        <f t="shared" si="0"/>
        <v>45</v>
      </c>
      <c r="D48" s="8"/>
      <c r="E48" s="9">
        <v>1</v>
      </c>
      <c r="F48" s="9" t="s">
        <v>56</v>
      </c>
      <c r="G48" s="2"/>
    </row>
    <row r="49" spans="1:7" ht="50.1" customHeight="1" x14ac:dyDescent="0.25">
      <c r="A49" s="13" t="s">
        <v>25</v>
      </c>
      <c r="B49" s="6" t="s">
        <v>59</v>
      </c>
      <c r="C49" s="7">
        <f t="shared" si="0"/>
        <v>46</v>
      </c>
      <c r="D49" s="8"/>
      <c r="E49" s="9">
        <v>2</v>
      </c>
      <c r="F49" s="9" t="s">
        <v>56</v>
      </c>
      <c r="G49" s="2"/>
    </row>
    <row r="50" spans="1:7" ht="50.1" customHeight="1" x14ac:dyDescent="0.25">
      <c r="A50" s="13" t="s">
        <v>25</v>
      </c>
      <c r="B50" s="6" t="s">
        <v>60</v>
      </c>
      <c r="C50" s="7">
        <f t="shared" si="0"/>
        <v>47</v>
      </c>
      <c r="D50" s="8"/>
      <c r="E50" s="9">
        <v>1</v>
      </c>
      <c r="F50" s="10"/>
      <c r="G50" s="2"/>
    </row>
    <row r="51" spans="1:7" ht="50.1" customHeight="1" x14ac:dyDescent="0.25">
      <c r="A51" s="13" t="s">
        <v>25</v>
      </c>
      <c r="B51" s="6" t="s">
        <v>61</v>
      </c>
      <c r="C51" s="7">
        <f t="shared" si="0"/>
        <v>48</v>
      </c>
      <c r="D51" s="8"/>
      <c r="E51" s="9">
        <v>1</v>
      </c>
      <c r="F51" s="10"/>
      <c r="G51" s="2"/>
    </row>
    <row r="52" spans="1:7" ht="50.1" customHeight="1" x14ac:dyDescent="0.25">
      <c r="A52" s="13" t="s">
        <v>25</v>
      </c>
      <c r="B52" s="6" t="s">
        <v>62</v>
      </c>
      <c r="C52" s="7">
        <f t="shared" si="0"/>
        <v>49</v>
      </c>
      <c r="D52" s="8"/>
      <c r="E52" s="9">
        <v>1</v>
      </c>
      <c r="F52" s="10"/>
      <c r="G52" s="2"/>
    </row>
    <row r="53" spans="1:7" ht="50.1" customHeight="1" x14ac:dyDescent="0.25">
      <c r="A53" s="13" t="s">
        <v>25</v>
      </c>
      <c r="B53" s="6" t="s">
        <v>63</v>
      </c>
      <c r="C53" s="7">
        <f t="shared" si="0"/>
        <v>50</v>
      </c>
      <c r="D53" s="8"/>
      <c r="E53" s="9">
        <v>1</v>
      </c>
      <c r="F53" s="9" t="s">
        <v>27</v>
      </c>
      <c r="G53" s="2"/>
    </row>
    <row r="54" spans="1:7" ht="50.1" customHeight="1" x14ac:dyDescent="0.25">
      <c r="A54" s="13" t="s">
        <v>25</v>
      </c>
      <c r="B54" s="6" t="s">
        <v>64</v>
      </c>
      <c r="C54" s="7">
        <f t="shared" si="0"/>
        <v>51</v>
      </c>
      <c r="D54" s="8"/>
      <c r="E54" s="9">
        <v>1</v>
      </c>
      <c r="F54" s="9" t="s">
        <v>43</v>
      </c>
      <c r="G54" s="2"/>
    </row>
    <row r="55" spans="1:7" ht="50.1" customHeight="1" x14ac:dyDescent="0.25">
      <c r="A55" s="13" t="s">
        <v>25</v>
      </c>
      <c r="B55" s="6" t="s">
        <v>65</v>
      </c>
      <c r="C55" s="7">
        <f t="shared" si="0"/>
        <v>52</v>
      </c>
      <c r="D55" s="8"/>
      <c r="E55" s="9">
        <v>1</v>
      </c>
      <c r="F55" s="10"/>
      <c r="G55" s="2"/>
    </row>
    <row r="56" spans="1:7" ht="50.1" customHeight="1" x14ac:dyDescent="0.25">
      <c r="A56" s="13" t="s">
        <v>25</v>
      </c>
      <c r="B56" s="6" t="s">
        <v>66</v>
      </c>
      <c r="C56" s="7">
        <f t="shared" si="0"/>
        <v>53</v>
      </c>
      <c r="D56" s="8"/>
      <c r="E56" s="9">
        <v>1</v>
      </c>
      <c r="F56" s="10"/>
      <c r="G56" s="2"/>
    </row>
    <row r="57" spans="1:7" ht="50.1" customHeight="1" x14ac:dyDescent="0.25">
      <c r="A57" s="13" t="s">
        <v>67</v>
      </c>
      <c r="B57" s="6" t="s">
        <v>68</v>
      </c>
      <c r="C57" s="7">
        <f t="shared" si="0"/>
        <v>54</v>
      </c>
      <c r="D57" s="8"/>
      <c r="E57" s="9">
        <v>1</v>
      </c>
      <c r="F57" s="10"/>
      <c r="G57" s="2"/>
    </row>
    <row r="58" spans="1:7" ht="50.1" customHeight="1" x14ac:dyDescent="0.25">
      <c r="A58" s="13" t="s">
        <v>67</v>
      </c>
      <c r="B58" s="6" t="s">
        <v>69</v>
      </c>
      <c r="C58" s="7">
        <f t="shared" si="0"/>
        <v>55</v>
      </c>
      <c r="D58" s="8"/>
      <c r="E58" s="9">
        <v>1</v>
      </c>
      <c r="F58" s="9" t="s">
        <v>70</v>
      </c>
      <c r="G58" s="2"/>
    </row>
    <row r="59" spans="1:7" ht="50.1" customHeight="1" x14ac:dyDescent="0.25">
      <c r="A59" s="13" t="s">
        <v>67</v>
      </c>
      <c r="B59" s="6" t="s">
        <v>71</v>
      </c>
      <c r="C59" s="7">
        <f t="shared" si="0"/>
        <v>56</v>
      </c>
      <c r="D59" s="8"/>
      <c r="E59" s="9">
        <v>1</v>
      </c>
      <c r="F59" s="10"/>
      <c r="G59" s="2"/>
    </row>
    <row r="60" spans="1:7" ht="50.1" customHeight="1" x14ac:dyDescent="0.25">
      <c r="A60" s="13" t="s">
        <v>67</v>
      </c>
      <c r="B60" s="6" t="s">
        <v>72</v>
      </c>
      <c r="C60" s="7">
        <f t="shared" si="0"/>
        <v>57</v>
      </c>
      <c r="D60" s="8"/>
      <c r="E60" s="9">
        <v>1</v>
      </c>
      <c r="F60" s="10"/>
      <c r="G60" s="2"/>
    </row>
    <row r="61" spans="1:7" ht="50.1" customHeight="1" x14ac:dyDescent="0.25">
      <c r="A61" s="13" t="s">
        <v>67</v>
      </c>
      <c r="B61" s="6" t="s">
        <v>73</v>
      </c>
      <c r="C61" s="7">
        <f t="shared" si="0"/>
        <v>58</v>
      </c>
      <c r="D61" s="8"/>
      <c r="E61" s="9">
        <v>2</v>
      </c>
      <c r="F61" s="10"/>
      <c r="G61" s="2"/>
    </row>
    <row r="62" spans="1:7" ht="50.1" customHeight="1" x14ac:dyDescent="0.25">
      <c r="A62" s="13" t="s">
        <v>67</v>
      </c>
      <c r="B62" s="6" t="s">
        <v>74</v>
      </c>
      <c r="C62" s="7">
        <f t="shared" si="0"/>
        <v>59</v>
      </c>
      <c r="D62" s="8"/>
      <c r="E62" s="9">
        <v>1</v>
      </c>
      <c r="F62" s="10"/>
      <c r="G62" s="2"/>
    </row>
    <row r="63" spans="1:7" ht="50.1" customHeight="1" x14ac:dyDescent="0.25">
      <c r="A63" s="13" t="s">
        <v>67</v>
      </c>
      <c r="B63" s="6" t="s">
        <v>75</v>
      </c>
      <c r="C63" s="7">
        <f t="shared" si="0"/>
        <v>60</v>
      </c>
      <c r="D63" s="8"/>
      <c r="E63" s="9">
        <v>1</v>
      </c>
      <c r="F63" s="10"/>
      <c r="G63" s="2"/>
    </row>
    <row r="64" spans="1:7" ht="50.1" customHeight="1" x14ac:dyDescent="0.25">
      <c r="A64" s="13" t="s">
        <v>67</v>
      </c>
      <c r="B64" s="6" t="s">
        <v>76</v>
      </c>
      <c r="C64" s="7">
        <f t="shared" si="0"/>
        <v>61</v>
      </c>
      <c r="D64" s="8"/>
      <c r="E64" s="9">
        <v>1</v>
      </c>
      <c r="F64" s="10"/>
      <c r="G64" s="2"/>
    </row>
    <row r="65" spans="1:7" ht="50.1" customHeight="1" x14ac:dyDescent="0.25">
      <c r="A65" s="13" t="s">
        <v>77</v>
      </c>
      <c r="B65" s="6" t="s">
        <v>78</v>
      </c>
      <c r="C65" s="7">
        <f t="shared" si="0"/>
        <v>62</v>
      </c>
      <c r="D65" s="8"/>
      <c r="E65" s="9">
        <v>1</v>
      </c>
      <c r="F65" s="10"/>
      <c r="G65" s="2"/>
    </row>
    <row r="66" spans="1:7" ht="50.1" customHeight="1" x14ac:dyDescent="0.25">
      <c r="A66" s="13" t="s">
        <v>77</v>
      </c>
      <c r="B66" s="6" t="s">
        <v>79</v>
      </c>
      <c r="C66" s="7">
        <f t="shared" si="0"/>
        <v>63</v>
      </c>
      <c r="D66" s="8"/>
      <c r="E66" s="9">
        <v>2</v>
      </c>
      <c r="F66" s="10"/>
      <c r="G66" s="2"/>
    </row>
    <row r="67" spans="1:7" ht="50.1" customHeight="1" x14ac:dyDescent="0.25">
      <c r="A67" s="13" t="s">
        <v>77</v>
      </c>
      <c r="B67" s="6" t="s">
        <v>80</v>
      </c>
      <c r="C67" s="7">
        <f t="shared" si="0"/>
        <v>64</v>
      </c>
      <c r="D67" s="8"/>
      <c r="E67" s="9">
        <v>2</v>
      </c>
      <c r="F67" s="10"/>
      <c r="G67" s="2"/>
    </row>
    <row r="68" spans="1:7" ht="50.1" customHeight="1" x14ac:dyDescent="0.25">
      <c r="A68" s="13" t="s">
        <v>77</v>
      </c>
      <c r="B68" s="6" t="s">
        <v>81</v>
      </c>
      <c r="C68" s="7">
        <f t="shared" si="0"/>
        <v>65</v>
      </c>
      <c r="D68" s="8"/>
      <c r="E68" s="9">
        <v>2</v>
      </c>
      <c r="F68" s="10"/>
      <c r="G68" s="2"/>
    </row>
    <row r="69" spans="1:7" ht="50.1" customHeight="1" x14ac:dyDescent="0.25">
      <c r="A69" s="13" t="s">
        <v>77</v>
      </c>
      <c r="B69" s="6" t="s">
        <v>82</v>
      </c>
      <c r="C69" s="7">
        <f t="shared" si="0"/>
        <v>66</v>
      </c>
      <c r="D69" s="8"/>
      <c r="E69" s="9">
        <v>2</v>
      </c>
      <c r="F69" s="10"/>
      <c r="G69" s="2"/>
    </row>
    <row r="70" spans="1:7" ht="50.1" customHeight="1" x14ac:dyDescent="0.25">
      <c r="A70" s="13" t="s">
        <v>77</v>
      </c>
      <c r="B70" s="6" t="s">
        <v>83</v>
      </c>
      <c r="C70" s="7">
        <f t="shared" ref="C70:C127" si="1">C69+1</f>
        <v>67</v>
      </c>
      <c r="D70" s="8"/>
      <c r="E70" s="9">
        <v>2</v>
      </c>
      <c r="F70" s="10"/>
      <c r="G70" s="2"/>
    </row>
    <row r="71" spans="1:7" ht="50.1" customHeight="1" x14ac:dyDescent="0.25">
      <c r="A71" s="13" t="s">
        <v>77</v>
      </c>
      <c r="B71" s="6" t="s">
        <v>84</v>
      </c>
      <c r="C71" s="7">
        <f t="shared" si="1"/>
        <v>68</v>
      </c>
      <c r="D71" s="8"/>
      <c r="E71" s="9">
        <v>2</v>
      </c>
      <c r="F71" s="10"/>
      <c r="G71" s="2"/>
    </row>
    <row r="72" spans="1:7" ht="50.1" customHeight="1" x14ac:dyDescent="0.25">
      <c r="A72" s="13" t="s">
        <v>77</v>
      </c>
      <c r="B72" s="6" t="s">
        <v>85</v>
      </c>
      <c r="C72" s="7">
        <f t="shared" si="1"/>
        <v>69</v>
      </c>
      <c r="D72" s="8"/>
      <c r="E72" s="9">
        <v>2</v>
      </c>
      <c r="F72" s="10"/>
      <c r="G72" s="2"/>
    </row>
    <row r="73" spans="1:7" ht="50.1" customHeight="1" x14ac:dyDescent="0.25">
      <c r="A73" s="13" t="s">
        <v>77</v>
      </c>
      <c r="B73" s="6" t="s">
        <v>86</v>
      </c>
      <c r="C73" s="7">
        <f t="shared" si="1"/>
        <v>70</v>
      </c>
      <c r="D73" s="8"/>
      <c r="E73" s="9">
        <v>1</v>
      </c>
      <c r="F73" s="10"/>
      <c r="G73" s="2"/>
    </row>
    <row r="74" spans="1:7" ht="50.1" customHeight="1" x14ac:dyDescent="0.25">
      <c r="A74" s="13" t="s">
        <v>77</v>
      </c>
      <c r="B74" s="6" t="s">
        <v>87</v>
      </c>
      <c r="C74" s="7">
        <f t="shared" si="1"/>
        <v>71</v>
      </c>
      <c r="D74" s="8"/>
      <c r="E74" s="9">
        <v>1</v>
      </c>
      <c r="F74" s="10"/>
      <c r="G74" s="2"/>
    </row>
    <row r="75" spans="1:7" ht="50.1" customHeight="1" x14ac:dyDescent="0.25">
      <c r="A75" s="13" t="s">
        <v>77</v>
      </c>
      <c r="B75" s="6" t="s">
        <v>88</v>
      </c>
      <c r="C75" s="7">
        <f t="shared" si="1"/>
        <v>72</v>
      </c>
      <c r="D75" s="8"/>
      <c r="E75" s="9">
        <v>2</v>
      </c>
      <c r="F75" s="10"/>
      <c r="G75" s="2"/>
    </row>
    <row r="76" spans="1:7" ht="50.1" customHeight="1" x14ac:dyDescent="0.25">
      <c r="A76" s="13" t="s">
        <v>77</v>
      </c>
      <c r="B76" s="6" t="s">
        <v>89</v>
      </c>
      <c r="C76" s="7">
        <f t="shared" si="1"/>
        <v>73</v>
      </c>
      <c r="D76" s="8"/>
      <c r="E76" s="9">
        <v>2</v>
      </c>
      <c r="F76" s="10"/>
      <c r="G76" s="2"/>
    </row>
    <row r="77" spans="1:7" ht="50.1" customHeight="1" x14ac:dyDescent="0.25">
      <c r="A77" s="13" t="s">
        <v>77</v>
      </c>
      <c r="B77" s="6" t="s">
        <v>90</v>
      </c>
      <c r="C77" s="7">
        <f t="shared" si="1"/>
        <v>74</v>
      </c>
      <c r="D77" s="8"/>
      <c r="E77" s="9">
        <v>2</v>
      </c>
      <c r="F77" s="10"/>
      <c r="G77" s="2"/>
    </row>
    <row r="78" spans="1:7" ht="50.1" customHeight="1" x14ac:dyDescent="0.25">
      <c r="A78" s="13" t="s">
        <v>77</v>
      </c>
      <c r="B78" s="6" t="s">
        <v>91</v>
      </c>
      <c r="C78" s="7">
        <f t="shared" si="1"/>
        <v>75</v>
      </c>
      <c r="D78" s="8"/>
      <c r="E78" s="9">
        <v>1</v>
      </c>
      <c r="F78" s="10"/>
      <c r="G78" s="2"/>
    </row>
    <row r="79" spans="1:7" ht="50.1" customHeight="1" x14ac:dyDescent="0.25">
      <c r="A79" s="13" t="s">
        <v>77</v>
      </c>
      <c r="B79" s="6" t="s">
        <v>92</v>
      </c>
      <c r="C79" s="7">
        <f t="shared" si="1"/>
        <v>76</v>
      </c>
      <c r="D79" s="8"/>
      <c r="E79" s="9">
        <v>2</v>
      </c>
      <c r="F79" s="10"/>
      <c r="G79" s="2"/>
    </row>
    <row r="80" spans="1:7" ht="50.1" customHeight="1" x14ac:dyDescent="0.25">
      <c r="A80" s="13" t="s">
        <v>77</v>
      </c>
      <c r="B80" s="6" t="s">
        <v>93</v>
      </c>
      <c r="C80" s="7">
        <f t="shared" si="1"/>
        <v>77</v>
      </c>
      <c r="D80" s="8"/>
      <c r="E80" s="9">
        <v>1</v>
      </c>
      <c r="F80" s="10"/>
      <c r="G80" s="2"/>
    </row>
    <row r="81" spans="1:7" ht="50.1" customHeight="1" x14ac:dyDescent="0.25">
      <c r="A81" s="13" t="s">
        <v>77</v>
      </c>
      <c r="B81" s="6" t="s">
        <v>94</v>
      </c>
      <c r="C81" s="7">
        <f t="shared" si="1"/>
        <v>78</v>
      </c>
      <c r="D81" s="8"/>
      <c r="E81" s="9">
        <v>2</v>
      </c>
      <c r="F81" s="10"/>
      <c r="G81" s="2"/>
    </row>
    <row r="82" spans="1:7" ht="50.1" customHeight="1" x14ac:dyDescent="0.25">
      <c r="A82" s="13" t="s">
        <v>77</v>
      </c>
      <c r="B82" s="6" t="s">
        <v>95</v>
      </c>
      <c r="C82" s="7">
        <f t="shared" si="1"/>
        <v>79</v>
      </c>
      <c r="D82" s="8"/>
      <c r="E82" s="9">
        <v>2</v>
      </c>
      <c r="F82" s="10"/>
      <c r="G82" s="2"/>
    </row>
    <row r="83" spans="1:7" ht="50.1" customHeight="1" x14ac:dyDescent="0.25">
      <c r="A83" s="13" t="s">
        <v>77</v>
      </c>
      <c r="B83" s="6" t="s">
        <v>96</v>
      </c>
      <c r="C83" s="7">
        <f t="shared" si="1"/>
        <v>80</v>
      </c>
      <c r="D83" s="8"/>
      <c r="E83" s="9">
        <v>2</v>
      </c>
      <c r="F83" s="10"/>
      <c r="G83" s="2"/>
    </row>
    <row r="84" spans="1:7" ht="50.1" customHeight="1" x14ac:dyDescent="0.25">
      <c r="A84" s="13" t="s">
        <v>77</v>
      </c>
      <c r="B84" s="6" t="s">
        <v>97</v>
      </c>
      <c r="C84" s="7">
        <f t="shared" si="1"/>
        <v>81</v>
      </c>
      <c r="D84" s="8"/>
      <c r="E84" s="9">
        <v>2</v>
      </c>
      <c r="F84" s="10"/>
      <c r="G84" s="2"/>
    </row>
    <row r="85" spans="1:7" ht="50.1" customHeight="1" x14ac:dyDescent="0.25">
      <c r="A85" s="13" t="s">
        <v>77</v>
      </c>
      <c r="B85" s="6" t="s">
        <v>98</v>
      </c>
      <c r="C85" s="7">
        <f t="shared" si="1"/>
        <v>82</v>
      </c>
      <c r="D85" s="8"/>
      <c r="E85" s="9">
        <v>2</v>
      </c>
      <c r="F85" s="10"/>
      <c r="G85" s="2"/>
    </row>
    <row r="86" spans="1:7" ht="50.1" customHeight="1" x14ac:dyDescent="0.25">
      <c r="A86" s="13" t="s">
        <v>77</v>
      </c>
      <c r="B86" s="6" t="s">
        <v>99</v>
      </c>
      <c r="C86" s="7">
        <f t="shared" si="1"/>
        <v>83</v>
      </c>
      <c r="D86" s="8"/>
      <c r="E86" s="9">
        <v>1</v>
      </c>
      <c r="F86" s="10"/>
      <c r="G86" s="2"/>
    </row>
    <row r="87" spans="1:7" ht="50.1" customHeight="1" x14ac:dyDescent="0.25">
      <c r="A87" s="13" t="s">
        <v>77</v>
      </c>
      <c r="B87" s="6" t="s">
        <v>100</v>
      </c>
      <c r="C87" s="7">
        <f t="shared" si="1"/>
        <v>84</v>
      </c>
      <c r="D87" s="8"/>
      <c r="E87" s="9">
        <v>1</v>
      </c>
      <c r="F87" s="10"/>
      <c r="G87" s="2"/>
    </row>
    <row r="88" spans="1:7" ht="50.1" customHeight="1" x14ac:dyDescent="0.25">
      <c r="A88" s="13" t="s">
        <v>77</v>
      </c>
      <c r="B88" s="6" t="s">
        <v>101</v>
      </c>
      <c r="C88" s="7">
        <f t="shared" si="1"/>
        <v>85</v>
      </c>
      <c r="D88" s="8"/>
      <c r="E88" s="9">
        <v>2</v>
      </c>
      <c r="F88" s="10"/>
      <c r="G88" s="2"/>
    </row>
    <row r="89" spans="1:7" ht="50.1" customHeight="1" x14ac:dyDescent="0.25">
      <c r="A89" s="13" t="s">
        <v>77</v>
      </c>
      <c r="B89" s="6" t="s">
        <v>102</v>
      </c>
      <c r="C89" s="7">
        <f t="shared" si="1"/>
        <v>86</v>
      </c>
      <c r="D89" s="8"/>
      <c r="E89" s="9">
        <v>1</v>
      </c>
      <c r="F89" s="10"/>
      <c r="G89" s="2"/>
    </row>
    <row r="90" spans="1:7" ht="50.1" customHeight="1" x14ac:dyDescent="0.25">
      <c r="A90" s="13" t="s">
        <v>77</v>
      </c>
      <c r="B90" s="6" t="s">
        <v>103</v>
      </c>
      <c r="C90" s="7">
        <f t="shared" si="1"/>
        <v>87</v>
      </c>
      <c r="D90" s="8"/>
      <c r="E90" s="9">
        <v>1</v>
      </c>
      <c r="F90" s="10"/>
      <c r="G90" s="2"/>
    </row>
    <row r="91" spans="1:7" ht="50.1" customHeight="1" x14ac:dyDescent="0.25">
      <c r="A91" s="13" t="s">
        <v>77</v>
      </c>
      <c r="B91" s="6" t="s">
        <v>104</v>
      </c>
      <c r="C91" s="7">
        <f t="shared" si="1"/>
        <v>88</v>
      </c>
      <c r="D91" s="8"/>
      <c r="E91" s="9">
        <v>2</v>
      </c>
      <c r="F91" s="10"/>
      <c r="G91" s="2"/>
    </row>
    <row r="92" spans="1:7" ht="50.1" customHeight="1" x14ac:dyDescent="0.25">
      <c r="A92" s="13" t="s">
        <v>77</v>
      </c>
      <c r="B92" s="6" t="s">
        <v>105</v>
      </c>
      <c r="C92" s="7">
        <f t="shared" si="1"/>
        <v>89</v>
      </c>
      <c r="D92" s="8"/>
      <c r="E92" s="9">
        <v>2</v>
      </c>
      <c r="F92" s="10"/>
      <c r="G92" s="2"/>
    </row>
    <row r="93" spans="1:7" ht="50.1" customHeight="1" x14ac:dyDescent="0.25">
      <c r="A93" s="13" t="s">
        <v>77</v>
      </c>
      <c r="B93" s="6" t="s">
        <v>106</v>
      </c>
      <c r="C93" s="7">
        <f t="shared" si="1"/>
        <v>90</v>
      </c>
      <c r="D93" s="8"/>
      <c r="E93" s="9">
        <v>2</v>
      </c>
      <c r="F93" s="10"/>
      <c r="G93" s="2"/>
    </row>
    <row r="94" spans="1:7" ht="50.1" customHeight="1" x14ac:dyDescent="0.25">
      <c r="A94" s="13" t="s">
        <v>77</v>
      </c>
      <c r="B94" s="6" t="s">
        <v>107</v>
      </c>
      <c r="C94" s="7">
        <f t="shared" si="1"/>
        <v>91</v>
      </c>
      <c r="D94" s="8"/>
      <c r="E94" s="9">
        <v>1</v>
      </c>
      <c r="F94" s="10"/>
      <c r="G94" s="2"/>
    </row>
    <row r="95" spans="1:7" ht="50.1" customHeight="1" x14ac:dyDescent="0.25">
      <c r="A95" s="13" t="s">
        <v>77</v>
      </c>
      <c r="B95" s="6" t="s">
        <v>108</v>
      </c>
      <c r="C95" s="7">
        <f t="shared" si="1"/>
        <v>92</v>
      </c>
      <c r="D95" s="8"/>
      <c r="E95" s="9">
        <v>1</v>
      </c>
      <c r="F95" s="10"/>
      <c r="G95" s="2"/>
    </row>
    <row r="96" spans="1:7" ht="50.1" customHeight="1" x14ac:dyDescent="0.25">
      <c r="A96" s="13" t="s">
        <v>77</v>
      </c>
      <c r="B96" s="6" t="s">
        <v>109</v>
      </c>
      <c r="C96" s="7">
        <f t="shared" si="1"/>
        <v>93</v>
      </c>
      <c r="D96" s="8"/>
      <c r="E96" s="9">
        <v>2</v>
      </c>
      <c r="F96" s="10"/>
      <c r="G96" s="2"/>
    </row>
    <row r="97" spans="1:7" ht="50.1" customHeight="1" x14ac:dyDescent="0.25">
      <c r="A97" s="13" t="s">
        <v>77</v>
      </c>
      <c r="B97" s="6" t="s">
        <v>110</v>
      </c>
      <c r="C97" s="7">
        <f t="shared" si="1"/>
        <v>94</v>
      </c>
      <c r="D97" s="8"/>
      <c r="E97" s="9">
        <v>1</v>
      </c>
      <c r="F97" s="10"/>
      <c r="G97" s="2"/>
    </row>
    <row r="98" spans="1:7" ht="50.1" customHeight="1" x14ac:dyDescent="0.25">
      <c r="A98" s="13" t="s">
        <v>77</v>
      </c>
      <c r="B98" s="6" t="s">
        <v>111</v>
      </c>
      <c r="C98" s="7">
        <f t="shared" si="1"/>
        <v>95</v>
      </c>
      <c r="D98" s="8"/>
      <c r="E98" s="9">
        <v>1</v>
      </c>
      <c r="F98" s="10"/>
      <c r="G98" s="2"/>
    </row>
    <row r="99" spans="1:7" ht="50.1" customHeight="1" x14ac:dyDescent="0.25">
      <c r="A99" s="13" t="s">
        <v>77</v>
      </c>
      <c r="B99" s="6" t="s">
        <v>112</v>
      </c>
      <c r="C99" s="7">
        <f t="shared" si="1"/>
        <v>96</v>
      </c>
      <c r="D99" s="8"/>
      <c r="E99" s="9">
        <v>1</v>
      </c>
      <c r="F99" s="10"/>
      <c r="G99" s="2"/>
    </row>
    <row r="100" spans="1:7" ht="50.1" customHeight="1" x14ac:dyDescent="0.25">
      <c r="A100" s="13" t="s">
        <v>77</v>
      </c>
      <c r="B100" s="6" t="s">
        <v>113</v>
      </c>
      <c r="C100" s="7">
        <f t="shared" si="1"/>
        <v>97</v>
      </c>
      <c r="D100" s="8"/>
      <c r="E100" s="9">
        <v>1</v>
      </c>
      <c r="F100" s="10"/>
      <c r="G100" s="2"/>
    </row>
    <row r="101" spans="1:7" ht="50.1" customHeight="1" x14ac:dyDescent="0.25">
      <c r="A101" s="13" t="s">
        <v>77</v>
      </c>
      <c r="B101" s="6" t="s">
        <v>114</v>
      </c>
      <c r="C101" s="7">
        <f t="shared" si="1"/>
        <v>98</v>
      </c>
      <c r="D101" s="8"/>
      <c r="E101" s="9">
        <v>1</v>
      </c>
      <c r="F101" s="10"/>
      <c r="G101" s="2"/>
    </row>
    <row r="102" spans="1:7" ht="50.1" customHeight="1" x14ac:dyDescent="0.25">
      <c r="A102" s="13" t="s">
        <v>77</v>
      </c>
      <c r="B102" s="6" t="s">
        <v>115</v>
      </c>
      <c r="C102" s="7">
        <f t="shared" si="1"/>
        <v>99</v>
      </c>
      <c r="D102" s="8"/>
      <c r="E102" s="9">
        <v>1</v>
      </c>
      <c r="F102" s="10"/>
      <c r="G102" s="2"/>
    </row>
    <row r="103" spans="1:7" ht="50.1" customHeight="1" x14ac:dyDescent="0.25">
      <c r="A103" s="13" t="s">
        <v>77</v>
      </c>
      <c r="B103" s="6" t="s">
        <v>116</v>
      </c>
      <c r="C103" s="7">
        <f t="shared" si="1"/>
        <v>100</v>
      </c>
      <c r="D103" s="8"/>
      <c r="E103" s="9">
        <v>2</v>
      </c>
      <c r="F103" s="10"/>
      <c r="G103" s="2"/>
    </row>
    <row r="104" spans="1:7" ht="50.1" customHeight="1" x14ac:dyDescent="0.25">
      <c r="A104" s="13" t="s">
        <v>77</v>
      </c>
      <c r="B104" s="6" t="s">
        <v>117</v>
      </c>
      <c r="C104" s="7">
        <f t="shared" si="1"/>
        <v>101</v>
      </c>
      <c r="D104" s="8"/>
      <c r="E104" s="9">
        <v>2</v>
      </c>
      <c r="F104" s="10"/>
      <c r="G104" s="2"/>
    </row>
    <row r="105" spans="1:7" ht="50.1" customHeight="1" x14ac:dyDescent="0.25">
      <c r="A105" s="13" t="s">
        <v>77</v>
      </c>
      <c r="B105" s="6" t="s">
        <v>118</v>
      </c>
      <c r="C105" s="7">
        <f t="shared" si="1"/>
        <v>102</v>
      </c>
      <c r="D105" s="8"/>
      <c r="E105" s="9">
        <v>1</v>
      </c>
      <c r="F105" s="10"/>
      <c r="G105" s="2"/>
    </row>
    <row r="106" spans="1:7" ht="50.1" customHeight="1" x14ac:dyDescent="0.25">
      <c r="A106" s="13" t="s">
        <v>77</v>
      </c>
      <c r="B106" s="6" t="s">
        <v>119</v>
      </c>
      <c r="C106" s="7">
        <f t="shared" si="1"/>
        <v>103</v>
      </c>
      <c r="D106" s="8"/>
      <c r="E106" s="9">
        <v>2</v>
      </c>
      <c r="F106" s="10"/>
      <c r="G106" s="2"/>
    </row>
    <row r="107" spans="1:7" ht="50.1" customHeight="1" x14ac:dyDescent="0.25">
      <c r="A107" s="13" t="s">
        <v>77</v>
      </c>
      <c r="B107" s="6" t="s">
        <v>120</v>
      </c>
      <c r="C107" s="7">
        <f t="shared" si="1"/>
        <v>104</v>
      </c>
      <c r="D107" s="8"/>
      <c r="E107" s="9">
        <v>3</v>
      </c>
      <c r="F107" s="10"/>
      <c r="G107" s="2"/>
    </row>
    <row r="108" spans="1:7" ht="50.1" customHeight="1" x14ac:dyDescent="0.25">
      <c r="A108" s="13" t="s">
        <v>77</v>
      </c>
      <c r="B108" s="6" t="s">
        <v>121</v>
      </c>
      <c r="C108" s="7">
        <f t="shared" si="1"/>
        <v>105</v>
      </c>
      <c r="D108" s="8"/>
      <c r="E108" s="9">
        <v>2</v>
      </c>
      <c r="F108" s="10"/>
      <c r="G108" s="2"/>
    </row>
    <row r="109" spans="1:7" ht="50.1" customHeight="1" x14ac:dyDescent="0.25">
      <c r="A109" s="13" t="s">
        <v>77</v>
      </c>
      <c r="B109" s="6" t="s">
        <v>122</v>
      </c>
      <c r="C109" s="7">
        <f t="shared" si="1"/>
        <v>106</v>
      </c>
      <c r="D109" s="8"/>
      <c r="E109" s="9">
        <v>1</v>
      </c>
      <c r="F109" s="10"/>
      <c r="G109" s="2"/>
    </row>
    <row r="110" spans="1:7" ht="50.1" customHeight="1" x14ac:dyDescent="0.25">
      <c r="A110" s="13" t="s">
        <v>77</v>
      </c>
      <c r="B110" s="6" t="s">
        <v>123</v>
      </c>
      <c r="C110" s="7">
        <f t="shared" si="1"/>
        <v>107</v>
      </c>
      <c r="D110" s="8"/>
      <c r="E110" s="9">
        <v>2</v>
      </c>
      <c r="F110" s="10"/>
      <c r="G110" s="2"/>
    </row>
    <row r="111" spans="1:7" ht="50.1" customHeight="1" x14ac:dyDescent="0.25">
      <c r="A111" s="13" t="s">
        <v>77</v>
      </c>
      <c r="B111" s="6" t="s">
        <v>124</v>
      </c>
      <c r="C111" s="7">
        <f t="shared" si="1"/>
        <v>108</v>
      </c>
      <c r="D111" s="8"/>
      <c r="E111" s="9">
        <v>2</v>
      </c>
      <c r="F111" s="10"/>
      <c r="G111" s="2"/>
    </row>
    <row r="112" spans="1:7" ht="50.1" customHeight="1" x14ac:dyDescent="0.25">
      <c r="A112" s="13" t="s">
        <v>77</v>
      </c>
      <c r="B112" s="6" t="s">
        <v>125</v>
      </c>
      <c r="C112" s="7">
        <f t="shared" si="1"/>
        <v>109</v>
      </c>
      <c r="D112" s="8"/>
      <c r="E112" s="9">
        <v>2</v>
      </c>
      <c r="F112" s="10"/>
      <c r="G112" s="2"/>
    </row>
    <row r="113" spans="1:8" ht="50.1" customHeight="1" x14ac:dyDescent="0.25">
      <c r="A113" s="13" t="s">
        <v>77</v>
      </c>
      <c r="B113" s="6" t="s">
        <v>126</v>
      </c>
      <c r="C113" s="7">
        <f t="shared" si="1"/>
        <v>110</v>
      </c>
      <c r="D113" s="8"/>
      <c r="E113" s="9">
        <v>1</v>
      </c>
      <c r="F113" s="10"/>
      <c r="G113" s="2"/>
    </row>
    <row r="114" spans="1:8" ht="50.1" customHeight="1" x14ac:dyDescent="0.25">
      <c r="A114" s="13" t="s">
        <v>77</v>
      </c>
      <c r="B114" s="6" t="s">
        <v>127</v>
      </c>
      <c r="C114" s="7">
        <f t="shared" si="1"/>
        <v>111</v>
      </c>
      <c r="D114" s="8"/>
      <c r="E114" s="9">
        <v>1</v>
      </c>
      <c r="F114" s="10"/>
      <c r="G114" s="2"/>
    </row>
    <row r="115" spans="1:8" ht="50.1" customHeight="1" x14ac:dyDescent="0.25">
      <c r="A115" s="13" t="s">
        <v>77</v>
      </c>
      <c r="B115" s="6" t="s">
        <v>128</v>
      </c>
      <c r="C115" s="7">
        <f t="shared" si="1"/>
        <v>112</v>
      </c>
      <c r="D115" s="8"/>
      <c r="E115" s="9">
        <v>2</v>
      </c>
      <c r="F115" s="10"/>
      <c r="G115" s="2"/>
    </row>
    <row r="116" spans="1:8" ht="50.1" customHeight="1" x14ac:dyDescent="0.25">
      <c r="A116" s="13" t="s">
        <v>77</v>
      </c>
      <c r="B116" s="6" t="s">
        <v>129</v>
      </c>
      <c r="C116" s="7">
        <f t="shared" si="1"/>
        <v>113</v>
      </c>
      <c r="D116" s="8"/>
      <c r="E116" s="9">
        <v>1</v>
      </c>
      <c r="F116" s="10"/>
      <c r="G116" s="2"/>
    </row>
    <row r="117" spans="1:8" ht="50.1" customHeight="1" x14ac:dyDescent="0.25">
      <c r="A117" s="13" t="s">
        <v>77</v>
      </c>
      <c r="B117" s="6" t="s">
        <v>130</v>
      </c>
      <c r="C117" s="7">
        <f t="shared" si="1"/>
        <v>114</v>
      </c>
      <c r="D117" s="8"/>
      <c r="E117" s="9">
        <v>2</v>
      </c>
      <c r="F117" s="10"/>
      <c r="G117" s="2"/>
    </row>
    <row r="118" spans="1:8" ht="50.1" customHeight="1" x14ac:dyDescent="0.25">
      <c r="A118" s="13" t="s">
        <v>77</v>
      </c>
      <c r="B118" s="6" t="s">
        <v>131</v>
      </c>
      <c r="C118" s="7">
        <f t="shared" si="1"/>
        <v>115</v>
      </c>
      <c r="D118" s="8"/>
      <c r="E118" s="9">
        <v>2</v>
      </c>
      <c r="F118" s="10"/>
      <c r="G118" s="2"/>
    </row>
    <row r="119" spans="1:8" ht="50.1" customHeight="1" x14ac:dyDescent="0.25">
      <c r="A119" s="13" t="s">
        <v>77</v>
      </c>
      <c r="B119" s="6" t="s">
        <v>132</v>
      </c>
      <c r="C119" s="7">
        <f t="shared" si="1"/>
        <v>116</v>
      </c>
      <c r="D119" s="8"/>
      <c r="E119" s="9">
        <v>2</v>
      </c>
      <c r="F119" s="10"/>
      <c r="G119" s="2"/>
    </row>
    <row r="120" spans="1:8" ht="50.1" customHeight="1" x14ac:dyDescent="0.25">
      <c r="A120" s="13" t="s">
        <v>77</v>
      </c>
      <c r="B120" s="6" t="s">
        <v>133</v>
      </c>
      <c r="C120" s="7">
        <f t="shared" si="1"/>
        <v>117</v>
      </c>
      <c r="D120" s="8"/>
      <c r="E120" s="9">
        <v>2</v>
      </c>
      <c r="F120" s="10"/>
      <c r="G120" s="2"/>
    </row>
    <row r="121" spans="1:8" ht="50.1" customHeight="1" x14ac:dyDescent="0.25">
      <c r="A121" s="13" t="s">
        <v>77</v>
      </c>
      <c r="B121" s="6" t="s">
        <v>134</v>
      </c>
      <c r="C121" s="7">
        <f t="shared" si="1"/>
        <v>118</v>
      </c>
      <c r="D121" s="8"/>
      <c r="E121" s="9">
        <v>1</v>
      </c>
      <c r="F121" s="10"/>
      <c r="G121" s="2"/>
    </row>
    <row r="122" spans="1:8" ht="50.1" customHeight="1" x14ac:dyDescent="0.25">
      <c r="A122" s="13" t="s">
        <v>77</v>
      </c>
      <c r="B122" s="6" t="s">
        <v>135</v>
      </c>
      <c r="C122" s="7">
        <f t="shared" si="1"/>
        <v>119</v>
      </c>
      <c r="D122" s="8"/>
      <c r="E122" s="9">
        <v>1</v>
      </c>
      <c r="F122" s="10"/>
      <c r="G122" s="2"/>
    </row>
    <row r="123" spans="1:8" ht="50.1" customHeight="1" x14ac:dyDescent="0.25">
      <c r="A123" s="13" t="s">
        <v>136</v>
      </c>
      <c r="B123" s="6" t="s">
        <v>137</v>
      </c>
      <c r="C123" s="7">
        <f t="shared" si="1"/>
        <v>120</v>
      </c>
      <c r="D123" s="8"/>
      <c r="E123" s="9">
        <v>1</v>
      </c>
      <c r="F123" s="10"/>
      <c r="G123" s="2"/>
    </row>
    <row r="124" spans="1:8" ht="50.1" customHeight="1" x14ac:dyDescent="0.25">
      <c r="A124" s="13" t="s">
        <v>136</v>
      </c>
      <c r="B124" s="6" t="s">
        <v>138</v>
      </c>
      <c r="C124" s="7">
        <f t="shared" si="1"/>
        <v>121</v>
      </c>
      <c r="D124" s="8"/>
      <c r="E124" s="9">
        <v>1</v>
      </c>
      <c r="F124" s="10"/>
      <c r="G124" s="2"/>
    </row>
    <row r="125" spans="1:8" ht="50.1" customHeight="1" x14ac:dyDescent="0.25">
      <c r="A125" s="13" t="s">
        <v>136</v>
      </c>
      <c r="B125" s="6" t="s">
        <v>139</v>
      </c>
      <c r="C125" s="7">
        <f t="shared" si="1"/>
        <v>122</v>
      </c>
      <c r="D125" s="8"/>
      <c r="E125" s="9">
        <v>1</v>
      </c>
      <c r="F125" s="10"/>
      <c r="G125" s="2"/>
    </row>
    <row r="126" spans="1:8" ht="50.1" customHeight="1" x14ac:dyDescent="0.25">
      <c r="A126" s="13" t="s">
        <v>136</v>
      </c>
      <c r="B126" s="6" t="s">
        <v>140</v>
      </c>
      <c r="C126" s="7">
        <f t="shared" si="1"/>
        <v>123</v>
      </c>
      <c r="D126" s="8"/>
      <c r="E126" s="9">
        <v>1</v>
      </c>
      <c r="F126" s="10"/>
      <c r="G126" s="2"/>
    </row>
    <row r="127" spans="1:8" ht="50.1" customHeight="1" x14ac:dyDescent="0.25">
      <c r="A127" s="13" t="s">
        <v>141</v>
      </c>
      <c r="B127" s="6" t="s">
        <v>142</v>
      </c>
      <c r="C127" s="7">
        <f t="shared" si="1"/>
        <v>124</v>
      </c>
      <c r="D127" s="8"/>
      <c r="E127" s="9">
        <v>1</v>
      </c>
      <c r="F127" s="10"/>
      <c r="G127" s="2"/>
    </row>
    <row r="128" spans="1:8" x14ac:dyDescent="0.25">
      <c r="A128" s="1"/>
      <c r="B128" s="1"/>
      <c r="C128" s="1"/>
      <c r="D128" s="1"/>
      <c r="E128" s="1"/>
      <c r="F128" s="1"/>
      <c r="G128" s="1"/>
      <c r="H128" s="2"/>
    </row>
    <row r="129" spans="1:8" x14ac:dyDescent="0.25">
      <c r="A129" s="16">
        <f>COUNTA(A4:A127)</f>
        <v>124</v>
      </c>
      <c r="B129" s="1"/>
      <c r="C129" s="1"/>
      <c r="D129" s="1"/>
      <c r="E129" s="1"/>
      <c r="F129" s="1"/>
      <c r="G129" s="1"/>
      <c r="H129" s="2"/>
    </row>
    <row r="130" spans="1:8" x14ac:dyDescent="0.25">
      <c r="A130" s="1"/>
      <c r="B130" s="1"/>
      <c r="C130" s="1"/>
      <c r="D130" s="1"/>
      <c r="E130" s="1"/>
      <c r="F130" s="1"/>
      <c r="G130" s="1"/>
      <c r="H130" s="2"/>
    </row>
    <row r="131" spans="1:8" x14ac:dyDescent="0.25">
      <c r="A131" s="1"/>
      <c r="B131" s="1"/>
      <c r="C131" s="1"/>
      <c r="D131" s="1"/>
      <c r="E131" s="1"/>
      <c r="F131" s="1"/>
      <c r="G131" s="1"/>
      <c r="H131" s="2"/>
    </row>
    <row r="132" spans="1:8" x14ac:dyDescent="0.25">
      <c r="A132" s="17" t="s">
        <v>143</v>
      </c>
      <c r="B132" s="17"/>
      <c r="C132" s="17"/>
      <c r="D132" s="17"/>
      <c r="E132" s="1"/>
      <c r="F132" s="1"/>
      <c r="G132" s="1"/>
      <c r="H132" s="1"/>
    </row>
    <row r="133" spans="1:8" x14ac:dyDescent="0.25">
      <c r="A133" s="18"/>
      <c r="B133" s="19"/>
      <c r="C133" s="19"/>
      <c r="D133" s="19"/>
      <c r="E133" s="1"/>
      <c r="F133" s="20" t="s">
        <v>144</v>
      </c>
      <c r="G133" s="20"/>
      <c r="H133" s="21"/>
    </row>
    <row r="134" spans="1:8" ht="51" x14ac:dyDescent="0.25">
      <c r="A134" s="22" t="s">
        <v>145</v>
      </c>
      <c r="B134" s="23" t="s">
        <v>146</v>
      </c>
      <c r="C134" s="23" t="s">
        <v>147</v>
      </c>
      <c r="D134" s="23" t="s">
        <v>148</v>
      </c>
      <c r="E134" s="1"/>
      <c r="F134" s="24" t="s">
        <v>149</v>
      </c>
      <c r="G134" s="24" t="s">
        <v>1</v>
      </c>
      <c r="H134" s="24" t="s">
        <v>150</v>
      </c>
    </row>
    <row r="135" spans="1:8" x14ac:dyDescent="0.25">
      <c r="A135" s="25" t="s">
        <v>7</v>
      </c>
      <c r="B135" s="26">
        <f t="shared" ref="B135:B140" si="2">IFERROR(F135/H135,0)</f>
        <v>0</v>
      </c>
      <c r="C135" s="27">
        <f t="shared" ref="C135:C140" si="3">B135</f>
        <v>0</v>
      </c>
      <c r="D135" s="26">
        <f t="shared" ref="D135:D140" si="4">1-C135</f>
        <v>1</v>
      </c>
      <c r="E135" s="1"/>
      <c r="F135" s="28">
        <f>COUNTIFS($D$4:$D$127,F$134,$A$4:$A$127,$A135)</f>
        <v>0</v>
      </c>
      <c r="G135" s="28">
        <f>COUNTIFS($D$4:$D$127,G$134,$A$4:$A$127,$A135)</f>
        <v>0</v>
      </c>
      <c r="H135" s="28">
        <f t="shared" ref="H135:H140" si="5">SUM(F135:G135)</f>
        <v>0</v>
      </c>
    </row>
    <row r="136" spans="1:8" x14ac:dyDescent="0.25">
      <c r="A136" s="25" t="s">
        <v>25</v>
      </c>
      <c r="B136" s="26">
        <f t="shared" si="2"/>
        <v>0</v>
      </c>
      <c r="C136" s="27">
        <f t="shared" si="3"/>
        <v>0</v>
      </c>
      <c r="D136" s="26">
        <f t="shared" si="4"/>
        <v>1</v>
      </c>
      <c r="E136" s="1"/>
      <c r="F136" s="28">
        <f>COUNTIFS($D$4:$D$127,F$134,$A$4:$A$127,$A136)</f>
        <v>0</v>
      </c>
      <c r="G136" s="28">
        <f t="shared" ref="G136:G140" si="6">COUNTIFS($D$4:$D$127,G$134,$A$4:$A$127,$A136)</f>
        <v>0</v>
      </c>
      <c r="H136" s="28">
        <f t="shared" si="5"/>
        <v>0</v>
      </c>
    </row>
    <row r="137" spans="1:8" x14ac:dyDescent="0.25">
      <c r="A137" s="25" t="s">
        <v>67</v>
      </c>
      <c r="B137" s="26">
        <f t="shared" si="2"/>
        <v>0</v>
      </c>
      <c r="C137" s="27">
        <f t="shared" si="3"/>
        <v>0</v>
      </c>
      <c r="D137" s="26">
        <f t="shared" si="4"/>
        <v>1</v>
      </c>
      <c r="E137" s="1"/>
      <c r="F137" s="28">
        <f>COUNTIFS($D$4:$D$127,F$134,$A$4:$A$127,$A137)</f>
        <v>0</v>
      </c>
      <c r="G137" s="28">
        <f t="shared" si="6"/>
        <v>0</v>
      </c>
      <c r="H137" s="28">
        <f t="shared" si="5"/>
        <v>0</v>
      </c>
    </row>
    <row r="138" spans="1:8" x14ac:dyDescent="0.25">
      <c r="A138" s="25" t="s">
        <v>77</v>
      </c>
      <c r="B138" s="26">
        <f t="shared" si="2"/>
        <v>0</v>
      </c>
      <c r="C138" s="27">
        <f t="shared" si="3"/>
        <v>0</v>
      </c>
      <c r="D138" s="26">
        <f t="shared" si="4"/>
        <v>1</v>
      </c>
      <c r="E138" s="1"/>
      <c r="F138" s="28">
        <f>COUNTIFS($D$4:$D$127,F$134,$A$4:$A$127,$A138)</f>
        <v>0</v>
      </c>
      <c r="G138" s="28">
        <f t="shared" si="6"/>
        <v>0</v>
      </c>
      <c r="H138" s="28">
        <f t="shared" si="5"/>
        <v>0</v>
      </c>
    </row>
    <row r="139" spans="1:8" x14ac:dyDescent="0.25">
      <c r="A139" s="25" t="s">
        <v>136</v>
      </c>
      <c r="B139" s="26">
        <f t="shared" si="2"/>
        <v>0</v>
      </c>
      <c r="C139" s="27">
        <f t="shared" si="3"/>
        <v>0</v>
      </c>
      <c r="D139" s="26">
        <f t="shared" si="4"/>
        <v>1</v>
      </c>
      <c r="E139" s="1"/>
      <c r="F139" s="28">
        <f>COUNTIFS($D$4:$D$127,F$134,$A$4:$A$127,$A139)</f>
        <v>0</v>
      </c>
      <c r="G139" s="28">
        <f t="shared" si="6"/>
        <v>0</v>
      </c>
      <c r="H139" s="28">
        <f t="shared" si="5"/>
        <v>0</v>
      </c>
    </row>
    <row r="140" spans="1:8" x14ac:dyDescent="0.25">
      <c r="A140" s="25" t="s">
        <v>141</v>
      </c>
      <c r="B140" s="26">
        <f t="shared" si="2"/>
        <v>0</v>
      </c>
      <c r="C140" s="27">
        <f t="shared" si="3"/>
        <v>0</v>
      </c>
      <c r="D140" s="26">
        <f t="shared" si="4"/>
        <v>1</v>
      </c>
      <c r="E140" s="1"/>
      <c r="F140" s="28">
        <f>COUNTIFS($D$4:$D$127,F$134,$A$4:$A$127,$A140)</f>
        <v>0</v>
      </c>
      <c r="G140" s="28">
        <f t="shared" si="6"/>
        <v>0</v>
      </c>
      <c r="H140" s="28">
        <f t="shared" si="5"/>
        <v>0</v>
      </c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25" t="s">
        <v>150</v>
      </c>
      <c r="B142" s="26">
        <f>IFERROR(F142/H142,0)</f>
        <v>0</v>
      </c>
      <c r="C142" s="27" t="e">
        <f>$F$142/$H$142</f>
        <v>#DIV/0!</v>
      </c>
      <c r="D142" s="26" t="e">
        <f>$G$142/$H$142</f>
        <v>#DIV/0!</v>
      </c>
      <c r="E142" s="1"/>
      <c r="F142" s="28">
        <f>SUM(F135:F140)</f>
        <v>0</v>
      </c>
      <c r="G142" s="28">
        <f>SUM(G135:G140)</f>
        <v>0</v>
      </c>
      <c r="H142" s="28">
        <f>SUM(F142:G142)</f>
        <v>0</v>
      </c>
    </row>
    <row r="143" spans="1:8" x14ac:dyDescent="0.25">
      <c r="A143" s="1"/>
      <c r="B143" s="1"/>
      <c r="C143" s="1"/>
      <c r="D143" s="1"/>
      <c r="E143" s="1"/>
      <c r="F143" s="1"/>
      <c r="G143" s="1"/>
      <c r="H143" s="2"/>
    </row>
    <row r="144" spans="1:8" x14ac:dyDescent="0.25">
      <c r="A144" s="1"/>
      <c r="B144" s="1"/>
      <c r="C144" s="1"/>
      <c r="D144" s="1"/>
      <c r="E144" s="1"/>
      <c r="F144" s="1"/>
      <c r="G144" s="1"/>
      <c r="H144" s="2"/>
    </row>
    <row r="145" spans="1:8" x14ac:dyDescent="0.25">
      <c r="A145" s="1"/>
      <c r="B145" s="1"/>
      <c r="C145" s="1"/>
      <c r="D145" s="1"/>
      <c r="E145" s="1"/>
      <c r="F145" s="1"/>
      <c r="G145" s="1"/>
      <c r="H145" s="2"/>
    </row>
    <row r="146" spans="1:8" x14ac:dyDescent="0.25">
      <c r="A146" s="1"/>
      <c r="B146" s="1"/>
      <c r="C146" s="1"/>
      <c r="D146" s="1"/>
      <c r="E146" s="1"/>
      <c r="F146" s="1"/>
      <c r="G146" s="1"/>
      <c r="H146" s="2"/>
    </row>
    <row r="147" spans="1:8" x14ac:dyDescent="0.25">
      <c r="A147" s="1"/>
      <c r="B147" s="1"/>
      <c r="C147" s="1"/>
      <c r="D147" s="1"/>
      <c r="E147" s="1"/>
      <c r="F147" s="1"/>
      <c r="G147" s="1"/>
      <c r="H147" s="2"/>
    </row>
    <row r="148" spans="1:8" x14ac:dyDescent="0.25">
      <c r="A148" s="1"/>
      <c r="B148" s="1"/>
      <c r="C148" s="1"/>
      <c r="D148" s="1"/>
      <c r="E148" s="1"/>
      <c r="F148" s="1"/>
      <c r="G148" s="1"/>
      <c r="H148" s="2"/>
    </row>
    <row r="149" spans="1:8" x14ac:dyDescent="0.25">
      <c r="A149" s="1"/>
      <c r="B149" s="1"/>
      <c r="C149" s="1"/>
      <c r="D149" s="1"/>
      <c r="E149" s="1"/>
      <c r="F149" s="1"/>
      <c r="G149" s="1"/>
      <c r="H149" s="2"/>
    </row>
    <row r="150" spans="1:8" x14ac:dyDescent="0.25">
      <c r="A150" s="1"/>
      <c r="B150" s="1"/>
      <c r="C150" s="1"/>
      <c r="D150" s="1"/>
      <c r="E150" s="1"/>
      <c r="F150" s="1"/>
      <c r="G150" s="1"/>
      <c r="H150" s="2"/>
    </row>
    <row r="151" spans="1:8" x14ac:dyDescent="0.25">
      <c r="A151" s="1"/>
      <c r="B151" s="1"/>
      <c r="C151" s="1"/>
      <c r="D151" s="1"/>
      <c r="E151" s="1"/>
      <c r="F151" s="1"/>
      <c r="G151" s="1"/>
      <c r="H151" s="2"/>
    </row>
    <row r="152" spans="1:8" x14ac:dyDescent="0.25">
      <c r="A152" s="1"/>
      <c r="B152" s="1"/>
      <c r="C152" s="1"/>
      <c r="D152" s="1"/>
      <c r="E152" s="1"/>
      <c r="F152" s="1"/>
      <c r="G152" s="1"/>
      <c r="H152" s="2"/>
    </row>
    <row r="153" spans="1:8" x14ac:dyDescent="0.25">
      <c r="A153" s="1"/>
      <c r="B153" s="1"/>
      <c r="C153" s="1"/>
      <c r="D153" s="1"/>
      <c r="E153" s="1"/>
      <c r="F153" s="1"/>
      <c r="G153" s="1"/>
      <c r="H153" s="2"/>
    </row>
    <row r="154" spans="1:8" x14ac:dyDescent="0.25">
      <c r="A154" s="1"/>
      <c r="B154" s="1"/>
      <c r="C154" s="1"/>
      <c r="D154" s="1"/>
      <c r="E154" s="1"/>
      <c r="F154" s="1"/>
      <c r="G154" s="1"/>
      <c r="H154" s="2"/>
    </row>
    <row r="155" spans="1:8" x14ac:dyDescent="0.25">
      <c r="A155" s="1"/>
      <c r="B155" s="1"/>
      <c r="C155" s="1"/>
      <c r="D155" s="1"/>
      <c r="E155" s="1"/>
      <c r="F155" s="1"/>
      <c r="G155" s="1"/>
      <c r="H155" s="2"/>
    </row>
    <row r="156" spans="1:8" x14ac:dyDescent="0.25">
      <c r="A156" s="1"/>
      <c r="B156" s="1"/>
      <c r="C156" s="1"/>
      <c r="D156" s="1"/>
      <c r="E156" s="1"/>
      <c r="F156" s="1"/>
      <c r="G156" s="1"/>
      <c r="H156" s="2"/>
    </row>
    <row r="157" spans="1:8" x14ac:dyDescent="0.25">
      <c r="A157" s="1"/>
      <c r="B157" s="1"/>
      <c r="C157" s="1"/>
      <c r="D157" s="1"/>
      <c r="E157" s="1"/>
      <c r="F157" s="1"/>
      <c r="G157" s="1"/>
      <c r="H157" s="2"/>
    </row>
    <row r="158" spans="1:8" x14ac:dyDescent="0.25">
      <c r="A158" s="1"/>
      <c r="B158" s="1"/>
      <c r="C158" s="1"/>
      <c r="D158" s="1"/>
      <c r="E158" s="1"/>
      <c r="F158" s="1"/>
      <c r="G158" s="1"/>
      <c r="H158" s="2"/>
    </row>
    <row r="159" spans="1:8" x14ac:dyDescent="0.25">
      <c r="A159" s="1"/>
      <c r="B159" s="1"/>
      <c r="C159" s="1"/>
      <c r="D159" s="1"/>
      <c r="E159" s="1"/>
      <c r="F159" s="1"/>
      <c r="G159" s="1"/>
      <c r="H159" s="2"/>
    </row>
    <row r="160" spans="1:8" x14ac:dyDescent="0.25">
      <c r="A160" s="1"/>
      <c r="B160" s="1"/>
      <c r="C160" s="1"/>
      <c r="D160" s="1"/>
      <c r="E160" s="1"/>
      <c r="F160" s="1"/>
      <c r="G160" s="1"/>
      <c r="H160" s="2"/>
    </row>
    <row r="161" spans="1:8" x14ac:dyDescent="0.25">
      <c r="A161" s="1"/>
      <c r="B161" s="1"/>
      <c r="C161" s="1"/>
      <c r="D161" s="1"/>
      <c r="E161" s="1"/>
      <c r="F161" s="1"/>
      <c r="G161" s="1"/>
      <c r="H161" s="2"/>
    </row>
    <row r="162" spans="1:8" x14ac:dyDescent="0.25">
      <c r="A162" s="1"/>
      <c r="B162" s="1"/>
      <c r="C162" s="1"/>
      <c r="D162" s="1"/>
      <c r="E162" s="1"/>
      <c r="F162" s="1"/>
      <c r="G162" s="1"/>
      <c r="H162" s="2"/>
    </row>
    <row r="163" spans="1:8" x14ac:dyDescent="0.25">
      <c r="A163" s="1"/>
      <c r="B163" s="1"/>
      <c r="C163" s="1"/>
      <c r="D163" s="1"/>
      <c r="E163" s="1"/>
      <c r="F163" s="1"/>
      <c r="G163" s="1"/>
      <c r="H163" s="2"/>
    </row>
    <row r="164" spans="1:8" x14ac:dyDescent="0.25">
      <c r="A164" s="1"/>
      <c r="B164" s="1"/>
      <c r="C164" s="1"/>
      <c r="D164" s="1"/>
      <c r="E164" s="1"/>
      <c r="F164" s="1"/>
      <c r="G164" s="1"/>
      <c r="H164" s="2"/>
    </row>
    <row r="165" spans="1:8" x14ac:dyDescent="0.25">
      <c r="A165" s="1"/>
      <c r="B165" s="1"/>
      <c r="C165" s="1"/>
      <c r="D165" s="1"/>
      <c r="E165" s="1"/>
      <c r="F165" s="1"/>
      <c r="G165" s="1"/>
      <c r="H165" s="2"/>
    </row>
    <row r="166" spans="1:8" x14ac:dyDescent="0.25">
      <c r="A166" s="1"/>
      <c r="B166" s="1"/>
      <c r="C166" s="1"/>
      <c r="D166" s="1"/>
      <c r="E166" s="1"/>
      <c r="F166" s="1"/>
      <c r="G166" s="1"/>
      <c r="H166" s="2"/>
    </row>
    <row r="167" spans="1:8" x14ac:dyDescent="0.25">
      <c r="A167" s="1"/>
      <c r="B167" s="1"/>
      <c r="C167" s="1"/>
      <c r="D167" s="1"/>
      <c r="E167" s="1"/>
      <c r="F167" s="1"/>
      <c r="G167" s="1"/>
      <c r="H167" s="2"/>
    </row>
    <row r="168" spans="1:8" x14ac:dyDescent="0.25">
      <c r="A168" s="1"/>
      <c r="B168" s="1"/>
      <c r="C168" s="1"/>
      <c r="D168" s="1"/>
      <c r="E168" s="1"/>
      <c r="F168" s="1"/>
      <c r="G168" s="1"/>
      <c r="H168" s="2"/>
    </row>
    <row r="169" spans="1:8" x14ac:dyDescent="0.25">
      <c r="A169" s="1"/>
      <c r="B169" s="1"/>
      <c r="C169" s="1"/>
      <c r="D169" s="1"/>
      <c r="E169" s="1"/>
      <c r="F169" s="1"/>
      <c r="G169" s="1"/>
      <c r="H169" s="2"/>
    </row>
    <row r="170" spans="1:8" x14ac:dyDescent="0.25">
      <c r="A170" s="1"/>
      <c r="B170" s="1"/>
      <c r="C170" s="1"/>
      <c r="D170" s="1"/>
      <c r="E170" s="1"/>
      <c r="F170" s="1"/>
      <c r="G170" s="1"/>
      <c r="H170" s="2"/>
    </row>
    <row r="171" spans="1:8" x14ac:dyDescent="0.25">
      <c r="A171" s="1"/>
      <c r="B171" s="1"/>
      <c r="C171" s="1"/>
      <c r="D171" s="1"/>
      <c r="E171" s="1"/>
      <c r="F171" s="1"/>
      <c r="G171" s="1"/>
      <c r="H171" s="2"/>
    </row>
  </sheetData>
  <autoFilter ref="A3:F127" xr:uid="{5354A792-DF1F-4024-8DE2-65C661E26CC9}"/>
  <dataValidations count="1">
    <dataValidation type="list" allowBlank="1" showInputMessage="1" showErrorMessage="1" sqref="D4:D127" xr:uid="{1BC4C9A0-9CE2-4B44-8D9E-4E35BF424139}">
      <formula1>$U$1:$U$1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M0 - G5 -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Rogerio  RNB Treinamentos</cp:lastModifiedBy>
  <cp:lastPrinted>2021-11-24T23:58:31Z</cp:lastPrinted>
  <dcterms:created xsi:type="dcterms:W3CDTF">2020-08-25T20:19:15Z</dcterms:created>
  <dcterms:modified xsi:type="dcterms:W3CDTF">2026-03-03T13:38:50Z</dcterms:modified>
</cp:coreProperties>
</file>